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cuu\Desktop\Jacek\zarządzanie projektami\Projekt ogarnąć życie\3. Praca\Zostanie data engineer\7. Zadanie - raportowanie problemów na linii X\Analiza danych X\"/>
    </mc:Choice>
  </mc:AlternateContent>
  <xr:revisionPtr revIDLastSave="0" documentId="13_ncr:1_{4FBBA008-AC86-4456-849A-3CC802A240C9}" xr6:coauthVersionLast="47" xr6:coauthVersionMax="47" xr10:uidLastSave="{00000000-0000-0000-0000-000000000000}"/>
  <bookViews>
    <workbookView xWindow="28680" yWindow="-120" windowWidth="29040" windowHeight="15720" tabRatio="671" activeTab="1" xr2:uid="{00000000-000D-0000-FFFF-FFFF00000000}"/>
  </bookViews>
  <sheets>
    <sheet name="zejscia WORK 2" sheetId="6" r:id="rId1"/>
    <sheet name="Awarie WORK2" sheetId="9" r:id="rId2"/>
    <sheet name="czas awarii" sheetId="10" r:id="rId3"/>
    <sheet name="dashboards" sheetId="8" r:id="rId4"/>
  </sheets>
  <definedNames>
    <definedName name="_xlnm._FilterDatabase" localSheetId="1" hidden="1">'Awarie WORK2'!$B$1:$H$5097</definedName>
    <definedName name="_xlnm._FilterDatabase" localSheetId="2" hidden="1">'czas awarii'!$F$1:$J$1</definedName>
    <definedName name="_xlnm._FilterDatabase" localSheetId="3" hidden="1">dashboards!$A$64:$F$64</definedName>
    <definedName name="_xlnm._FilterDatabase" localSheetId="0" hidden="1">'zejscia WORK 2'!$A$1:$J$1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9" l="1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2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3314" i="9"/>
  <c r="I3315" i="9"/>
  <c r="I3316" i="9"/>
  <c r="I3317" i="9"/>
  <c r="I3318" i="9"/>
  <c r="I3319" i="9"/>
  <c r="I3320" i="9"/>
  <c r="I3321" i="9"/>
  <c r="I3322" i="9"/>
  <c r="I3323" i="9"/>
  <c r="I3324" i="9"/>
  <c r="I3325" i="9"/>
  <c r="I3326" i="9"/>
  <c r="I3327" i="9"/>
  <c r="I3328" i="9"/>
  <c r="I3329" i="9"/>
  <c r="I3330" i="9"/>
  <c r="I3331" i="9"/>
  <c r="I3332" i="9"/>
  <c r="I3333" i="9"/>
  <c r="I3334" i="9"/>
  <c r="I3335" i="9"/>
  <c r="I3336" i="9"/>
  <c r="I3337" i="9"/>
  <c r="I3338" i="9"/>
  <c r="I3339" i="9"/>
  <c r="I3340" i="9"/>
  <c r="I3341" i="9"/>
  <c r="I3342" i="9"/>
  <c r="I3343" i="9"/>
  <c r="I3344" i="9"/>
  <c r="I3345" i="9"/>
  <c r="I3346" i="9"/>
  <c r="I3347" i="9"/>
  <c r="I3348" i="9"/>
  <c r="I3349" i="9"/>
  <c r="I3350" i="9"/>
  <c r="I3351" i="9"/>
  <c r="I3352" i="9"/>
  <c r="I3353" i="9"/>
  <c r="I3354" i="9"/>
  <c r="I3355" i="9"/>
  <c r="I3356" i="9"/>
  <c r="I3357" i="9"/>
  <c r="I3358" i="9"/>
  <c r="I3359" i="9"/>
  <c r="I3360" i="9"/>
  <c r="I3361" i="9"/>
  <c r="I3362" i="9"/>
  <c r="I3363" i="9"/>
  <c r="I3364" i="9"/>
  <c r="I3365" i="9"/>
  <c r="I3366" i="9"/>
  <c r="I3367" i="9"/>
  <c r="I3368" i="9"/>
  <c r="I3369" i="9"/>
  <c r="I3370" i="9"/>
  <c r="I3371" i="9"/>
  <c r="I3372" i="9"/>
  <c r="I3373" i="9"/>
  <c r="I3374" i="9"/>
  <c r="I3375" i="9"/>
  <c r="I3376" i="9"/>
  <c r="I3377" i="9"/>
  <c r="I3378" i="9"/>
  <c r="I3379" i="9"/>
  <c r="I3380" i="9"/>
  <c r="I3381" i="9"/>
  <c r="I3382" i="9"/>
  <c r="I3383" i="9"/>
  <c r="I3384" i="9"/>
  <c r="I3385" i="9"/>
  <c r="I3386" i="9"/>
  <c r="I3387" i="9"/>
  <c r="I3388" i="9"/>
  <c r="I3389" i="9"/>
  <c r="I3390" i="9"/>
  <c r="I3391" i="9"/>
  <c r="I3392" i="9"/>
  <c r="I3393" i="9"/>
  <c r="I3394" i="9"/>
  <c r="I3395" i="9"/>
  <c r="I3396" i="9"/>
  <c r="I3397" i="9"/>
  <c r="I3398" i="9"/>
  <c r="I3399" i="9"/>
  <c r="I3400" i="9"/>
  <c r="I3401" i="9"/>
  <c r="I3402" i="9"/>
  <c r="I3403" i="9"/>
  <c r="I3404" i="9"/>
  <c r="I3405" i="9"/>
  <c r="I3406" i="9"/>
  <c r="I3407" i="9"/>
  <c r="I3408" i="9"/>
  <c r="I3409" i="9"/>
  <c r="I3410" i="9"/>
  <c r="I3411" i="9"/>
  <c r="I3412" i="9"/>
  <c r="I3413" i="9"/>
  <c r="I3414" i="9"/>
  <c r="I3415" i="9"/>
  <c r="I3416" i="9"/>
  <c r="I3417" i="9"/>
  <c r="I3418" i="9"/>
  <c r="I3419" i="9"/>
  <c r="I3420" i="9"/>
  <c r="I3421" i="9"/>
  <c r="I3422" i="9"/>
  <c r="I3423" i="9"/>
  <c r="I3424" i="9"/>
  <c r="I3425" i="9"/>
  <c r="I3426" i="9"/>
  <c r="I3427" i="9"/>
  <c r="I3428" i="9"/>
  <c r="I3429" i="9"/>
  <c r="I3430" i="9"/>
  <c r="I3431" i="9"/>
  <c r="I3432" i="9"/>
  <c r="I3433" i="9"/>
  <c r="I3434" i="9"/>
  <c r="I3435" i="9"/>
  <c r="I3436" i="9"/>
  <c r="I3437" i="9"/>
  <c r="I3438" i="9"/>
  <c r="I3439" i="9"/>
  <c r="I3440" i="9"/>
  <c r="I3441" i="9"/>
  <c r="I3442" i="9"/>
  <c r="I3443" i="9"/>
  <c r="I3444" i="9"/>
  <c r="I3445" i="9"/>
  <c r="I3446" i="9"/>
  <c r="I3447" i="9"/>
  <c r="I3448" i="9"/>
  <c r="I3449" i="9"/>
  <c r="I3450" i="9"/>
  <c r="I3451" i="9"/>
  <c r="I3452" i="9"/>
  <c r="I3453" i="9"/>
  <c r="I3454" i="9"/>
  <c r="I3455" i="9"/>
  <c r="I3456" i="9"/>
  <c r="I3457" i="9"/>
  <c r="I3458" i="9"/>
  <c r="I3459" i="9"/>
  <c r="I3460" i="9"/>
  <c r="I3461" i="9"/>
  <c r="I3462" i="9"/>
  <c r="I3463" i="9"/>
  <c r="I3464" i="9"/>
  <c r="I3465" i="9"/>
  <c r="I3466" i="9"/>
  <c r="I3467" i="9"/>
  <c r="I3468" i="9"/>
  <c r="I3469" i="9"/>
  <c r="I3470" i="9"/>
  <c r="I3471" i="9"/>
  <c r="I3472" i="9"/>
  <c r="I3473" i="9"/>
  <c r="I3474" i="9"/>
  <c r="I3475" i="9"/>
  <c r="I3476" i="9"/>
  <c r="I3477" i="9"/>
  <c r="I3478" i="9"/>
  <c r="I3479" i="9"/>
  <c r="I3480" i="9"/>
  <c r="I3481" i="9"/>
  <c r="I3482" i="9"/>
  <c r="I3483" i="9"/>
  <c r="I3484" i="9"/>
  <c r="I3485" i="9"/>
  <c r="I3486" i="9"/>
  <c r="I3487" i="9"/>
  <c r="I3488" i="9"/>
  <c r="I3489" i="9"/>
  <c r="I3490" i="9"/>
  <c r="I3491" i="9"/>
  <c r="I3492" i="9"/>
  <c r="I3493" i="9"/>
  <c r="I3494" i="9"/>
  <c r="I3495" i="9"/>
  <c r="I3496" i="9"/>
  <c r="I3497" i="9"/>
  <c r="I3498" i="9"/>
  <c r="I3499" i="9"/>
  <c r="I3500" i="9"/>
  <c r="I3501" i="9"/>
  <c r="I3502" i="9"/>
  <c r="I3503" i="9"/>
  <c r="I3504" i="9"/>
  <c r="I3505" i="9"/>
  <c r="I3506" i="9"/>
  <c r="I3507" i="9"/>
  <c r="I3508" i="9"/>
  <c r="I3509" i="9"/>
  <c r="I3510" i="9"/>
  <c r="I3511" i="9"/>
  <c r="I3512" i="9"/>
  <c r="I3513" i="9"/>
  <c r="I3514" i="9"/>
  <c r="I3515" i="9"/>
  <c r="I3516" i="9"/>
  <c r="I3517" i="9"/>
  <c r="I3518" i="9"/>
  <c r="I3519" i="9"/>
  <c r="I3520" i="9"/>
  <c r="I3521" i="9"/>
  <c r="I3522" i="9"/>
  <c r="I3523" i="9"/>
  <c r="I3524" i="9"/>
  <c r="I3525" i="9"/>
  <c r="I3526" i="9"/>
  <c r="I3527" i="9"/>
  <c r="I3528" i="9"/>
  <c r="I3529" i="9"/>
  <c r="I3530" i="9"/>
  <c r="I3531" i="9"/>
  <c r="I3532" i="9"/>
  <c r="I3533" i="9"/>
  <c r="I3534" i="9"/>
  <c r="I3535" i="9"/>
  <c r="I3536" i="9"/>
  <c r="I3537" i="9"/>
  <c r="I3538" i="9"/>
  <c r="I3539" i="9"/>
  <c r="I3540" i="9"/>
  <c r="I3541" i="9"/>
  <c r="I3542" i="9"/>
  <c r="I3543" i="9"/>
  <c r="I3544" i="9"/>
  <c r="I3545" i="9"/>
  <c r="I3546" i="9"/>
  <c r="I3547" i="9"/>
  <c r="I3548" i="9"/>
  <c r="I3549" i="9"/>
  <c r="I3550" i="9"/>
  <c r="I3551" i="9"/>
  <c r="I3552" i="9"/>
  <c r="I3553" i="9"/>
  <c r="I3554" i="9"/>
  <c r="I3555" i="9"/>
  <c r="I3556" i="9"/>
  <c r="I3557" i="9"/>
  <c r="I3558" i="9"/>
  <c r="I3559" i="9"/>
  <c r="I3560" i="9"/>
  <c r="I3561" i="9"/>
  <c r="I3562" i="9"/>
  <c r="I3563" i="9"/>
  <c r="I3564" i="9"/>
  <c r="I3565" i="9"/>
  <c r="I3566" i="9"/>
  <c r="I3567" i="9"/>
  <c r="I3568" i="9"/>
  <c r="I3569" i="9"/>
  <c r="I3570" i="9"/>
  <c r="I3571" i="9"/>
  <c r="I3572" i="9"/>
  <c r="I3573" i="9"/>
  <c r="I3574" i="9"/>
  <c r="I3575" i="9"/>
  <c r="I3576" i="9"/>
  <c r="I3577" i="9"/>
  <c r="I3578" i="9"/>
  <c r="I3579" i="9"/>
  <c r="I3580" i="9"/>
  <c r="I3581" i="9"/>
  <c r="I3582" i="9"/>
  <c r="I3583" i="9"/>
  <c r="I3584" i="9"/>
  <c r="I3585" i="9"/>
  <c r="I3586" i="9"/>
  <c r="I3587" i="9"/>
  <c r="I3588" i="9"/>
  <c r="I3589" i="9"/>
  <c r="I3590" i="9"/>
  <c r="I3591" i="9"/>
  <c r="I3592" i="9"/>
  <c r="I3593" i="9"/>
  <c r="I3594" i="9"/>
  <c r="I3595" i="9"/>
  <c r="I3596" i="9"/>
  <c r="I3597" i="9"/>
  <c r="I3598" i="9"/>
  <c r="I3599" i="9"/>
  <c r="I3600" i="9"/>
  <c r="I3601" i="9"/>
  <c r="I3602" i="9"/>
  <c r="I3603" i="9"/>
  <c r="I3604" i="9"/>
  <c r="I3605" i="9"/>
  <c r="I3606" i="9"/>
  <c r="I3607" i="9"/>
  <c r="I3608" i="9"/>
  <c r="I3609" i="9"/>
  <c r="I3610" i="9"/>
  <c r="I3611" i="9"/>
  <c r="I3612" i="9"/>
  <c r="I3613" i="9"/>
  <c r="I3614" i="9"/>
  <c r="I3615" i="9"/>
  <c r="I3616" i="9"/>
  <c r="I3617" i="9"/>
  <c r="I3618" i="9"/>
  <c r="I3619" i="9"/>
  <c r="I3620" i="9"/>
  <c r="I3621" i="9"/>
  <c r="I3622" i="9"/>
  <c r="I3623" i="9"/>
  <c r="I3624" i="9"/>
  <c r="I3625" i="9"/>
  <c r="I3626" i="9"/>
  <c r="I3627" i="9"/>
  <c r="I3628" i="9"/>
  <c r="I3629" i="9"/>
  <c r="I3630" i="9"/>
  <c r="I3631" i="9"/>
  <c r="I3632" i="9"/>
  <c r="I3633" i="9"/>
  <c r="I3634" i="9"/>
  <c r="I3635" i="9"/>
  <c r="I3636" i="9"/>
  <c r="I3637" i="9"/>
  <c r="I3638" i="9"/>
  <c r="I3639" i="9"/>
  <c r="I3640" i="9"/>
  <c r="I3641" i="9"/>
  <c r="I3642" i="9"/>
  <c r="I3643" i="9"/>
  <c r="I3644" i="9"/>
  <c r="I3645" i="9"/>
  <c r="I3646" i="9"/>
  <c r="I3647" i="9"/>
  <c r="I3648" i="9"/>
  <c r="I3649" i="9"/>
  <c r="I3650" i="9"/>
  <c r="I3651" i="9"/>
  <c r="I3652" i="9"/>
  <c r="I3653" i="9"/>
  <c r="I3654" i="9"/>
  <c r="I3655" i="9"/>
  <c r="I3656" i="9"/>
  <c r="I3657" i="9"/>
  <c r="I3658" i="9"/>
  <c r="I3659" i="9"/>
  <c r="I3660" i="9"/>
  <c r="I3661" i="9"/>
  <c r="I3662" i="9"/>
  <c r="I3663" i="9"/>
  <c r="I3664" i="9"/>
  <c r="I3665" i="9"/>
  <c r="I3666" i="9"/>
  <c r="I3667" i="9"/>
  <c r="I3668" i="9"/>
  <c r="I3669" i="9"/>
  <c r="I3670" i="9"/>
  <c r="I3671" i="9"/>
  <c r="I3672" i="9"/>
  <c r="I3673" i="9"/>
  <c r="I3674" i="9"/>
  <c r="I3675" i="9"/>
  <c r="I3676" i="9"/>
  <c r="I3677" i="9"/>
  <c r="I3678" i="9"/>
  <c r="I3679" i="9"/>
  <c r="I3680" i="9"/>
  <c r="I3681" i="9"/>
  <c r="I3682" i="9"/>
  <c r="I3683" i="9"/>
  <c r="I3684" i="9"/>
  <c r="I3685" i="9"/>
  <c r="I3686" i="9"/>
  <c r="I3687" i="9"/>
  <c r="I3688" i="9"/>
  <c r="I3689" i="9"/>
  <c r="I3690" i="9"/>
  <c r="I3691" i="9"/>
  <c r="I3692" i="9"/>
  <c r="I3693" i="9"/>
  <c r="I3694" i="9"/>
  <c r="I3695" i="9"/>
  <c r="I3696" i="9"/>
  <c r="I3697" i="9"/>
  <c r="I3698" i="9"/>
  <c r="I3699" i="9"/>
  <c r="I3700" i="9"/>
  <c r="I3701" i="9"/>
  <c r="I3702" i="9"/>
  <c r="I3703" i="9"/>
  <c r="I3704" i="9"/>
  <c r="I3705" i="9"/>
  <c r="I3706" i="9"/>
  <c r="I3707" i="9"/>
  <c r="I3708" i="9"/>
  <c r="I3709" i="9"/>
  <c r="I3710" i="9"/>
  <c r="I3711" i="9"/>
  <c r="I3712" i="9"/>
  <c r="I3713" i="9"/>
  <c r="I3714" i="9"/>
  <c r="I3715" i="9"/>
  <c r="I3716" i="9"/>
  <c r="I3717" i="9"/>
  <c r="I3718" i="9"/>
  <c r="I3719" i="9"/>
  <c r="I3720" i="9"/>
  <c r="I3721" i="9"/>
  <c r="I3722" i="9"/>
  <c r="I3723" i="9"/>
  <c r="I3724" i="9"/>
  <c r="I3725" i="9"/>
  <c r="I3726" i="9"/>
  <c r="I3727" i="9"/>
  <c r="I3728" i="9"/>
  <c r="I3729" i="9"/>
  <c r="I3730" i="9"/>
  <c r="I3731" i="9"/>
  <c r="I3732" i="9"/>
  <c r="I3733" i="9"/>
  <c r="I3734" i="9"/>
  <c r="I3735" i="9"/>
  <c r="I3736" i="9"/>
  <c r="I3737" i="9"/>
  <c r="I3738" i="9"/>
  <c r="I3739" i="9"/>
  <c r="I3740" i="9"/>
  <c r="I3741" i="9"/>
  <c r="I3742" i="9"/>
  <c r="I3743" i="9"/>
  <c r="I3744" i="9"/>
  <c r="I3745" i="9"/>
  <c r="I3746" i="9"/>
  <c r="I3747" i="9"/>
  <c r="I3748" i="9"/>
  <c r="I3749" i="9"/>
  <c r="I3750" i="9"/>
  <c r="I3751" i="9"/>
  <c r="I3752" i="9"/>
  <c r="I3753" i="9"/>
  <c r="I3754" i="9"/>
  <c r="I3755" i="9"/>
  <c r="I3756" i="9"/>
  <c r="I3757" i="9"/>
  <c r="I3758" i="9"/>
  <c r="I3759" i="9"/>
  <c r="I3760" i="9"/>
  <c r="I3761" i="9"/>
  <c r="I3762" i="9"/>
  <c r="I3763" i="9"/>
  <c r="I3764" i="9"/>
  <c r="I3765" i="9"/>
  <c r="I3766" i="9"/>
  <c r="I3767" i="9"/>
  <c r="I3768" i="9"/>
  <c r="I3769" i="9"/>
  <c r="I3770" i="9"/>
  <c r="I3771" i="9"/>
  <c r="I3772" i="9"/>
  <c r="I3773" i="9"/>
  <c r="I3774" i="9"/>
  <c r="I3775" i="9"/>
  <c r="I3776" i="9"/>
  <c r="I3777" i="9"/>
  <c r="I3778" i="9"/>
  <c r="I3779" i="9"/>
  <c r="I3780" i="9"/>
  <c r="I3781" i="9"/>
  <c r="I3782" i="9"/>
  <c r="I3783" i="9"/>
  <c r="I3784" i="9"/>
  <c r="I3785" i="9"/>
  <c r="I3786" i="9"/>
  <c r="I3787" i="9"/>
  <c r="I3788" i="9"/>
  <c r="I3789" i="9"/>
  <c r="I3790" i="9"/>
  <c r="I3791" i="9"/>
  <c r="I3792" i="9"/>
  <c r="I3793" i="9"/>
  <c r="I3794" i="9"/>
  <c r="I3795" i="9"/>
  <c r="I3796" i="9"/>
  <c r="I3797" i="9"/>
  <c r="I3798" i="9"/>
  <c r="I3799" i="9"/>
  <c r="I3800" i="9"/>
  <c r="I3801" i="9"/>
  <c r="I3802" i="9"/>
  <c r="I3803" i="9"/>
  <c r="I3804" i="9"/>
  <c r="I3805" i="9"/>
  <c r="I3806" i="9"/>
  <c r="I3807" i="9"/>
  <c r="I3808" i="9"/>
  <c r="I3809" i="9"/>
  <c r="I3810" i="9"/>
  <c r="I3811" i="9"/>
  <c r="I3812" i="9"/>
  <c r="I3813" i="9"/>
  <c r="I3814" i="9"/>
  <c r="I3815" i="9"/>
  <c r="I3816" i="9"/>
  <c r="I3817" i="9"/>
  <c r="I3818" i="9"/>
  <c r="I3819" i="9"/>
  <c r="I3820" i="9"/>
  <c r="I3821" i="9"/>
  <c r="I3822" i="9"/>
  <c r="I3823" i="9"/>
  <c r="I3824" i="9"/>
  <c r="I3825" i="9"/>
  <c r="I3826" i="9"/>
  <c r="I3827" i="9"/>
  <c r="I3828" i="9"/>
  <c r="I3829" i="9"/>
  <c r="I3830" i="9"/>
  <c r="I3831" i="9"/>
  <c r="I3832" i="9"/>
  <c r="I3833" i="9"/>
  <c r="I3834" i="9"/>
  <c r="I3835" i="9"/>
  <c r="I3836" i="9"/>
  <c r="I3837" i="9"/>
  <c r="I3838" i="9"/>
  <c r="I3839" i="9"/>
  <c r="I3840" i="9"/>
  <c r="I3841" i="9"/>
  <c r="I3842" i="9"/>
  <c r="I3843" i="9"/>
  <c r="I3844" i="9"/>
  <c r="I3845" i="9"/>
  <c r="I3846" i="9"/>
  <c r="I3847" i="9"/>
  <c r="I3848" i="9"/>
  <c r="I3849" i="9"/>
  <c r="I3850" i="9"/>
  <c r="I3851" i="9"/>
  <c r="I3852" i="9"/>
  <c r="I3853" i="9"/>
  <c r="I3854" i="9"/>
  <c r="I3855" i="9"/>
  <c r="I3856" i="9"/>
  <c r="I3857" i="9"/>
  <c r="I3858" i="9"/>
  <c r="I3859" i="9"/>
  <c r="I3860" i="9"/>
  <c r="I3861" i="9"/>
  <c r="I3862" i="9"/>
  <c r="I3863" i="9"/>
  <c r="I3864" i="9"/>
  <c r="I3865" i="9"/>
  <c r="I3866" i="9"/>
  <c r="I3867" i="9"/>
  <c r="I3868" i="9"/>
  <c r="I3869" i="9"/>
  <c r="I3870" i="9"/>
  <c r="I3871" i="9"/>
  <c r="I3872" i="9"/>
  <c r="I3873" i="9"/>
  <c r="I3874" i="9"/>
  <c r="I3875" i="9"/>
  <c r="I3876" i="9"/>
  <c r="I3877" i="9"/>
  <c r="I3878" i="9"/>
  <c r="I3879" i="9"/>
  <c r="I3880" i="9"/>
  <c r="I3881" i="9"/>
  <c r="I3882" i="9"/>
  <c r="I3883" i="9"/>
  <c r="I3884" i="9"/>
  <c r="I3885" i="9"/>
  <c r="I3886" i="9"/>
  <c r="I3887" i="9"/>
  <c r="I3888" i="9"/>
  <c r="I3889" i="9"/>
  <c r="I3890" i="9"/>
  <c r="I3891" i="9"/>
  <c r="I3892" i="9"/>
  <c r="I3893" i="9"/>
  <c r="I3894" i="9"/>
  <c r="I3895" i="9"/>
  <c r="I3896" i="9"/>
  <c r="I3897" i="9"/>
  <c r="I3898" i="9"/>
  <c r="I3899" i="9"/>
  <c r="I3900" i="9"/>
  <c r="I3901" i="9"/>
  <c r="I3902" i="9"/>
  <c r="I3903" i="9"/>
  <c r="I3904" i="9"/>
  <c r="I3905" i="9"/>
  <c r="I3906" i="9"/>
  <c r="I3907" i="9"/>
  <c r="I3908" i="9"/>
  <c r="I3909" i="9"/>
  <c r="I3910" i="9"/>
  <c r="I3911" i="9"/>
  <c r="I3912" i="9"/>
  <c r="I3913" i="9"/>
  <c r="I3914" i="9"/>
  <c r="I3915" i="9"/>
  <c r="I3916" i="9"/>
  <c r="I3917" i="9"/>
  <c r="I3918" i="9"/>
  <c r="I3919" i="9"/>
  <c r="I3920" i="9"/>
  <c r="I3921" i="9"/>
  <c r="I3922" i="9"/>
  <c r="I3923" i="9"/>
  <c r="I3924" i="9"/>
  <c r="I3925" i="9"/>
  <c r="I3926" i="9"/>
  <c r="I3927" i="9"/>
  <c r="I3928" i="9"/>
  <c r="I3929" i="9"/>
  <c r="I3930" i="9"/>
  <c r="I3931" i="9"/>
  <c r="I3932" i="9"/>
  <c r="I3933" i="9"/>
  <c r="I3934" i="9"/>
  <c r="I3935" i="9"/>
  <c r="I3936" i="9"/>
  <c r="I3937" i="9"/>
  <c r="I3938" i="9"/>
  <c r="I3939" i="9"/>
  <c r="I3940" i="9"/>
  <c r="I3941" i="9"/>
  <c r="I3942" i="9"/>
  <c r="I3943" i="9"/>
  <c r="I3944" i="9"/>
  <c r="I3945" i="9"/>
  <c r="I3946" i="9"/>
  <c r="I3947" i="9"/>
  <c r="I3948" i="9"/>
  <c r="I3949" i="9"/>
  <c r="I3950" i="9"/>
  <c r="I3951" i="9"/>
  <c r="I3952" i="9"/>
  <c r="I3953" i="9"/>
  <c r="I3954" i="9"/>
  <c r="I3955" i="9"/>
  <c r="I3956" i="9"/>
  <c r="I3957" i="9"/>
  <c r="I3958" i="9"/>
  <c r="I3959" i="9"/>
  <c r="I3960" i="9"/>
  <c r="I3961" i="9"/>
  <c r="I3962" i="9"/>
  <c r="I3963" i="9"/>
  <c r="I3964" i="9"/>
  <c r="I3965" i="9"/>
  <c r="I3966" i="9"/>
  <c r="I3967" i="9"/>
  <c r="I3968" i="9"/>
  <c r="I3969" i="9"/>
  <c r="I3970" i="9"/>
  <c r="I3971" i="9"/>
  <c r="I3972" i="9"/>
  <c r="I3973" i="9"/>
  <c r="I3974" i="9"/>
  <c r="I3975" i="9"/>
  <c r="I3976" i="9"/>
  <c r="I3977" i="9"/>
  <c r="I3978" i="9"/>
  <c r="I3979" i="9"/>
  <c r="I3980" i="9"/>
  <c r="I3981" i="9"/>
  <c r="I3982" i="9"/>
  <c r="I3983" i="9"/>
  <c r="I3984" i="9"/>
  <c r="I3985" i="9"/>
  <c r="I3986" i="9"/>
  <c r="I3987" i="9"/>
  <c r="I3988" i="9"/>
  <c r="I3989" i="9"/>
  <c r="I3990" i="9"/>
  <c r="I3991" i="9"/>
  <c r="I3992" i="9"/>
  <c r="I3993" i="9"/>
  <c r="I3994" i="9"/>
  <c r="I3995" i="9"/>
  <c r="I3996" i="9"/>
  <c r="I3997" i="9"/>
  <c r="I3998" i="9"/>
  <c r="I3999" i="9"/>
  <c r="I4000" i="9"/>
  <c r="I4001" i="9"/>
  <c r="I4002" i="9"/>
  <c r="I4003" i="9"/>
  <c r="I4004" i="9"/>
  <c r="I4005" i="9"/>
  <c r="I4006" i="9"/>
  <c r="I4007" i="9"/>
  <c r="I4008" i="9"/>
  <c r="I4009" i="9"/>
  <c r="I4010" i="9"/>
  <c r="I4011" i="9"/>
  <c r="I4012" i="9"/>
  <c r="I4013" i="9"/>
  <c r="I4014" i="9"/>
  <c r="I4015" i="9"/>
  <c r="I4016" i="9"/>
  <c r="I4017" i="9"/>
  <c r="I4018" i="9"/>
  <c r="I4019" i="9"/>
  <c r="I4020" i="9"/>
  <c r="I4021" i="9"/>
  <c r="I4022" i="9"/>
  <c r="I4023" i="9"/>
  <c r="I4024" i="9"/>
  <c r="I4025" i="9"/>
  <c r="I4026" i="9"/>
  <c r="I4027" i="9"/>
  <c r="I4028" i="9"/>
  <c r="I4029" i="9"/>
  <c r="I4030" i="9"/>
  <c r="I4031" i="9"/>
  <c r="I4032" i="9"/>
  <c r="I4033" i="9"/>
  <c r="I4034" i="9"/>
  <c r="I4035" i="9"/>
  <c r="I4036" i="9"/>
  <c r="I4037" i="9"/>
  <c r="I4038" i="9"/>
  <c r="I4039" i="9"/>
  <c r="I4040" i="9"/>
  <c r="I4041" i="9"/>
  <c r="I4042" i="9"/>
  <c r="I4043" i="9"/>
  <c r="I4044" i="9"/>
  <c r="I4045" i="9"/>
  <c r="I4046" i="9"/>
  <c r="I4047" i="9"/>
  <c r="I4048" i="9"/>
  <c r="I4049" i="9"/>
  <c r="I4050" i="9"/>
  <c r="I4051" i="9"/>
  <c r="I4052" i="9"/>
  <c r="I4053" i="9"/>
  <c r="I4054" i="9"/>
  <c r="I4055" i="9"/>
  <c r="I4056" i="9"/>
  <c r="I4057" i="9"/>
  <c r="I4058" i="9"/>
  <c r="I4059" i="9"/>
  <c r="I4060" i="9"/>
  <c r="I4061" i="9"/>
  <c r="I4062" i="9"/>
  <c r="I4063" i="9"/>
  <c r="I4064" i="9"/>
  <c r="I4065" i="9"/>
  <c r="I4066" i="9"/>
  <c r="I4067" i="9"/>
  <c r="I4068" i="9"/>
  <c r="I4069" i="9"/>
  <c r="I4070" i="9"/>
  <c r="I4071" i="9"/>
  <c r="I4072" i="9"/>
  <c r="I4073" i="9"/>
  <c r="I4074" i="9"/>
  <c r="I4075" i="9"/>
  <c r="I4076" i="9"/>
  <c r="I4077" i="9"/>
  <c r="I4078" i="9"/>
  <c r="I4079" i="9"/>
  <c r="I4080" i="9"/>
  <c r="I4081" i="9"/>
  <c r="I4082" i="9"/>
  <c r="I4083" i="9"/>
  <c r="I4084" i="9"/>
  <c r="I4085" i="9"/>
  <c r="I4086" i="9"/>
  <c r="I4087" i="9"/>
  <c r="I4088" i="9"/>
  <c r="I4089" i="9"/>
  <c r="I4090" i="9"/>
  <c r="I4091" i="9"/>
  <c r="I4092" i="9"/>
  <c r="I4093" i="9"/>
  <c r="I4094" i="9"/>
  <c r="I4095" i="9"/>
  <c r="I4096" i="9"/>
  <c r="I4097" i="9"/>
  <c r="I4098" i="9"/>
  <c r="I4099" i="9"/>
  <c r="I4100" i="9"/>
  <c r="I4101" i="9"/>
  <c r="I4102" i="9"/>
  <c r="I4103" i="9"/>
  <c r="I4104" i="9"/>
  <c r="I4105" i="9"/>
  <c r="I4106" i="9"/>
  <c r="I4107" i="9"/>
  <c r="I4108" i="9"/>
  <c r="I4109" i="9"/>
  <c r="I4110" i="9"/>
  <c r="I4111" i="9"/>
  <c r="I4112" i="9"/>
  <c r="I4113" i="9"/>
  <c r="I4114" i="9"/>
  <c r="I4115" i="9"/>
  <c r="I4116" i="9"/>
  <c r="I4117" i="9"/>
  <c r="I4118" i="9"/>
  <c r="I4119" i="9"/>
  <c r="I4120" i="9"/>
  <c r="I4121" i="9"/>
  <c r="I4122" i="9"/>
  <c r="I4123" i="9"/>
  <c r="I4124" i="9"/>
  <c r="I4125" i="9"/>
  <c r="I4126" i="9"/>
  <c r="I4127" i="9"/>
  <c r="I4128" i="9"/>
  <c r="I4129" i="9"/>
  <c r="I4130" i="9"/>
  <c r="I4131" i="9"/>
  <c r="I4132" i="9"/>
  <c r="I4133" i="9"/>
  <c r="I4134" i="9"/>
  <c r="I4135" i="9"/>
  <c r="I4136" i="9"/>
  <c r="I4137" i="9"/>
  <c r="I4138" i="9"/>
  <c r="I4139" i="9"/>
  <c r="I4140" i="9"/>
  <c r="I4141" i="9"/>
  <c r="I4142" i="9"/>
  <c r="I4143" i="9"/>
  <c r="I4144" i="9"/>
  <c r="I4145" i="9"/>
  <c r="I4146" i="9"/>
  <c r="I4147" i="9"/>
  <c r="I4148" i="9"/>
  <c r="I4149" i="9"/>
  <c r="I4150" i="9"/>
  <c r="I4151" i="9"/>
  <c r="I4152" i="9"/>
  <c r="I4153" i="9"/>
  <c r="I4154" i="9"/>
  <c r="I4155" i="9"/>
  <c r="I4156" i="9"/>
  <c r="I4157" i="9"/>
  <c r="I4158" i="9"/>
  <c r="I4159" i="9"/>
  <c r="I4160" i="9"/>
  <c r="I4161" i="9"/>
  <c r="I4162" i="9"/>
  <c r="I4163" i="9"/>
  <c r="I4164" i="9"/>
  <c r="I4165" i="9"/>
  <c r="I4166" i="9"/>
  <c r="I4167" i="9"/>
  <c r="I4168" i="9"/>
  <c r="I4169" i="9"/>
  <c r="I4170" i="9"/>
  <c r="I4171" i="9"/>
  <c r="I4172" i="9"/>
  <c r="I4173" i="9"/>
  <c r="I4174" i="9"/>
  <c r="I4175" i="9"/>
  <c r="I4176" i="9"/>
  <c r="I4177" i="9"/>
  <c r="I4178" i="9"/>
  <c r="I4179" i="9"/>
  <c r="I4180" i="9"/>
  <c r="I4181" i="9"/>
  <c r="I4182" i="9"/>
  <c r="I4183" i="9"/>
  <c r="I4184" i="9"/>
  <c r="I4185" i="9"/>
  <c r="I4186" i="9"/>
  <c r="I4187" i="9"/>
  <c r="I4188" i="9"/>
  <c r="I4189" i="9"/>
  <c r="I4190" i="9"/>
  <c r="I4191" i="9"/>
  <c r="I4192" i="9"/>
  <c r="I4193" i="9"/>
  <c r="I4194" i="9"/>
  <c r="I4195" i="9"/>
  <c r="I4196" i="9"/>
  <c r="I4197" i="9"/>
  <c r="I4198" i="9"/>
  <c r="I4199" i="9"/>
  <c r="I4200" i="9"/>
  <c r="I4201" i="9"/>
  <c r="I4202" i="9"/>
  <c r="I4203" i="9"/>
  <c r="I4204" i="9"/>
  <c r="I4205" i="9"/>
  <c r="I4206" i="9"/>
  <c r="I4207" i="9"/>
  <c r="I4208" i="9"/>
  <c r="I4209" i="9"/>
  <c r="I4210" i="9"/>
  <c r="I4211" i="9"/>
  <c r="I4212" i="9"/>
  <c r="I4213" i="9"/>
  <c r="I4214" i="9"/>
  <c r="I4215" i="9"/>
  <c r="I4216" i="9"/>
  <c r="I4217" i="9"/>
  <c r="I4218" i="9"/>
  <c r="I4219" i="9"/>
  <c r="I4220" i="9"/>
  <c r="I4221" i="9"/>
  <c r="I4222" i="9"/>
  <c r="I4223" i="9"/>
  <c r="I4224" i="9"/>
  <c r="I4225" i="9"/>
  <c r="I4226" i="9"/>
  <c r="I4227" i="9"/>
  <c r="I4228" i="9"/>
  <c r="I4229" i="9"/>
  <c r="I4230" i="9"/>
  <c r="I4231" i="9"/>
  <c r="I4232" i="9"/>
  <c r="I4233" i="9"/>
  <c r="I4234" i="9"/>
  <c r="I4235" i="9"/>
  <c r="I4236" i="9"/>
  <c r="I4237" i="9"/>
  <c r="I4238" i="9"/>
  <c r="I4239" i="9"/>
  <c r="I4240" i="9"/>
  <c r="I4241" i="9"/>
  <c r="I4242" i="9"/>
  <c r="I4243" i="9"/>
  <c r="I4244" i="9"/>
  <c r="I4245" i="9"/>
  <c r="I4246" i="9"/>
  <c r="I4247" i="9"/>
  <c r="I4248" i="9"/>
  <c r="I4249" i="9"/>
  <c r="I4250" i="9"/>
  <c r="I4251" i="9"/>
  <c r="I4252" i="9"/>
  <c r="I4253" i="9"/>
  <c r="I4254" i="9"/>
  <c r="I4255" i="9"/>
  <c r="I4256" i="9"/>
  <c r="I4257" i="9"/>
  <c r="I4258" i="9"/>
  <c r="I4259" i="9"/>
  <c r="I4260" i="9"/>
  <c r="I4261" i="9"/>
  <c r="I4262" i="9"/>
  <c r="I4263" i="9"/>
  <c r="I4264" i="9"/>
  <c r="I4265" i="9"/>
  <c r="I4266" i="9"/>
  <c r="I4267" i="9"/>
  <c r="I4268" i="9"/>
  <c r="I4269" i="9"/>
  <c r="I4270" i="9"/>
  <c r="I4271" i="9"/>
  <c r="I4272" i="9"/>
  <c r="I4273" i="9"/>
  <c r="I4274" i="9"/>
  <c r="I4275" i="9"/>
  <c r="I4276" i="9"/>
  <c r="I4277" i="9"/>
  <c r="I4278" i="9"/>
  <c r="I4279" i="9"/>
  <c r="I4280" i="9"/>
  <c r="I4281" i="9"/>
  <c r="I4282" i="9"/>
  <c r="I4283" i="9"/>
  <c r="I4284" i="9"/>
  <c r="I4285" i="9"/>
  <c r="I4286" i="9"/>
  <c r="I4287" i="9"/>
  <c r="I4288" i="9"/>
  <c r="I4289" i="9"/>
  <c r="I4290" i="9"/>
  <c r="I4291" i="9"/>
  <c r="I4292" i="9"/>
  <c r="I4293" i="9"/>
  <c r="I4294" i="9"/>
  <c r="I4295" i="9"/>
  <c r="I4296" i="9"/>
  <c r="I4297" i="9"/>
  <c r="I4298" i="9"/>
  <c r="I4299" i="9"/>
  <c r="I4300" i="9"/>
  <c r="I4301" i="9"/>
  <c r="I4302" i="9"/>
  <c r="I4303" i="9"/>
  <c r="I4304" i="9"/>
  <c r="I4305" i="9"/>
  <c r="I4306" i="9"/>
  <c r="I4307" i="9"/>
  <c r="I4308" i="9"/>
  <c r="I4309" i="9"/>
  <c r="I4310" i="9"/>
  <c r="I4311" i="9"/>
  <c r="I4312" i="9"/>
  <c r="I4313" i="9"/>
  <c r="I4314" i="9"/>
  <c r="I4315" i="9"/>
  <c r="I4316" i="9"/>
  <c r="I4317" i="9"/>
  <c r="I4318" i="9"/>
  <c r="I4319" i="9"/>
  <c r="I4320" i="9"/>
  <c r="I4321" i="9"/>
  <c r="I4322" i="9"/>
  <c r="I4323" i="9"/>
  <c r="I4324" i="9"/>
  <c r="I4325" i="9"/>
  <c r="I4326" i="9"/>
  <c r="I4327" i="9"/>
  <c r="I4328" i="9"/>
  <c r="I4329" i="9"/>
  <c r="I4330" i="9"/>
  <c r="I4331" i="9"/>
  <c r="I4332" i="9"/>
  <c r="I4333" i="9"/>
  <c r="I4334" i="9"/>
  <c r="I4335" i="9"/>
  <c r="I4336" i="9"/>
  <c r="I4337" i="9"/>
  <c r="I4338" i="9"/>
  <c r="I4339" i="9"/>
  <c r="I4340" i="9"/>
  <c r="I4341" i="9"/>
  <c r="I4342" i="9"/>
  <c r="I4343" i="9"/>
  <c r="I4344" i="9"/>
  <c r="I4345" i="9"/>
  <c r="I4346" i="9"/>
  <c r="I4347" i="9"/>
  <c r="I4348" i="9"/>
  <c r="I4349" i="9"/>
  <c r="I4350" i="9"/>
  <c r="I4351" i="9"/>
  <c r="I4352" i="9"/>
  <c r="I4353" i="9"/>
  <c r="I4354" i="9"/>
  <c r="I4355" i="9"/>
  <c r="I4356" i="9"/>
  <c r="I4357" i="9"/>
  <c r="I4358" i="9"/>
  <c r="I4359" i="9"/>
  <c r="I4360" i="9"/>
  <c r="I4361" i="9"/>
  <c r="I4362" i="9"/>
  <c r="I4363" i="9"/>
  <c r="I4364" i="9"/>
  <c r="I4365" i="9"/>
  <c r="I4366" i="9"/>
  <c r="I4367" i="9"/>
  <c r="I4368" i="9"/>
  <c r="I4369" i="9"/>
  <c r="I4370" i="9"/>
  <c r="I4371" i="9"/>
  <c r="I4372" i="9"/>
  <c r="I4373" i="9"/>
  <c r="I4374" i="9"/>
  <c r="I4375" i="9"/>
  <c r="I4376" i="9"/>
  <c r="I4377" i="9"/>
  <c r="I4378" i="9"/>
  <c r="I4379" i="9"/>
  <c r="I4380" i="9"/>
  <c r="I4381" i="9"/>
  <c r="I4382" i="9"/>
  <c r="I4383" i="9"/>
  <c r="I4384" i="9"/>
  <c r="I4385" i="9"/>
  <c r="I4386" i="9"/>
  <c r="I4387" i="9"/>
  <c r="I4388" i="9"/>
  <c r="I4389" i="9"/>
  <c r="I4390" i="9"/>
  <c r="I4391" i="9"/>
  <c r="I4392" i="9"/>
  <c r="I4393" i="9"/>
  <c r="I4394" i="9"/>
  <c r="I4395" i="9"/>
  <c r="I4396" i="9"/>
  <c r="I4397" i="9"/>
  <c r="I4398" i="9"/>
  <c r="I4399" i="9"/>
  <c r="I4400" i="9"/>
  <c r="I4401" i="9"/>
  <c r="I4402" i="9"/>
  <c r="I4403" i="9"/>
  <c r="I4404" i="9"/>
  <c r="I4405" i="9"/>
  <c r="I4406" i="9"/>
  <c r="I4407" i="9"/>
  <c r="I4408" i="9"/>
  <c r="I4409" i="9"/>
  <c r="I4410" i="9"/>
  <c r="I4411" i="9"/>
  <c r="I4412" i="9"/>
  <c r="I4413" i="9"/>
  <c r="I4414" i="9"/>
  <c r="I4415" i="9"/>
  <c r="I4416" i="9"/>
  <c r="I4417" i="9"/>
  <c r="I4418" i="9"/>
  <c r="I4419" i="9"/>
  <c r="I4420" i="9"/>
  <c r="I4421" i="9"/>
  <c r="I4422" i="9"/>
  <c r="I4423" i="9"/>
  <c r="I4424" i="9"/>
  <c r="I4425" i="9"/>
  <c r="I4426" i="9"/>
  <c r="I4427" i="9"/>
  <c r="I4428" i="9"/>
  <c r="I4429" i="9"/>
  <c r="I4430" i="9"/>
  <c r="I4431" i="9"/>
  <c r="I4432" i="9"/>
  <c r="I4433" i="9"/>
  <c r="I4434" i="9"/>
  <c r="I4435" i="9"/>
  <c r="I4436" i="9"/>
  <c r="I4437" i="9"/>
  <c r="I4438" i="9"/>
  <c r="I4439" i="9"/>
  <c r="I4440" i="9"/>
  <c r="I4441" i="9"/>
  <c r="I4442" i="9"/>
  <c r="I4443" i="9"/>
  <c r="I4444" i="9"/>
  <c r="I4445" i="9"/>
  <c r="I4446" i="9"/>
  <c r="I4447" i="9"/>
  <c r="I4448" i="9"/>
  <c r="I4449" i="9"/>
  <c r="I4450" i="9"/>
  <c r="I4451" i="9"/>
  <c r="I4452" i="9"/>
  <c r="I4453" i="9"/>
  <c r="I4454" i="9"/>
  <c r="I4455" i="9"/>
  <c r="I4456" i="9"/>
  <c r="I4457" i="9"/>
  <c r="I4458" i="9"/>
  <c r="I4459" i="9"/>
  <c r="I4460" i="9"/>
  <c r="I4461" i="9"/>
  <c r="I4462" i="9"/>
  <c r="I4463" i="9"/>
  <c r="I4464" i="9"/>
  <c r="I4465" i="9"/>
  <c r="I4466" i="9"/>
  <c r="I4467" i="9"/>
  <c r="I4468" i="9"/>
  <c r="I4469" i="9"/>
  <c r="I4470" i="9"/>
  <c r="I4471" i="9"/>
  <c r="I4472" i="9"/>
  <c r="I4473" i="9"/>
  <c r="I4474" i="9"/>
  <c r="I4475" i="9"/>
  <c r="I4476" i="9"/>
  <c r="I4477" i="9"/>
  <c r="I4478" i="9"/>
  <c r="I4479" i="9"/>
  <c r="I4480" i="9"/>
  <c r="I4481" i="9"/>
  <c r="I4482" i="9"/>
  <c r="I4483" i="9"/>
  <c r="I4484" i="9"/>
  <c r="I4485" i="9"/>
  <c r="I4486" i="9"/>
  <c r="I4487" i="9"/>
  <c r="I4488" i="9"/>
  <c r="I4489" i="9"/>
  <c r="I4490" i="9"/>
  <c r="I4491" i="9"/>
  <c r="I4492" i="9"/>
  <c r="I4493" i="9"/>
  <c r="I4494" i="9"/>
  <c r="I4495" i="9"/>
  <c r="I4496" i="9"/>
  <c r="I4497" i="9"/>
  <c r="I4498" i="9"/>
  <c r="I4499" i="9"/>
  <c r="I4500" i="9"/>
  <c r="I4501" i="9"/>
  <c r="I4502" i="9"/>
  <c r="I4503" i="9"/>
  <c r="I4504" i="9"/>
  <c r="I4505" i="9"/>
  <c r="I4506" i="9"/>
  <c r="I4507" i="9"/>
  <c r="I4508" i="9"/>
  <c r="I4509" i="9"/>
  <c r="I4510" i="9"/>
  <c r="I4511" i="9"/>
  <c r="I4512" i="9"/>
  <c r="I4513" i="9"/>
  <c r="I4514" i="9"/>
  <c r="I4515" i="9"/>
  <c r="I4516" i="9"/>
  <c r="I4517" i="9"/>
  <c r="I4518" i="9"/>
  <c r="I4519" i="9"/>
  <c r="I4520" i="9"/>
  <c r="I4521" i="9"/>
  <c r="I4522" i="9"/>
  <c r="I4523" i="9"/>
  <c r="I4524" i="9"/>
  <c r="I4525" i="9"/>
  <c r="I4526" i="9"/>
  <c r="I4527" i="9"/>
  <c r="I4528" i="9"/>
  <c r="I4529" i="9"/>
  <c r="I4530" i="9"/>
  <c r="I4531" i="9"/>
  <c r="I4532" i="9"/>
  <c r="I4533" i="9"/>
  <c r="I4534" i="9"/>
  <c r="I4535" i="9"/>
  <c r="I4536" i="9"/>
  <c r="I4537" i="9"/>
  <c r="I4538" i="9"/>
  <c r="I4539" i="9"/>
  <c r="I4540" i="9"/>
  <c r="I4541" i="9"/>
  <c r="I4542" i="9"/>
  <c r="I4543" i="9"/>
  <c r="I4544" i="9"/>
  <c r="I4545" i="9"/>
  <c r="I4546" i="9"/>
  <c r="I4547" i="9"/>
  <c r="I4548" i="9"/>
  <c r="I4549" i="9"/>
  <c r="I4550" i="9"/>
  <c r="I4551" i="9"/>
  <c r="I4552" i="9"/>
  <c r="I4553" i="9"/>
  <c r="I4554" i="9"/>
  <c r="I4555" i="9"/>
  <c r="I4556" i="9"/>
  <c r="I4557" i="9"/>
  <c r="I4558" i="9"/>
  <c r="I4559" i="9"/>
  <c r="I4560" i="9"/>
  <c r="I4561" i="9"/>
  <c r="I4562" i="9"/>
  <c r="I4563" i="9"/>
  <c r="I4564" i="9"/>
  <c r="I4565" i="9"/>
  <c r="I4566" i="9"/>
  <c r="I4567" i="9"/>
  <c r="I4568" i="9"/>
  <c r="I4569" i="9"/>
  <c r="I4570" i="9"/>
  <c r="I4571" i="9"/>
  <c r="I4572" i="9"/>
  <c r="I4573" i="9"/>
  <c r="I4574" i="9"/>
  <c r="I4575" i="9"/>
  <c r="I4576" i="9"/>
  <c r="I4577" i="9"/>
  <c r="I4578" i="9"/>
  <c r="I4579" i="9"/>
  <c r="I4580" i="9"/>
  <c r="I4581" i="9"/>
  <c r="I4582" i="9"/>
  <c r="I4583" i="9"/>
  <c r="I4584" i="9"/>
  <c r="I4585" i="9"/>
  <c r="I4586" i="9"/>
  <c r="I4587" i="9"/>
  <c r="I4588" i="9"/>
  <c r="I4589" i="9"/>
  <c r="I4590" i="9"/>
  <c r="I4591" i="9"/>
  <c r="I4592" i="9"/>
  <c r="I4593" i="9"/>
  <c r="I4594" i="9"/>
  <c r="I4595" i="9"/>
  <c r="I4596" i="9"/>
  <c r="I4597" i="9"/>
  <c r="I4598" i="9"/>
  <c r="I4599" i="9"/>
  <c r="I4600" i="9"/>
  <c r="I4601" i="9"/>
  <c r="I4602" i="9"/>
  <c r="I4603" i="9"/>
  <c r="I4604" i="9"/>
  <c r="I4605" i="9"/>
  <c r="I4606" i="9"/>
  <c r="I4607" i="9"/>
  <c r="I4608" i="9"/>
  <c r="I4609" i="9"/>
  <c r="I4610" i="9"/>
  <c r="I4611" i="9"/>
  <c r="I4612" i="9"/>
  <c r="I4613" i="9"/>
  <c r="I4614" i="9"/>
  <c r="I4615" i="9"/>
  <c r="I4616" i="9"/>
  <c r="I4617" i="9"/>
  <c r="I4618" i="9"/>
  <c r="I4619" i="9"/>
  <c r="I4620" i="9"/>
  <c r="I4621" i="9"/>
  <c r="I4622" i="9"/>
  <c r="I4623" i="9"/>
  <c r="I4624" i="9"/>
  <c r="I4625" i="9"/>
  <c r="I4626" i="9"/>
  <c r="I4627" i="9"/>
  <c r="I4628" i="9"/>
  <c r="I4629" i="9"/>
  <c r="I4630" i="9"/>
  <c r="I4631" i="9"/>
  <c r="I4632" i="9"/>
  <c r="I4633" i="9"/>
  <c r="I4634" i="9"/>
  <c r="I4635" i="9"/>
  <c r="I4636" i="9"/>
  <c r="I4637" i="9"/>
  <c r="I4638" i="9"/>
  <c r="I4639" i="9"/>
  <c r="I4640" i="9"/>
  <c r="I4641" i="9"/>
  <c r="I4642" i="9"/>
  <c r="I4643" i="9"/>
  <c r="I4644" i="9"/>
  <c r="I4645" i="9"/>
  <c r="I4646" i="9"/>
  <c r="I4647" i="9"/>
  <c r="I4648" i="9"/>
  <c r="I4649" i="9"/>
  <c r="I4650" i="9"/>
  <c r="I4651" i="9"/>
  <c r="I4652" i="9"/>
  <c r="I4653" i="9"/>
  <c r="I4654" i="9"/>
  <c r="I4655" i="9"/>
  <c r="I4656" i="9"/>
  <c r="I4657" i="9"/>
  <c r="I4658" i="9"/>
  <c r="I4659" i="9"/>
  <c r="I4660" i="9"/>
  <c r="I4661" i="9"/>
  <c r="I4662" i="9"/>
  <c r="I4663" i="9"/>
  <c r="I4664" i="9"/>
  <c r="I4665" i="9"/>
  <c r="I4666" i="9"/>
  <c r="I4667" i="9"/>
  <c r="I4668" i="9"/>
  <c r="I4669" i="9"/>
  <c r="I4670" i="9"/>
  <c r="I4671" i="9"/>
  <c r="I4672" i="9"/>
  <c r="I4673" i="9"/>
  <c r="I4674" i="9"/>
  <c r="I4675" i="9"/>
  <c r="I4676" i="9"/>
  <c r="I4677" i="9"/>
  <c r="I4678" i="9"/>
  <c r="I4679" i="9"/>
  <c r="I4680" i="9"/>
  <c r="I4681" i="9"/>
  <c r="I4682" i="9"/>
  <c r="I4683" i="9"/>
  <c r="I4684" i="9"/>
  <c r="I4685" i="9"/>
  <c r="I4686" i="9"/>
  <c r="I4687" i="9"/>
  <c r="I4688" i="9"/>
  <c r="I4689" i="9"/>
  <c r="I4690" i="9"/>
  <c r="I4691" i="9"/>
  <c r="I4692" i="9"/>
  <c r="I4693" i="9"/>
  <c r="I4694" i="9"/>
  <c r="I4695" i="9"/>
  <c r="I4696" i="9"/>
  <c r="I4697" i="9"/>
  <c r="I4698" i="9"/>
  <c r="I4699" i="9"/>
  <c r="I4700" i="9"/>
  <c r="I4701" i="9"/>
  <c r="I4702" i="9"/>
  <c r="I4703" i="9"/>
  <c r="I4704" i="9"/>
  <c r="I4705" i="9"/>
  <c r="I4706" i="9"/>
  <c r="I4707" i="9"/>
  <c r="I4708" i="9"/>
  <c r="I4709" i="9"/>
  <c r="I4710" i="9"/>
  <c r="I4711" i="9"/>
  <c r="I4712" i="9"/>
  <c r="I4713" i="9"/>
  <c r="I4714" i="9"/>
  <c r="I4715" i="9"/>
  <c r="I4716" i="9"/>
  <c r="I4717" i="9"/>
  <c r="I4718" i="9"/>
  <c r="I4719" i="9"/>
  <c r="I4720" i="9"/>
  <c r="I4721" i="9"/>
  <c r="I4722" i="9"/>
  <c r="I4723" i="9"/>
  <c r="I4724" i="9"/>
  <c r="I4725" i="9"/>
  <c r="I4726" i="9"/>
  <c r="I4727" i="9"/>
  <c r="I4728" i="9"/>
  <c r="I4729" i="9"/>
  <c r="I4730" i="9"/>
  <c r="I4731" i="9"/>
  <c r="I4732" i="9"/>
  <c r="I4733" i="9"/>
  <c r="I4734" i="9"/>
  <c r="I4735" i="9"/>
  <c r="I4736" i="9"/>
  <c r="I4737" i="9"/>
  <c r="I4738" i="9"/>
  <c r="I4739" i="9"/>
  <c r="I4740" i="9"/>
  <c r="I4741" i="9"/>
  <c r="I4742" i="9"/>
  <c r="I4743" i="9"/>
  <c r="I4744" i="9"/>
  <c r="I4745" i="9"/>
  <c r="I4746" i="9"/>
  <c r="I4747" i="9"/>
  <c r="I4748" i="9"/>
  <c r="I4749" i="9"/>
  <c r="I4750" i="9"/>
  <c r="I4751" i="9"/>
  <c r="I4752" i="9"/>
  <c r="I4753" i="9"/>
  <c r="I4754" i="9"/>
  <c r="I4755" i="9"/>
  <c r="I4756" i="9"/>
  <c r="I4757" i="9"/>
  <c r="I4758" i="9"/>
  <c r="I4759" i="9"/>
  <c r="I4760" i="9"/>
  <c r="I4761" i="9"/>
  <c r="I4762" i="9"/>
  <c r="I4763" i="9"/>
  <c r="I4764" i="9"/>
  <c r="I4765" i="9"/>
  <c r="I4766" i="9"/>
  <c r="I4767" i="9"/>
  <c r="I4768" i="9"/>
  <c r="I4769" i="9"/>
  <c r="I4770" i="9"/>
  <c r="I4771" i="9"/>
  <c r="I4772" i="9"/>
  <c r="I4773" i="9"/>
  <c r="I4774" i="9"/>
  <c r="I4775" i="9"/>
  <c r="I4776" i="9"/>
  <c r="I4777" i="9"/>
  <c r="I4778" i="9"/>
  <c r="I4779" i="9"/>
  <c r="I4780" i="9"/>
  <c r="I4781" i="9"/>
  <c r="I4782" i="9"/>
  <c r="I4783" i="9"/>
  <c r="I4784" i="9"/>
  <c r="I4785" i="9"/>
  <c r="I4786" i="9"/>
  <c r="I4787" i="9"/>
  <c r="I4788" i="9"/>
  <c r="I4789" i="9"/>
  <c r="I4790" i="9"/>
  <c r="I4791" i="9"/>
  <c r="I4792" i="9"/>
  <c r="I4793" i="9"/>
  <c r="I4794" i="9"/>
  <c r="I4795" i="9"/>
  <c r="I4796" i="9"/>
  <c r="I4797" i="9"/>
  <c r="I4798" i="9"/>
  <c r="I4799" i="9"/>
  <c r="I4800" i="9"/>
  <c r="I4801" i="9"/>
  <c r="I4802" i="9"/>
  <c r="I4803" i="9"/>
  <c r="I4804" i="9"/>
  <c r="I4805" i="9"/>
  <c r="I4806" i="9"/>
  <c r="I4807" i="9"/>
  <c r="I4808" i="9"/>
  <c r="I4809" i="9"/>
  <c r="I4810" i="9"/>
  <c r="I4811" i="9"/>
  <c r="I4812" i="9"/>
  <c r="I4813" i="9"/>
  <c r="I4814" i="9"/>
  <c r="I4815" i="9"/>
  <c r="I4816" i="9"/>
  <c r="I4817" i="9"/>
  <c r="I4818" i="9"/>
  <c r="I4819" i="9"/>
  <c r="I4820" i="9"/>
  <c r="I4821" i="9"/>
  <c r="I4822" i="9"/>
  <c r="I4823" i="9"/>
  <c r="I4824" i="9"/>
  <c r="I4825" i="9"/>
  <c r="I4826" i="9"/>
  <c r="I4827" i="9"/>
  <c r="I4828" i="9"/>
  <c r="I4829" i="9"/>
  <c r="I4830" i="9"/>
  <c r="I4831" i="9"/>
  <c r="I4832" i="9"/>
  <c r="I4833" i="9"/>
  <c r="I4834" i="9"/>
  <c r="I4835" i="9"/>
  <c r="I4836" i="9"/>
  <c r="I4837" i="9"/>
  <c r="I4838" i="9"/>
  <c r="I4839" i="9"/>
  <c r="I4840" i="9"/>
  <c r="I4841" i="9"/>
  <c r="I4842" i="9"/>
  <c r="I4843" i="9"/>
  <c r="I4844" i="9"/>
  <c r="I4845" i="9"/>
  <c r="I4846" i="9"/>
  <c r="I4847" i="9"/>
  <c r="I4848" i="9"/>
  <c r="I4849" i="9"/>
  <c r="I4850" i="9"/>
  <c r="I4851" i="9"/>
  <c r="I4852" i="9"/>
  <c r="I4853" i="9"/>
  <c r="I4854" i="9"/>
  <c r="I4855" i="9"/>
  <c r="I4856" i="9"/>
  <c r="I4857" i="9"/>
  <c r="I4858" i="9"/>
  <c r="I4859" i="9"/>
  <c r="I4860" i="9"/>
  <c r="I4861" i="9"/>
  <c r="I4862" i="9"/>
  <c r="I4863" i="9"/>
  <c r="I4864" i="9"/>
  <c r="I4865" i="9"/>
  <c r="I4866" i="9"/>
  <c r="I4867" i="9"/>
  <c r="I4868" i="9"/>
  <c r="I4869" i="9"/>
  <c r="I4870" i="9"/>
  <c r="I4871" i="9"/>
  <c r="I4872" i="9"/>
  <c r="I4873" i="9"/>
  <c r="I4874" i="9"/>
  <c r="I4875" i="9"/>
  <c r="I4876" i="9"/>
  <c r="I4877" i="9"/>
  <c r="I4878" i="9"/>
  <c r="I4879" i="9"/>
  <c r="I4880" i="9"/>
  <c r="I4881" i="9"/>
  <c r="I4882" i="9"/>
  <c r="I4883" i="9"/>
  <c r="I4884" i="9"/>
  <c r="I4885" i="9"/>
  <c r="I4886" i="9"/>
  <c r="I4887" i="9"/>
  <c r="I4888" i="9"/>
  <c r="I4889" i="9"/>
  <c r="I4890" i="9"/>
  <c r="I4891" i="9"/>
  <c r="I4892" i="9"/>
  <c r="I4893" i="9"/>
  <c r="I4894" i="9"/>
  <c r="I4895" i="9"/>
  <c r="I4896" i="9"/>
  <c r="I4897" i="9"/>
  <c r="I4898" i="9"/>
  <c r="I4899" i="9"/>
  <c r="I4900" i="9"/>
  <c r="I4901" i="9"/>
  <c r="I4902" i="9"/>
  <c r="I4903" i="9"/>
  <c r="I4904" i="9"/>
  <c r="I4905" i="9"/>
  <c r="I4906" i="9"/>
  <c r="I4907" i="9"/>
  <c r="I4908" i="9"/>
  <c r="I4909" i="9"/>
  <c r="I4910" i="9"/>
  <c r="I4911" i="9"/>
  <c r="I4912" i="9"/>
  <c r="I4913" i="9"/>
  <c r="I4914" i="9"/>
  <c r="I4915" i="9"/>
  <c r="I4916" i="9"/>
  <c r="I4917" i="9"/>
  <c r="I4918" i="9"/>
  <c r="I4919" i="9"/>
  <c r="I4920" i="9"/>
  <c r="I4921" i="9"/>
  <c r="I4922" i="9"/>
  <c r="I4923" i="9"/>
  <c r="I4924" i="9"/>
  <c r="I4925" i="9"/>
  <c r="I4926" i="9"/>
  <c r="I4927" i="9"/>
  <c r="I4928" i="9"/>
  <c r="I4929" i="9"/>
  <c r="I4930" i="9"/>
  <c r="I4931" i="9"/>
  <c r="I4932" i="9"/>
  <c r="I4933" i="9"/>
  <c r="I4934" i="9"/>
  <c r="I4935" i="9"/>
  <c r="I4936" i="9"/>
  <c r="I4937" i="9"/>
  <c r="I4938" i="9"/>
  <c r="I4939" i="9"/>
  <c r="I4940" i="9"/>
  <c r="I4941" i="9"/>
  <c r="I4942" i="9"/>
  <c r="I4943" i="9"/>
  <c r="I4944" i="9"/>
  <c r="I4945" i="9"/>
  <c r="I4946" i="9"/>
  <c r="I4947" i="9"/>
  <c r="I4948" i="9"/>
  <c r="I4949" i="9"/>
  <c r="I4950" i="9"/>
  <c r="I4951" i="9"/>
  <c r="I4952" i="9"/>
  <c r="I4953" i="9"/>
  <c r="I4954" i="9"/>
  <c r="I4955" i="9"/>
  <c r="I4956" i="9"/>
  <c r="I4957" i="9"/>
  <c r="I4958" i="9"/>
  <c r="I4959" i="9"/>
  <c r="I4960" i="9"/>
  <c r="I4961" i="9"/>
  <c r="I4962" i="9"/>
  <c r="I4963" i="9"/>
  <c r="I4964" i="9"/>
  <c r="I4965" i="9"/>
  <c r="I4966" i="9"/>
  <c r="I4967" i="9"/>
  <c r="I4968" i="9"/>
  <c r="I4969" i="9"/>
  <c r="I4970" i="9"/>
  <c r="I4971" i="9"/>
  <c r="I4972" i="9"/>
  <c r="I4973" i="9"/>
  <c r="I4974" i="9"/>
  <c r="I4975" i="9"/>
  <c r="I4976" i="9"/>
  <c r="I4977" i="9"/>
  <c r="I4978" i="9"/>
  <c r="I4979" i="9"/>
  <c r="I4980" i="9"/>
  <c r="I4981" i="9"/>
  <c r="I4982" i="9"/>
  <c r="I4983" i="9"/>
  <c r="I4984" i="9"/>
  <c r="I4985" i="9"/>
  <c r="I4986" i="9"/>
  <c r="I4987" i="9"/>
  <c r="I4988" i="9"/>
  <c r="I4989" i="9"/>
  <c r="I4990" i="9"/>
  <c r="I4991" i="9"/>
  <c r="I4992" i="9"/>
  <c r="I4993" i="9"/>
  <c r="I4994" i="9"/>
  <c r="I4995" i="9"/>
  <c r="I4996" i="9"/>
  <c r="I4997" i="9"/>
  <c r="I4998" i="9"/>
  <c r="I4999" i="9"/>
  <c r="I5000" i="9"/>
  <c r="I5001" i="9"/>
  <c r="I5002" i="9"/>
  <c r="I5003" i="9"/>
  <c r="I5004" i="9"/>
  <c r="I5005" i="9"/>
  <c r="I5006" i="9"/>
  <c r="I5007" i="9"/>
  <c r="I5008" i="9"/>
  <c r="I5009" i="9"/>
  <c r="I5010" i="9"/>
  <c r="I5011" i="9"/>
  <c r="I5012" i="9"/>
  <c r="I5013" i="9"/>
  <c r="I5014" i="9"/>
  <c r="I5015" i="9"/>
  <c r="I5016" i="9"/>
  <c r="I5017" i="9"/>
  <c r="I5018" i="9"/>
  <c r="I5019" i="9"/>
  <c r="I5020" i="9"/>
  <c r="I5021" i="9"/>
  <c r="I5022" i="9"/>
  <c r="I5023" i="9"/>
  <c r="I5024" i="9"/>
  <c r="I5025" i="9"/>
  <c r="I5026" i="9"/>
  <c r="I5027" i="9"/>
  <c r="I5028" i="9"/>
  <c r="I5029" i="9"/>
  <c r="I5030" i="9"/>
  <c r="I5031" i="9"/>
  <c r="I5032" i="9"/>
  <c r="I5033" i="9"/>
  <c r="I5034" i="9"/>
  <c r="I5035" i="9"/>
  <c r="I5036" i="9"/>
  <c r="I5037" i="9"/>
  <c r="I5038" i="9"/>
  <c r="I5039" i="9"/>
  <c r="I5040" i="9"/>
  <c r="I5041" i="9"/>
  <c r="I5042" i="9"/>
  <c r="I5043" i="9"/>
  <c r="I5044" i="9"/>
  <c r="I5045" i="9"/>
  <c r="I5046" i="9"/>
  <c r="I5047" i="9"/>
  <c r="I5048" i="9"/>
  <c r="I5049" i="9"/>
  <c r="I5050" i="9"/>
  <c r="I5051" i="9"/>
  <c r="I5052" i="9"/>
  <c r="I5053" i="9"/>
  <c r="I5054" i="9"/>
  <c r="I5055" i="9"/>
  <c r="I5056" i="9"/>
  <c r="I5057" i="9"/>
  <c r="I5058" i="9"/>
  <c r="I5059" i="9"/>
  <c r="I5060" i="9"/>
  <c r="I5061" i="9"/>
  <c r="I5062" i="9"/>
  <c r="I5063" i="9"/>
  <c r="I5064" i="9"/>
  <c r="I5065" i="9"/>
  <c r="I5066" i="9"/>
  <c r="I5067" i="9"/>
  <c r="I5068" i="9"/>
  <c r="I5069" i="9"/>
  <c r="I5070" i="9"/>
  <c r="I5071" i="9"/>
  <c r="I5072" i="9"/>
  <c r="I5073" i="9"/>
  <c r="I5074" i="9"/>
  <c r="I5075" i="9"/>
  <c r="I5076" i="9"/>
  <c r="I5077" i="9"/>
  <c r="I5078" i="9"/>
  <c r="I5079" i="9"/>
  <c r="I5080" i="9"/>
  <c r="I5081" i="9"/>
  <c r="I5082" i="9"/>
  <c r="I5083" i="9"/>
  <c r="I5084" i="9"/>
  <c r="I5085" i="9"/>
  <c r="I5086" i="9"/>
  <c r="I5087" i="9"/>
  <c r="I5088" i="9"/>
  <c r="I5089" i="9"/>
  <c r="I5090" i="9"/>
  <c r="I5091" i="9"/>
  <c r="I5092" i="9"/>
  <c r="I5093" i="9"/>
  <c r="I5094" i="9"/>
  <c r="I5095" i="9"/>
  <c r="I5096" i="9"/>
  <c r="G2" i="10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S22" i="6" s="1"/>
  <c r="F161" i="6"/>
  <c r="F160" i="6"/>
  <c r="F159" i="6"/>
  <c r="F158" i="6"/>
  <c r="F157" i="6"/>
  <c r="F156" i="6"/>
  <c r="F155" i="6"/>
  <c r="F154" i="6"/>
  <c r="F153" i="6"/>
  <c r="F152" i="6"/>
  <c r="F151" i="6"/>
  <c r="F150" i="6"/>
  <c r="S20" i="6" s="1"/>
  <c r="F149" i="6"/>
  <c r="F148" i="6"/>
  <c r="F147" i="6"/>
  <c r="F146" i="6"/>
  <c r="F145" i="6"/>
  <c r="F144" i="6"/>
  <c r="F143" i="6"/>
  <c r="F142" i="6"/>
  <c r="F141" i="6"/>
  <c r="F140" i="6"/>
  <c r="F139" i="6"/>
  <c r="F138" i="6"/>
  <c r="S19" i="6" s="1"/>
  <c r="F137" i="6"/>
  <c r="F136" i="6"/>
  <c r="F135" i="6"/>
  <c r="F134" i="6"/>
  <c r="F133" i="6"/>
  <c r="F132" i="6"/>
  <c r="F131" i="6"/>
  <c r="F130" i="6"/>
  <c r="F129" i="6"/>
  <c r="F128" i="6"/>
  <c r="F127" i="6"/>
  <c r="F126" i="6"/>
  <c r="S17" i="6" s="1"/>
  <c r="F125" i="6"/>
  <c r="F124" i="6"/>
  <c r="F123" i="6"/>
  <c r="F122" i="6"/>
  <c r="F121" i="6"/>
  <c r="F120" i="6"/>
  <c r="F119" i="6"/>
  <c r="F118" i="6"/>
  <c r="F117" i="6"/>
  <c r="F116" i="6"/>
  <c r="F115" i="6"/>
  <c r="F114" i="6"/>
  <c r="S16" i="6" s="1"/>
  <c r="F113" i="6"/>
  <c r="F112" i="6"/>
  <c r="F111" i="6"/>
  <c r="F110" i="6"/>
  <c r="F109" i="6"/>
  <c r="F108" i="6"/>
  <c r="F107" i="6"/>
  <c r="F106" i="6"/>
  <c r="F105" i="6"/>
  <c r="F104" i="6"/>
  <c r="F103" i="6"/>
  <c r="F102" i="6"/>
  <c r="S14" i="6" s="1"/>
  <c r="F101" i="6"/>
  <c r="F100" i="6"/>
  <c r="F99" i="6"/>
  <c r="F98" i="6"/>
  <c r="F97" i="6"/>
  <c r="F96" i="6"/>
  <c r="F95" i="6"/>
  <c r="F94" i="6"/>
  <c r="F93" i="6"/>
  <c r="F92" i="6"/>
  <c r="F91" i="6"/>
  <c r="F90" i="6"/>
  <c r="S13" i="6" s="1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S10" i="6" s="1"/>
  <c r="F65" i="6"/>
  <c r="F64" i="6"/>
  <c r="F63" i="6"/>
  <c r="F62" i="6"/>
  <c r="F61" i="6"/>
  <c r="F60" i="6"/>
  <c r="F59" i="6"/>
  <c r="F58" i="6"/>
  <c r="F57" i="6"/>
  <c r="F56" i="6"/>
  <c r="F55" i="6"/>
  <c r="F54" i="6"/>
  <c r="S8" i="6" s="1"/>
  <c r="F53" i="6"/>
  <c r="F52" i="6"/>
  <c r="F51" i="6"/>
  <c r="F50" i="6"/>
  <c r="F49" i="6"/>
  <c r="F48" i="6"/>
  <c r="F47" i="6"/>
  <c r="F46" i="6"/>
  <c r="F45" i="6"/>
  <c r="F44" i="6"/>
  <c r="F43" i="6"/>
  <c r="F42" i="6"/>
  <c r="S7" i="6" s="1"/>
  <c r="F41" i="6"/>
  <c r="F40" i="6"/>
  <c r="F39" i="6"/>
  <c r="F38" i="6"/>
  <c r="F37" i="6"/>
  <c r="F36" i="6"/>
  <c r="F35" i="6"/>
  <c r="F34" i="6"/>
  <c r="F33" i="6"/>
  <c r="F32" i="6"/>
  <c r="F31" i="6"/>
  <c r="F30" i="6"/>
  <c r="S5" i="6" s="1"/>
  <c r="F29" i="6"/>
  <c r="F28" i="6"/>
  <c r="F27" i="6"/>
  <c r="F26" i="6"/>
  <c r="F25" i="6"/>
  <c r="F24" i="6"/>
  <c r="F23" i="6"/>
  <c r="F22" i="6"/>
  <c r="F21" i="6"/>
  <c r="F20" i="6"/>
  <c r="F19" i="6"/>
  <c r="F18" i="6"/>
  <c r="S4" i="6" s="1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I9" i="10"/>
  <c r="I8" i="10"/>
  <c r="I6" i="10"/>
  <c r="I5" i="10"/>
  <c r="I2" i="10"/>
  <c r="G3" i="10"/>
  <c r="I3" i="10" s="1"/>
  <c r="G4" i="10"/>
  <c r="I4" i="10" s="1"/>
  <c r="G7" i="10"/>
  <c r="I7" i="10" s="1"/>
  <c r="G10" i="10"/>
  <c r="I10" i="10" s="1"/>
  <c r="G11" i="10"/>
  <c r="I11" i="10" s="1"/>
  <c r="G12" i="10"/>
  <c r="I12" i="10" s="1"/>
  <c r="G13" i="10"/>
  <c r="I13" i="10" s="1"/>
  <c r="G14" i="10"/>
  <c r="I14" i="10" s="1"/>
  <c r="G15" i="10"/>
  <c r="I15" i="10" s="1"/>
  <c r="G16" i="10"/>
  <c r="I16" i="10" s="1"/>
  <c r="G17" i="10"/>
  <c r="I17" i="10" s="1"/>
  <c r="G18" i="10"/>
  <c r="I18" i="10" s="1"/>
  <c r="G19" i="10"/>
  <c r="I19" i="10" s="1"/>
  <c r="G20" i="10"/>
  <c r="I20" i="10" s="1"/>
  <c r="G21" i="10"/>
  <c r="I21" i="10" s="1"/>
  <c r="G22" i="10"/>
  <c r="I22" i="10" s="1"/>
  <c r="S3" i="6"/>
  <c r="S6" i="6"/>
  <c r="S9" i="6"/>
  <c r="S11" i="6"/>
  <c r="S12" i="6"/>
  <c r="S15" i="6"/>
  <c r="S18" i="6"/>
  <c r="S21" i="6"/>
  <c r="S2" i="6"/>
  <c r="L4" i="9"/>
  <c r="M4" i="9"/>
  <c r="N4" i="9"/>
  <c r="O4" i="9"/>
  <c r="P4" i="9"/>
  <c r="K2" i="9"/>
  <c r="T2" i="9" s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" i="6"/>
  <c r="V2" i="6" l="1"/>
  <c r="Q2" i="6" s="1"/>
  <c r="V12" i="6"/>
  <c r="P12" i="6" s="1"/>
  <c r="V13" i="6"/>
  <c r="P13" i="6" s="1"/>
  <c r="V20" i="6"/>
  <c r="P20" i="6" s="1"/>
  <c r="V17" i="6"/>
  <c r="P17" i="6" s="1"/>
  <c r="V11" i="6"/>
  <c r="Q11" i="6" s="1"/>
  <c r="V8" i="6"/>
  <c r="Q8" i="6" s="1"/>
  <c r="V5" i="6"/>
  <c r="P5" i="6" s="1"/>
  <c r="V18" i="6"/>
  <c r="Q18" i="6" s="1"/>
  <c r="V6" i="6"/>
  <c r="Q6" i="6" s="1"/>
  <c r="V22" i="6"/>
  <c r="Q22" i="6" s="1"/>
  <c r="V19" i="6"/>
  <c r="Q19" i="6" s="1"/>
  <c r="V16" i="6"/>
  <c r="Q16" i="6" s="1"/>
  <c r="V10" i="6"/>
  <c r="Q10" i="6" s="1"/>
  <c r="V7" i="6"/>
  <c r="Q7" i="6" s="1"/>
  <c r="V4" i="6"/>
  <c r="Q4" i="6" s="1"/>
  <c r="V14" i="6"/>
  <c r="Q14" i="6" s="1"/>
  <c r="V21" i="6"/>
  <c r="Q21" i="6" s="1"/>
  <c r="V15" i="6"/>
  <c r="Q15" i="6" s="1"/>
  <c r="V9" i="6"/>
  <c r="Q9" i="6" s="1"/>
  <c r="V3" i="6"/>
  <c r="Q3" i="6" s="1"/>
  <c r="K4" i="9"/>
  <c r="Q2" i="9"/>
  <c r="U2" i="9"/>
  <c r="R2" i="9"/>
  <c r="S2" i="9"/>
  <c r="Q12" i="6" l="1"/>
  <c r="P2" i="6"/>
  <c r="Q5" i="6"/>
  <c r="P8" i="6"/>
  <c r="Q17" i="6"/>
  <c r="P11" i="6"/>
  <c r="Q20" i="6"/>
  <c r="Q13" i="6"/>
  <c r="P6" i="6"/>
  <c r="P9" i="6"/>
  <c r="P10" i="6"/>
  <c r="P3" i="6"/>
  <c r="P22" i="6"/>
  <c r="P7" i="6"/>
  <c r="P18" i="6"/>
  <c r="P14" i="6"/>
  <c r="P19" i="6"/>
  <c r="P15" i="6"/>
  <c r="P4" i="6"/>
  <c r="P16" i="6"/>
  <c r="P21" i="6"/>
  <c r="V2" i="9"/>
</calcChain>
</file>

<file path=xl/sharedStrings.xml><?xml version="1.0" encoding="utf-8"?>
<sst xmlns="http://schemas.openxmlformats.org/spreadsheetml/2006/main" count="20394" uniqueCount="3163">
  <si>
    <t>Ogolne_Linia</t>
  </si>
  <si>
    <t>zapełnianie linii</t>
  </si>
  <si>
    <t>Przegląd_Serwis</t>
  </si>
  <si>
    <t>wymiana papieru w drukarce</t>
  </si>
  <si>
    <t>kalka</t>
  </si>
  <si>
    <t>interwencja DUR</t>
  </si>
  <si>
    <t>Awaria</t>
  </si>
  <si>
    <t>stacja 50 - test szczelności</t>
  </si>
  <si>
    <t>Duzyj odpad motorow</t>
  </si>
  <si>
    <t>testy</t>
  </si>
  <si>
    <t>dodatkowa przerwa</t>
  </si>
  <si>
    <t>dla dwóch operatorów</t>
  </si>
  <si>
    <t>stacja 20 - praska</t>
  </si>
  <si>
    <t>zabłokowany korpus.Użyto  sciągacza</t>
  </si>
  <si>
    <t>drugi adapter do regeneracji 420895</t>
  </si>
  <si>
    <t>stacja 60 - cell 2</t>
  </si>
  <si>
    <t>error Log.Zabłokowany motor w stacji.Brak możliwośći wyszarpania go ze stacji hydraulicznej.Oczekiwanie na DUR</t>
  </si>
  <si>
    <t>ułamany klucz w adapterze 429895,oddany do regeneracji</t>
  </si>
  <si>
    <t>Szkolenie_Spotkanie</t>
  </si>
  <si>
    <t>spotkanie z koordynatorem</t>
  </si>
  <si>
    <t>zablokowany motor OMPx200 w cell2, Error Log</t>
  </si>
  <si>
    <t>stacja 60 - cell 1</t>
  </si>
  <si>
    <t>zablokowany motor OMPx200 w cell1, Error Log</t>
  </si>
  <si>
    <t>st.50</t>
  </si>
  <si>
    <t>uszkodżony korpus z doły po testy, gniazdo komory B do szlifowania</t>
  </si>
  <si>
    <t>testy kontolne</t>
  </si>
  <si>
    <t>stacja 60 - KUKA</t>
  </si>
  <si>
    <t>zawiszenie</t>
  </si>
  <si>
    <t>dolewanie oleju w zbiornik 0310</t>
  </si>
  <si>
    <t>czyszczenie komory</t>
  </si>
  <si>
    <t>zawieszenie.Error Log X 2 razy</t>
  </si>
  <si>
    <t>wszystkie motory odpadają na szczelność,komora E, 11195065. Zakorkowana stacja napraw. Oczekiwanie na DUR</t>
  </si>
  <si>
    <t>testy kontrolne</t>
  </si>
  <si>
    <t>Jakość</t>
  </si>
  <si>
    <t>selekcja komponentów</t>
  </si>
  <si>
    <t>pomieszane śruby 681x0180 i 681x0181 w 1 kuwetie</t>
  </si>
  <si>
    <t>zablokowany shaft adapter 420283  w cell, praca technologa</t>
  </si>
  <si>
    <t>wymiana etykiet st.30, wymiana cover filma st.40</t>
  </si>
  <si>
    <t>zawizsenie motora</t>
  </si>
  <si>
    <t xml:space="preserve">Motory OMPW,wszystkie odpadają 
na szczelność.Oczekiwanie na DUR </t>
  </si>
  <si>
    <t>Motory OMPW,wszystkie odpadają na szczelność.Oczekiwanie na DUR</t>
  </si>
  <si>
    <t>Motory EMD,praca tylko na Cell 2</t>
  </si>
  <si>
    <t>dodatkowa praca,EMD</t>
  </si>
  <si>
    <t>zabłokowany motor OMP X400</t>
  </si>
  <si>
    <t>duży odpad</t>
  </si>
  <si>
    <t>zabłokowany korpus</t>
  </si>
  <si>
    <t>stacja 41 - dokręcanie śrub</t>
  </si>
  <si>
    <t>zawieszenie X 3 razy</t>
  </si>
  <si>
    <t>praca technologa</t>
  </si>
  <si>
    <t>st.41</t>
  </si>
  <si>
    <t>zawieszenie, nie skrenca motory (support gripper faulted)</t>
  </si>
  <si>
    <t>st. 20</t>
  </si>
  <si>
    <t>testy kontrolne o 06:00</t>
  </si>
  <si>
    <t>Testy</t>
  </si>
  <si>
    <t>zawieszenie X 2 razy</t>
  </si>
  <si>
    <t xml:space="preserve">Audyt </t>
  </si>
  <si>
    <t>wymiana filtra</t>
  </si>
  <si>
    <t>HQ003</t>
  </si>
  <si>
    <t>oczekiwanie na Houghton.Wymiana HQ003</t>
  </si>
  <si>
    <t>klimatyczna</t>
  </si>
  <si>
    <t>zawieszenie X 7 razy,Brak możliwośći resetowania błędów.Oczekiwanie na DUR</t>
  </si>
  <si>
    <t>stacja 40 - montaż śrub</t>
  </si>
  <si>
    <t>pomylone kartki z kodem wałka. Z 11183554 na 11059528.Oczekiwanie na decyzje koordynatora</t>
  </si>
  <si>
    <t>zawieszenieX2 razy</t>
  </si>
  <si>
    <t>termiczna</t>
  </si>
  <si>
    <t>zawieszenie</t>
  </si>
  <si>
    <t>zablokowany motor OMRx160 w cell, error log</t>
  </si>
  <si>
    <t>st.20</t>
  </si>
  <si>
    <t>zablokowany wałek 11183556 w st.20</t>
  </si>
  <si>
    <t>zawieszenie cały czas, nie skrencaje motory</t>
  </si>
  <si>
    <t>odpad motorow OMPx40 11192738 z korpusem 11183824 (Metric) na przedcość obrotowu, praca na cell1 do 07:30</t>
  </si>
  <si>
    <t>szkolenie</t>
  </si>
  <si>
    <t>na st.10,20 i st.40</t>
  </si>
  <si>
    <t>testy kontrolne raz w tygodniu</t>
  </si>
  <si>
    <t>Praca tylko na cell2</t>
  </si>
  <si>
    <t>rework motoru</t>
  </si>
  <si>
    <t>stacja 55 - winda</t>
  </si>
  <si>
    <t>IT_Problem</t>
  </si>
  <si>
    <t>zawieszenie komputera</t>
  </si>
  <si>
    <t>brak internetu</t>
  </si>
  <si>
    <t>za wysoka temperatura w szafe</t>
  </si>
  <si>
    <t>zostalo  nie naprawionu , problem komunikacji windy i nolka z Systemem po errol logu  problem z indeksem , cheblowanie restart całej lini</t>
  </si>
  <si>
    <t>oczekiwanie na DUR</t>
  </si>
  <si>
    <t>ERROR LOG</t>
  </si>
  <si>
    <t>dła 2 operatorów</t>
  </si>
  <si>
    <t>z poprzedniej zmiany, przez zablokowany OMRx375  cell2 potrebye kalibrawanie gniazda, praca na cell 1. oczekiwanie na DUR</t>
  </si>
  <si>
    <t>cell2</t>
  </si>
  <si>
    <t>przez zablokowany OMRx375  cell2 potrebye kalibrawanie gniazda, oczekiwanie na DUR, praca na cell 1</t>
  </si>
  <si>
    <t>OMRx400 przedlużony start testu</t>
  </si>
  <si>
    <t>stacja 30 - montaż silnika</t>
  </si>
  <si>
    <t>Offline vision system</t>
  </si>
  <si>
    <t>sprzatanie komory</t>
  </si>
  <si>
    <t>zawieszenie X 4 razy w ciągu jednej  godziny</t>
  </si>
  <si>
    <t>zabłokowany korpus.Użyto ściągacza</t>
  </si>
  <si>
    <t>zatwiedza wałki bez zaworków,filtr do przeczyszczenia</t>
  </si>
  <si>
    <t>zawieszenie wszystkich stoperów na dole linii,stacji napraw i wkręcania korków.</t>
  </si>
  <si>
    <t>brak możliwości usunięcia błędu.Oczekiwanie na DUR</t>
  </si>
  <si>
    <t>zawieszenie.Oczekiwanie na DUR.Próbowaliśmy naprawić,ale starczyło tylko na kilka sztuk.Nadal czekamy na DUR</t>
  </si>
  <si>
    <t>ułamany walek 11183554 w adapterze 420895. wymiana adaptera, error log</t>
  </si>
  <si>
    <t>zawieszenie index</t>
  </si>
  <si>
    <t>trening operatora</t>
  </si>
  <si>
    <t>st.40</t>
  </si>
  <si>
    <t>odpad motorow na cell 2</t>
  </si>
  <si>
    <t>error log</t>
  </si>
  <si>
    <t>praca na cell 1</t>
  </si>
  <si>
    <t>dolewanie olej</t>
  </si>
  <si>
    <t>NAPRAW CELL 2</t>
  </si>
  <si>
    <t>na linii montaz</t>
  </si>
  <si>
    <t>cell 2 awaria poprzednij  zmiana</t>
  </si>
  <si>
    <t>duży odpad na st.napraw</t>
  </si>
  <si>
    <t>Dur odkręcił dolną pokrywe od hydrauliki i zostawili ją pod windą koło staji 55. Przy opuszczaniu windy została ona przygnieciona.</t>
  </si>
  <si>
    <t>do celi 2</t>
  </si>
  <si>
    <t>komunikat o przegrzaniu napędu motora.Praca tylko na cell1 od 3:00 do 4:00</t>
  </si>
  <si>
    <t xml:space="preserve"> w Cell2 ,motor startuję tylko z REPEAT. Zalecenia DURU tak i puszczać po dwa razy.OMP X 25 11195065,co zagraża przegrzaniu stacji</t>
  </si>
  <si>
    <t>Błokuje co drugi motor.Praca tylko na cell1 01:00 do</t>
  </si>
  <si>
    <t>zabłokowany motor,error Log,oczekiwanie na DUR. 11195065</t>
  </si>
  <si>
    <t>uszkodżony EMD010, praca na cell2</t>
  </si>
  <si>
    <t>2 operatora st.40 i st. 10, 20</t>
  </si>
  <si>
    <t>odpad motorów na przedkość obrotowa, korpus 11183824 (metric), praca na cell1 do 16:06</t>
  </si>
  <si>
    <t>odpad motorów z korpusom metric</t>
  </si>
  <si>
    <t xml:space="preserve">zawieszenie </t>
  </si>
  <si>
    <t xml:space="preserve">zły vision test </t>
  </si>
  <si>
    <t>praca cell 2</t>
  </si>
  <si>
    <t>OMPWX,wycieka olej bokiem.Praca tylko na cell1</t>
  </si>
  <si>
    <t>st.40 i st.10, 20</t>
  </si>
  <si>
    <t>Praca cell 1</t>
  </si>
  <si>
    <t>zabłokowany motor.Error Log</t>
  </si>
  <si>
    <t>Praca tylko na cell2 od 00:50 do 06:00</t>
  </si>
  <si>
    <t>Kuka wyciągnął motor razem z adapterem. Adapter wyłączony z obiegu na celi 1</t>
  </si>
  <si>
    <t>Kuka wyciągnął motor razem z adapterem</t>
  </si>
  <si>
    <t>zawieszenie przy zmianie komory</t>
  </si>
  <si>
    <t>probłematyczny test wizijny bieżni i łożyska 11285004</t>
  </si>
  <si>
    <t>Duży odpad na szczelność.Komora E</t>
  </si>
  <si>
    <t>error LOG</t>
  </si>
  <si>
    <t>testy kontrolne, uruchomienie linii</t>
  </si>
  <si>
    <t>wymiana uszczelok w komore E</t>
  </si>
  <si>
    <t>odpad na szcselność</t>
  </si>
  <si>
    <t>st. 50. duży odpad na szcselność, czszczenie komory E</t>
  </si>
  <si>
    <t>problematyczny test wizyjny na 2 trzpieniu (łożyska)</t>
  </si>
  <si>
    <t xml:space="preserve">teardown </t>
  </si>
  <si>
    <t>cell2 do 00:17</t>
  </si>
  <si>
    <t>piny nie dotiska motor 11285004</t>
  </si>
  <si>
    <t>praca na cell2 walek 11183554</t>
  </si>
  <si>
    <t>zablokowany motor w cell 2, error log</t>
  </si>
  <si>
    <t>na st. napraw</t>
  </si>
  <si>
    <t>dła 1 operatora</t>
  </si>
  <si>
    <t>2 operatora</t>
  </si>
  <si>
    <t>zablokowany motor w st test cell 23</t>
  </si>
  <si>
    <t>praca na cell 2</t>
  </si>
  <si>
    <t>Oczekwianie</t>
  </si>
  <si>
    <t>brakujący komponent</t>
  </si>
  <si>
    <t>151A0445 brak etyket</t>
  </si>
  <si>
    <t>zawiechenie lozysk cały cas</t>
  </si>
  <si>
    <t>motor z adaptrorem</t>
  </si>
  <si>
    <t>adapter</t>
  </si>
  <si>
    <t>wadliwy komponent</t>
  </si>
  <si>
    <t>wałek 11183554,duży odpad na kierunek</t>
  </si>
  <si>
    <t>Motory EMD-7szt.praca tylko na cell2</t>
  </si>
  <si>
    <t>na st.30 do 8:00</t>
  </si>
  <si>
    <t>awaria drukarki</t>
  </si>
  <si>
    <t>zawieszenie aplikacji</t>
  </si>
  <si>
    <t>brak adaptera.Praca na 1 cele do 06:35</t>
  </si>
  <si>
    <t>ułamany klucz w adaptere 420895</t>
  </si>
  <si>
    <t>zablokowany motor OMPx25 z adapterem. ułamany wałek 1183554(wałek poprawiony, 3 dni ta sama problema) w adaptere, brak zapasowego adaptera 420895, Error Log, praca na cell2 od 23:45 do 06:00</t>
  </si>
  <si>
    <t>na st. Napraw</t>
  </si>
  <si>
    <t>testy kontrole</t>
  </si>
  <si>
    <t>3 operatora</t>
  </si>
  <si>
    <t>stacja 10 - załadunek paletki</t>
  </si>
  <si>
    <t>nie działa waga</t>
  </si>
  <si>
    <t xml:space="preserve">   brak wimiana zlicenie speedsensor </t>
  </si>
  <si>
    <t>zawieschenie</t>
  </si>
  <si>
    <t>681X181 SCREW</t>
  </si>
  <si>
    <t>i pracę naprawcze na wysokości</t>
  </si>
  <si>
    <t>brak materiału</t>
  </si>
  <si>
    <t>zawieszenie drukarki</t>
  </si>
  <si>
    <t>na st.napraw</t>
  </si>
  <si>
    <t>z poperzedniej zmiahy</t>
  </si>
  <si>
    <t>Oczekiwanie na automatyka</t>
  </si>
  <si>
    <t>Oczekiwanie na DUR</t>
  </si>
  <si>
    <t>zawieszenie w celi 2.Oczekianie na DUR</t>
  </si>
  <si>
    <t>brak intenetu.Oczekiwanie na informatyka</t>
  </si>
  <si>
    <t>nie pracujacy wagi</t>
  </si>
  <si>
    <t>st.40 od 10:00 do 14:00</t>
  </si>
  <si>
    <t>st.30 od 6:40 do 9:40</t>
  </si>
  <si>
    <t>cell1 do 05:04</t>
  </si>
  <si>
    <t>zablokowany motor w cell1 z innym adapterem, Error Log. Motor z adapterem na narzedniowni</t>
  </si>
  <si>
    <t>ułamany wałek w adaptere, wymiana adaptera 420895, Error Log</t>
  </si>
  <si>
    <t>zli walek 556 -0k , 554-nok</t>
  </si>
  <si>
    <t>operatora na st.40 od 10:00 do 13:35</t>
  </si>
  <si>
    <t>operatora na st.30 od 07:00 do 9:40</t>
  </si>
  <si>
    <t>włączenie linii,testy kontrolne</t>
  </si>
  <si>
    <t>na st.10 i 20</t>
  </si>
  <si>
    <t>po mieszany materiał</t>
  </si>
  <si>
    <t>TESTY</t>
  </si>
  <si>
    <t xml:space="preserve">ZAWIESZENIE </t>
  </si>
  <si>
    <t>zawieszenie korpusa</t>
  </si>
  <si>
    <t>awaria z nocnej zmiany</t>
  </si>
  <si>
    <t>motor z adapterem na paletce st.80, oczekiwanie na DUR</t>
  </si>
  <si>
    <t>od 10:30 do 11:00</t>
  </si>
  <si>
    <t>z poprzedniej zmiany motor z adapterem na paletce st.80, oczekiwanie na DUR</t>
  </si>
  <si>
    <t>motor z adapterem na paletce out</t>
  </si>
  <si>
    <t>wimjana filtra HQ003</t>
  </si>
  <si>
    <t>wymiana kalki</t>
  </si>
  <si>
    <t>zabłokowany korpus X 2razy</t>
  </si>
  <si>
    <t>zawieszenie.Error log</t>
  </si>
  <si>
    <t>od 02:00 włączenie linii, testy kontrolne raz w tygodniu + czynonności okresowe, zapelnianie linii, poprawki lakiernicze</t>
  </si>
  <si>
    <t>Przedłużone testy.OMPX25,11185769</t>
  </si>
  <si>
    <t>ułamany trzpień do 01:30</t>
  </si>
  <si>
    <t>brak startu motorów,zawieszenie EPSONA przy przyzbrajaniu celi1.Oczekiwanie na DUR</t>
  </si>
  <si>
    <t>zawieszenie robota na st.70</t>
  </si>
  <si>
    <t>na st.napraw nowego operatora</t>
  </si>
  <si>
    <t>motor 11257636, wyćiek z adaptera BG422c w prawo, praca na cell1</t>
  </si>
  <si>
    <t>dodatkowa praca - łożyska</t>
  </si>
  <si>
    <t>st.10 i st.20 nowego operatora</t>
  </si>
  <si>
    <t xml:space="preserve">  </t>
  </si>
  <si>
    <t>testy  motorów ze sta ji  napraw</t>
  </si>
  <si>
    <t>testy nolek</t>
  </si>
  <si>
    <t>pompa smaru</t>
  </si>
  <si>
    <t>na st.10, 20 nowego operatora</t>
  </si>
  <si>
    <t>na st.10,20 od 02:00 do 06:00</t>
  </si>
  <si>
    <t>na st.40 nowego operatora</t>
  </si>
  <si>
    <t>testy kontrolne (szkolenie operatora)</t>
  </si>
  <si>
    <t>na szczelność.Komora E, 11261673,zakorkowana st.napraw</t>
  </si>
  <si>
    <t>na szczelnoćś (Nolek) motory 11261673 OMPx50</t>
  </si>
  <si>
    <t>servo/nutrunners not ready</t>
  </si>
  <si>
    <t>kuka i st.41</t>
  </si>
  <si>
    <t>zawieszenie robota na st. 70 z adapteramy</t>
  </si>
  <si>
    <t>na szczelnoćś (Nolek) i kierunek motory 11261673 OMPx50</t>
  </si>
  <si>
    <t>operatora</t>
  </si>
  <si>
    <t>dodatkowa praca motory z lozyskiem</t>
  </si>
  <si>
    <t>awaria z poperzedniej zmiahy</t>
  </si>
  <si>
    <t>bez powodzenia</t>
  </si>
  <si>
    <t>zawieszenie.Oczekiwanie na DUR</t>
  </si>
  <si>
    <t>TESTY KONTROLNE</t>
  </si>
  <si>
    <t>zawieszenie robota na st.80, error log</t>
  </si>
  <si>
    <t>st10</t>
  </si>
  <si>
    <t>dodatkowa praca żaby</t>
  </si>
  <si>
    <t>st30</t>
  </si>
  <si>
    <t>st40</t>
  </si>
  <si>
    <t xml:space="preserve">zawieszenie robota w cell 2, error log </t>
  </si>
  <si>
    <t>uszkodżony EMD010, motory OMRx50EMD, praca na cell2 do 03:00</t>
  </si>
  <si>
    <t>z poprzedniej zmiany podmontaż - praska s-spring nie zaprasowuje cardan</t>
  </si>
  <si>
    <t>sprinpred</t>
  </si>
  <si>
    <t>czyszczenie komory E</t>
  </si>
  <si>
    <t>errorlog</t>
  </si>
  <si>
    <t>DODATKOWA PRACA ŁOŻYSKA</t>
  </si>
  <si>
    <t>ST30</t>
  </si>
  <si>
    <t>awaria na poprzedniej zmiane</t>
  </si>
  <si>
    <t>zablokowany motor</t>
  </si>
  <si>
    <t>z poprzedniej zmiany</t>
  </si>
  <si>
    <t>od 02:00 do 05:00 test motorów z st napraw</t>
  </si>
  <si>
    <t>nolek, naprawa nie udała</t>
  </si>
  <si>
    <t>z poprzedneij zmiany odpad motorów 11261673</t>
  </si>
  <si>
    <t>od 10:50 do 14:00</t>
  </si>
  <si>
    <t>praca tyłko na Cell 2 material 11261673 od 10:30do</t>
  </si>
  <si>
    <t>dla 1 operatora</t>
  </si>
  <si>
    <t>test motorów z st napraw 2 szt</t>
  </si>
  <si>
    <t>test motorów z st napraw 3 szt</t>
  </si>
  <si>
    <t>ZAWIESZENIE PRZY PRZEZBROJENIU.ERROR LOG.Praca technologa</t>
  </si>
  <si>
    <t>test motorów z st. napraw  2 szt</t>
  </si>
  <si>
    <t>test motorów z st. napraw  3 szt</t>
  </si>
  <si>
    <t>test motorów z st. napraw  5 szt o god 14-15</t>
  </si>
  <si>
    <t>zawieszenie EPSONA przy przezbrojeniu.Error Log</t>
  </si>
  <si>
    <t>odkęcony na pełny zakres kurek od zbiornika z olejem.</t>
  </si>
  <si>
    <t>praca na 1 st</t>
  </si>
  <si>
    <t>error log - zawieszenie paletky na st 70 ( rework in)</t>
  </si>
  <si>
    <t>error iog</t>
  </si>
  <si>
    <t>wymiana filtra hq003</t>
  </si>
  <si>
    <t>dodatkowa robota lozyska</t>
  </si>
  <si>
    <t>error log zawieszenie epsona</t>
  </si>
  <si>
    <t xml:space="preserve">testy kontrolne </t>
  </si>
  <si>
    <t xml:space="preserve">zawieszenie index </t>
  </si>
  <si>
    <t>1 operatora</t>
  </si>
  <si>
    <t>stacja 70 - stacja napraw</t>
  </si>
  <si>
    <t>winda</t>
  </si>
  <si>
    <t>ZAWIESZENIE DRUKARKi</t>
  </si>
  <si>
    <t>ZAWIESZENIE  ERROR LOG</t>
  </si>
  <si>
    <t>testy noleka</t>
  </si>
  <si>
    <t>dodatkowa praca na st. Napraw: motory po piaskowaniu-9szt.</t>
  </si>
  <si>
    <t>cardan 11184833</t>
  </si>
  <si>
    <t>test motoów z st napraw 2 szt</t>
  </si>
  <si>
    <t>praca tylko na 1 stacje.Motory EMD od 19:00 do 21:40</t>
  </si>
  <si>
    <t>brak targeta na motory EMD,podmontaż.</t>
  </si>
  <si>
    <t xml:space="preserve">zawieszenie  </t>
  </si>
  <si>
    <t>na st.40 od 14:40 do 17:40</t>
  </si>
  <si>
    <t>dodatkowa praca na st. Napraw: motory po piaskowaniu-23szt+ 2szt niemal. Test na st 60</t>
  </si>
  <si>
    <t>zablokowany motor omp x50</t>
  </si>
  <si>
    <t>dla 1 operator</t>
  </si>
  <si>
    <t>podmontaż żaby</t>
  </si>
  <si>
    <t>zablokowany OMRx315, error log</t>
  </si>
  <si>
    <t>zawieszenie cell1 i cell 2. restart główny computer, nie mogę zrobić error log</t>
  </si>
  <si>
    <t>operatora na st.10,20 od 16:00 do 17:40</t>
  </si>
  <si>
    <t>testy konrolne</t>
  </si>
  <si>
    <t>dodatkowa praca na st. Napraw: motory po piaskowaniu-14szt</t>
  </si>
  <si>
    <t>zawieszenie robota na st.napraw OMPx50</t>
  </si>
  <si>
    <t>zawieszenie przy zmiane komory z B na E</t>
  </si>
  <si>
    <t>motory 11261673, praca na cell1 z poprzedniej zmiany do 07:05</t>
  </si>
  <si>
    <t>praca tylko na cell1</t>
  </si>
  <si>
    <t>oczekiwanie na dur</t>
  </si>
  <si>
    <t>praca tylko na cell1 od 21:00</t>
  </si>
  <si>
    <t>błokuje motory.11261673</t>
  </si>
  <si>
    <t>do cell2,bez powodzenia.</t>
  </si>
  <si>
    <t>zawieszenie przy zmianie komory z B na E</t>
  </si>
  <si>
    <t>probłematyczny test wizijny housing-11248191</t>
  </si>
  <si>
    <t>zawieszenie.Error Log</t>
  </si>
  <si>
    <t>na szczelność,zakorkowana st.napraw</t>
  </si>
  <si>
    <t>na st.40</t>
  </si>
  <si>
    <t>Error Log</t>
  </si>
  <si>
    <t>operatora na st.napraw</t>
  </si>
  <si>
    <t>praca technologa: zablokowany OMPx25, error log</t>
  </si>
  <si>
    <t xml:space="preserve">wymiana cover filma st.40 </t>
  </si>
  <si>
    <t>st.10 i podmontaż żaby</t>
  </si>
  <si>
    <t>dła 4 operatorów</t>
  </si>
  <si>
    <t>dokładanie komponentów</t>
  </si>
  <si>
    <t>stacja 10</t>
  </si>
  <si>
    <t>stacja 30</t>
  </si>
  <si>
    <t xml:space="preserve">alarm pożarowy </t>
  </si>
  <si>
    <t>testy kontrolne+szkolenie</t>
  </si>
  <si>
    <t>rework motoru i regeneracja barcode 11 szt.</t>
  </si>
  <si>
    <t>cell1 z technologem do 16:13</t>
  </si>
  <si>
    <t>kalibracja drukarky i Testy kontrolne</t>
  </si>
  <si>
    <t>awaria z poprzedniej zmiany st.20</t>
  </si>
  <si>
    <t xml:space="preserve">stacja 20 </t>
  </si>
  <si>
    <t>EMERGENCY  STOP</t>
  </si>
  <si>
    <t>kierunek</t>
  </si>
  <si>
    <t>wytek oleju - 11192738</t>
  </si>
  <si>
    <t>wciśnięty przycisk bezpieczeństwa.Error Log+szkolenie</t>
  </si>
  <si>
    <t>zablokowany OMPx50 N w cell + zawieszenie komputera, restart + error log</t>
  </si>
  <si>
    <t>dodatkowa praca-łożyska</t>
  </si>
  <si>
    <t>st 55</t>
  </si>
  <si>
    <t>stacij 20</t>
  </si>
  <si>
    <t>zawieszenie motoru</t>
  </si>
  <si>
    <t>żle zamontowany endcover</t>
  </si>
  <si>
    <t>981x0010</t>
  </si>
  <si>
    <t>zawieszenie elevatora 2</t>
  </si>
  <si>
    <t>wymiana cover filma st.40</t>
  </si>
  <si>
    <t>od 15:25 st.20 test wizijny dołożyska</t>
  </si>
  <si>
    <t>spotkanie miesięczne</t>
  </si>
  <si>
    <t xml:space="preserve">testy kontrolne+szkolenie </t>
  </si>
  <si>
    <t xml:space="preserve">dla 2 operatorów </t>
  </si>
  <si>
    <t>zawieszenie robota na st 80</t>
  </si>
  <si>
    <t>wymiana kałki</t>
  </si>
  <si>
    <t>wymiana etykety</t>
  </si>
  <si>
    <t>brak 3 operatorów</t>
  </si>
  <si>
    <t>awaria pomiaru wysokości cardanu</t>
  </si>
  <si>
    <t>testy linia+nolek</t>
  </si>
  <si>
    <t>zawieszenie st 41</t>
  </si>
  <si>
    <t>motor OMPW,praca tylko na cell2.Oczekiwanie na DUR</t>
  </si>
  <si>
    <t>brak operatora na st.napraw</t>
  </si>
  <si>
    <t>dodatkowa praca - łożyska 4 szt</t>
  </si>
  <si>
    <t>odpad motorów  11185489 (korpus 11180433) na prędkość obrotowu, praca na cell1 do 05:18</t>
  </si>
  <si>
    <t>praca tylko na cell 2. OMPW DO 14:40</t>
  </si>
  <si>
    <t>wypełnianie raportu</t>
  </si>
  <si>
    <t>brak operatora na st napraw.Szkolenie</t>
  </si>
  <si>
    <t xml:space="preserve">epson nie odbiera speedsensora EMD010, praca na cell 2 do 04:54 , Error log </t>
  </si>
  <si>
    <t>szkolenie: podmontaż speedsenser St.10 do 04:23</t>
  </si>
  <si>
    <t>zawieszenie elevtora 2</t>
  </si>
  <si>
    <t>szkolenie: wymiama cover filma st.40 i karta pobrań opakuwań</t>
  </si>
  <si>
    <t>ZAWIESZENIE</t>
  </si>
  <si>
    <t>zawieszenie x 2</t>
  </si>
  <si>
    <t>st.napraw od 06:15 do 14:00</t>
  </si>
  <si>
    <t>brak operatora</t>
  </si>
  <si>
    <t>st.10 i st.20 - 4 godz., st.40 - 4 godz</t>
  </si>
  <si>
    <t>rozgrzewanie oleju</t>
  </si>
  <si>
    <t>stacja HAINZL zalana wodą</t>
  </si>
  <si>
    <t>wymiana etykiet</t>
  </si>
  <si>
    <t>brak startu na motorach OMR X 400</t>
  </si>
  <si>
    <t>zabłokowany motor. OMP X50</t>
  </si>
  <si>
    <t xml:space="preserve">alarm przeciwpożarowy </t>
  </si>
  <si>
    <t>st.40 - 4 godz., st.30 - 4 godz.</t>
  </si>
  <si>
    <t>zawieszenie elevatora 2, OMRx200, 2 razy</t>
  </si>
  <si>
    <t xml:space="preserve">pomyloney endcovery z 1 zmyany </t>
  </si>
  <si>
    <t>Uruchomienie linii,testy kontrolne</t>
  </si>
  <si>
    <t>st.70,80</t>
  </si>
  <si>
    <t>zawieszenie indexa</t>
  </si>
  <si>
    <t>dodatkowa praca na st.70: poprawki piaskowania- 6szt; poprawki Alucrom 3szt</t>
  </si>
  <si>
    <t>zawieszenie st.55 (index)</t>
  </si>
  <si>
    <t>zawieszenie praski + zawieszenie monitora, restart</t>
  </si>
  <si>
    <t>szkolenie: dodatkowa praca - łożyska</t>
  </si>
  <si>
    <t>test motorów po piaskowaniu - 14 szt</t>
  </si>
  <si>
    <t xml:space="preserve">zawiszenie w poz. REWORK IN (omp x 50) </t>
  </si>
  <si>
    <t>dodatkowa praca- lożyskie</t>
  </si>
  <si>
    <t xml:space="preserve"> erorr log</t>
  </si>
  <si>
    <t>praca ha 1 cell OMPW</t>
  </si>
  <si>
    <t>przewrócona paletka z motorem</t>
  </si>
  <si>
    <t>etykiety,regulacja wydruku</t>
  </si>
  <si>
    <t>no data from SIT</t>
  </si>
  <si>
    <t>na stacji napraw.Poprawki lakiernicze i pozostałe</t>
  </si>
  <si>
    <t xml:space="preserve">dodatkowa praca na st.70: poprawki piaskowania- 7szt; poprawki niemal. motorow: zmiana statusu+test+pakowanie-1szt </t>
  </si>
  <si>
    <t>zablokowany motor OMRx50, error log</t>
  </si>
  <si>
    <t>testowe motory</t>
  </si>
  <si>
    <t>st.40 - 4 godz., st.30 - 4 godz</t>
  </si>
  <si>
    <t>error log- brak inf. From SIT</t>
  </si>
  <si>
    <t>walek 11183554</t>
  </si>
  <si>
    <t>restart</t>
  </si>
  <si>
    <t>dodatkowa praca na st.70: poprawki piaskowania- 7szt; poprawki niemal. motorow: zmiana statusu+test+pakowanie-1szt</t>
  </si>
  <si>
    <t>zawieszenie na trzpieniu przy zaprasowaniu teflona 2 razy, korpus 11183810</t>
  </si>
  <si>
    <t>szkolenie: wymiana cover filma st.40</t>
  </si>
  <si>
    <t>praca na wysokości od 9:30 do 10:00</t>
  </si>
  <si>
    <t>st.30 - 4 godz., st.10 i st.20 - 4 godz</t>
  </si>
  <si>
    <t>dodatkowa praca na st.70: poprawki piaskowania- 6szt; poprawki niemal. motorow: zmiana statusu+test+pakowanie-2szt</t>
  </si>
  <si>
    <t>szkolenie: wymiana kalki</t>
  </si>
  <si>
    <t>error log OMPx160</t>
  </si>
  <si>
    <t>nie szukam kierunek, problem z kamera</t>
  </si>
  <si>
    <t xml:space="preserve">włączenie linii, testy kontrolne (szkolenie operatora) </t>
  </si>
  <si>
    <t>operator montażu st.10 i st.20 - 4 godz, st.40 - 4 godz</t>
  </si>
  <si>
    <t xml:space="preserve"> restart komputera</t>
  </si>
  <si>
    <t>index</t>
  </si>
  <si>
    <t>error log, zawieszenie epsona</t>
  </si>
  <si>
    <t>Na st.10-20</t>
  </si>
  <si>
    <t>wadliwe etykiety</t>
  </si>
  <si>
    <t>na materiał do zlecenia</t>
  </si>
  <si>
    <t>st55</t>
  </si>
  <si>
    <t>st.40 od 02:00 do 06:00</t>
  </si>
  <si>
    <t>operatora na st.20 od 22:00 do 01:40</t>
  </si>
  <si>
    <t>Testy kontrolne</t>
  </si>
  <si>
    <t>zabłokowany motor</t>
  </si>
  <si>
    <t>Error log</t>
  </si>
  <si>
    <t>ułamana śruba w korpusie</t>
  </si>
  <si>
    <t>na st.40 od 00:00 do 00:20</t>
  </si>
  <si>
    <t xml:space="preserve">zawieszenie aplikacji.restart </t>
  </si>
  <si>
    <t>i uruchomlenia linii do 21:18</t>
  </si>
  <si>
    <t>No communication from/to ATC</t>
  </si>
  <si>
    <t>epson nie odbiera speedsensora EMD010, praca na cell 2 do 19:12, Error log 2razy</t>
  </si>
  <si>
    <t>czyszczenie komory (B)</t>
  </si>
  <si>
    <t>Testy Nolek,ateq</t>
  </si>
  <si>
    <t>wymiana uszczelki w adaptere BG412g</t>
  </si>
  <si>
    <t>wymjana etukety</t>
  </si>
  <si>
    <t>Wymjana cover film</t>
  </si>
  <si>
    <t>wymiana czujnika filtra</t>
  </si>
  <si>
    <t>zawiszenie walka 11183554 na kerunek</t>
  </si>
  <si>
    <t>Problem z pomiarem cardana</t>
  </si>
  <si>
    <t>NA ST.20</t>
  </si>
  <si>
    <t>nie znajduje kierunek,oczekiwanie na DUR</t>
  </si>
  <si>
    <t>NA ST.41</t>
  </si>
  <si>
    <t>zawieszenie,oczekiwanie na DUR</t>
  </si>
  <si>
    <t>dla 2 operaporów</t>
  </si>
  <si>
    <t>zawieszenie wałka 11183554 na kerunek</t>
  </si>
  <si>
    <t>zawieszenie  KukA czekamy na DUR</t>
  </si>
  <si>
    <t>zawieszenie  wałka 11183554na kerunek</t>
  </si>
  <si>
    <t>st 50</t>
  </si>
  <si>
    <t xml:space="preserve">awaria z poprzednej zmiany ,zabłokowany motor </t>
  </si>
  <si>
    <t xml:space="preserve">zawieszenie korpusa </t>
  </si>
  <si>
    <t>praca DUR NA ST.20</t>
  </si>
  <si>
    <t>szkolenie operatora</t>
  </si>
  <si>
    <t>wymiana etykety,kalibracija,wymiana kalki</t>
  </si>
  <si>
    <t>kalibracija etykety</t>
  </si>
  <si>
    <t>zawieszenie monitora na st.20</t>
  </si>
  <si>
    <t>dla 2 operatorów</t>
  </si>
  <si>
    <t xml:space="preserve">wałki    11183555  </t>
  </si>
  <si>
    <t>zawieszenie, zabłokowany motor</t>
  </si>
  <si>
    <t>na st NAPRAW</t>
  </si>
  <si>
    <t>kuka, test hamulcow do 11:33</t>
  </si>
  <si>
    <t>zawieszenie robota</t>
  </si>
  <si>
    <t>wymiana cover filma</t>
  </si>
  <si>
    <t>error   log</t>
  </si>
  <si>
    <t>zawieszemie komputera na st.20</t>
  </si>
  <si>
    <t xml:space="preserve">szkolenie operatora </t>
  </si>
  <si>
    <t>st.napraw</t>
  </si>
  <si>
    <t>wałek 11183556 -46szt/NOK</t>
  </si>
  <si>
    <t>na ST NAPRAW</t>
  </si>
  <si>
    <t>i testy raz w tygodniu</t>
  </si>
  <si>
    <t>praca IT do 11:34</t>
  </si>
  <si>
    <t>07:08 nic nie naprawiono</t>
  </si>
  <si>
    <t xml:space="preserve">06:36 zawieszenie Standardization. Nie możemy puścić pszewodnik. (The reguest timeout expired) </t>
  </si>
  <si>
    <t>06:30 brak pronta st.10 i główny komputer</t>
  </si>
  <si>
    <t xml:space="preserve">11274685 Zle drukuje etykiey (nie drukue QR-kody i logo "WHITE"). </t>
  </si>
  <si>
    <t>Często zawiszae st.20</t>
  </si>
  <si>
    <t>zawieszeneie korpusu</t>
  </si>
  <si>
    <t>Dodatkowa przerwa operatora</t>
  </si>
  <si>
    <t>montazu</t>
  </si>
  <si>
    <t>tecty noleka</t>
  </si>
  <si>
    <t>error log, zablokowany OMPx50</t>
  </si>
  <si>
    <t>ERROR   LOG,motor zablokowany w staci</t>
  </si>
  <si>
    <t>zawieszenie KUKI,PRACA TEHNOLOGA</t>
  </si>
  <si>
    <t>ERROR   LOG</t>
  </si>
  <si>
    <t>wałek 11183556</t>
  </si>
  <si>
    <t>brak internetu,praca tehnologa</t>
  </si>
  <si>
    <t>rework zaginionego motoru od poprzedniej zmiany</t>
  </si>
  <si>
    <t>zawieszenie ,praca tehnologa</t>
  </si>
  <si>
    <t>wymiana etykety,kalibracija</t>
  </si>
  <si>
    <t xml:space="preserve">zawizsenie </t>
  </si>
  <si>
    <t>awaria od poprzedniej zmiany</t>
  </si>
  <si>
    <t>od 5.25 do 6.00</t>
  </si>
  <si>
    <t>do 5.20</t>
  </si>
  <si>
    <t>nie skręca się śrub</t>
  </si>
  <si>
    <t>oczekiwanie  na DUR</t>
  </si>
  <si>
    <t>Zablokowany motor</t>
  </si>
  <si>
    <t>gear set 11112012</t>
  </si>
  <si>
    <t>operator montazu</t>
  </si>
  <si>
    <t>testy NOLEKA</t>
  </si>
  <si>
    <t>oczekiwanie na Houghton, HQ003</t>
  </si>
  <si>
    <t>zawieszenie monitora na st.10 x 2</t>
  </si>
  <si>
    <t>Zawieszcenie motora</t>
  </si>
  <si>
    <t>operator montażu</t>
  </si>
  <si>
    <t xml:space="preserve"> testy nolek</t>
  </si>
  <si>
    <t>zawieszenie na st. Napraw 2 razy OMPx25</t>
  </si>
  <si>
    <t>zawieszenie,praca tehnologa</t>
  </si>
  <si>
    <t>restart komputera HAINZL,ERROR LOG ST.HIDRAW.</t>
  </si>
  <si>
    <t>cell1 EPSON do 18:15</t>
  </si>
  <si>
    <t>z poprzedniej zmiany, praca na cell2</t>
  </si>
  <si>
    <t>start linii o god.10-10,praca na jedną celle</t>
  </si>
  <si>
    <t>kalibracija EPSON</t>
  </si>
  <si>
    <t xml:space="preserve">praca technologa oraz DUR </t>
  </si>
  <si>
    <t>praca na jedną celle od god.7-35</t>
  </si>
  <si>
    <t>ERROR LOG,zawieszenie,oczekiwanie na DUR,praca DUR</t>
  </si>
  <si>
    <t>zawieszenie EPSON,awaria od poprzedniej zmiany,praca DUR</t>
  </si>
  <si>
    <t>ERROR LOG, awaria EPSONa</t>
  </si>
  <si>
    <t>spadł speed sensor EMD</t>
  </si>
  <si>
    <t>z poprzedniej zmiany, odpad na cell2 na przedkosć obrotowy, motor 11192738, korpus 11183824(OMP metric), praca na cell 1 do 2.10</t>
  </si>
  <si>
    <t>odpad na cell2 na przedkosć obrotowy, motor 11192738, korpus 11183824(OMP metric) do 22:00</t>
  </si>
  <si>
    <t>test motorów z jakośći</t>
  </si>
  <si>
    <t>na st.cell1</t>
  </si>
  <si>
    <t>HQ002</t>
  </si>
  <si>
    <t>dla 1 operatora 22:00-22:10</t>
  </si>
  <si>
    <t>awaria zaworu na powietrze,praca DUR</t>
  </si>
  <si>
    <t>zawieszenie,motor  zablokowany na trzpieniu</t>
  </si>
  <si>
    <t>start linii o 19-10</t>
  </si>
  <si>
    <t>praca DUR na st.hidrawliczną</t>
  </si>
  <si>
    <t>sensor filtra HQ 002 ,oczekiwanie na DUR</t>
  </si>
  <si>
    <t>RESTART komputera na st.20</t>
  </si>
  <si>
    <t>stacja 30 konfiguracja drukarki do ŻABY</t>
  </si>
  <si>
    <t>stacja 41</t>
  </si>
  <si>
    <t>zawieszenie st. hydrawlicznej HAINZL cell1. Restart PC.</t>
  </si>
  <si>
    <t>OPERATOR MONTAŻU</t>
  </si>
  <si>
    <t>testy Nolek</t>
  </si>
  <si>
    <t>zawieszenie Indexa</t>
  </si>
  <si>
    <t>zawieszenie na szrubie 3, OMRx250</t>
  </si>
  <si>
    <t>przez zawieszenie st.10 rework 2 motorów</t>
  </si>
  <si>
    <t>wymiana filtra HQ 003</t>
  </si>
  <si>
    <t>praca tehnologa na st.41</t>
  </si>
  <si>
    <t>Zawieszanie st.20</t>
  </si>
  <si>
    <t>Zawieszanie st.41</t>
  </si>
  <si>
    <t>otpade adapter EMD</t>
  </si>
  <si>
    <t>OPERATORA MONTAŻU</t>
  </si>
  <si>
    <t>zawieszenie epsona na cell 1 przy odberaniu speedsensora, naprawa przes panel epsona</t>
  </si>
  <si>
    <t>podmontaż speedsensor</t>
  </si>
  <si>
    <t xml:space="preserve">zablokowany korpus 11183822 na trzpieniu </t>
  </si>
  <si>
    <t>zawieszenie, error log</t>
  </si>
  <si>
    <t>restart komputera na hainzlu</t>
  </si>
  <si>
    <t>zawieszenie st.41</t>
  </si>
  <si>
    <t>na st NAPRAWY</t>
  </si>
  <si>
    <t>operatora montażu</t>
  </si>
  <si>
    <t>zawieszenie na śrubie 3 OMR</t>
  </si>
  <si>
    <t>restart komputera  HAINZL</t>
  </si>
  <si>
    <t>brak startu</t>
  </si>
  <si>
    <t>rozmowa z BHP</t>
  </si>
  <si>
    <t>szkolenie operatora montażu</t>
  </si>
  <si>
    <t>zamiena Cover film</t>
  </si>
  <si>
    <t>szkolenie na st NAPRAW</t>
  </si>
  <si>
    <t>Nolek: czyszczenie komory B</t>
  </si>
  <si>
    <t>wymiana etykety w drukarce,kalibracija</t>
  </si>
  <si>
    <t xml:space="preserve">Za dużo odpadów na kerunek, </t>
  </si>
  <si>
    <t>trening operatora st NAPRAW</t>
  </si>
  <si>
    <t>AWARIA OD POPRZEDNIEJ ZMIANY</t>
  </si>
  <si>
    <t>AWARIA OD POPRZEDNIEJ ZMIANY,WĆISNĘTY GRZYB</t>
  </si>
  <si>
    <t>PRZERWA DLA 2 OPERATORÓW</t>
  </si>
  <si>
    <t>praca houqhtona oraz DUR</t>
  </si>
  <si>
    <t>wyćek olei z pod filtrów HQ001.,HQ010.STOP hidrawliki,oczekiwanie na Houghton</t>
  </si>
  <si>
    <t>error log,motor zablokowany w stacii</t>
  </si>
  <si>
    <t>zawieszenie st.20,motor zablokowany na trzpieniu</t>
  </si>
  <si>
    <t>trening operatora na st. Napraw</t>
  </si>
  <si>
    <t>dodatkowa praca - lożyska OMRx250 N</t>
  </si>
  <si>
    <t>zawiesznony motor</t>
  </si>
  <si>
    <t>brak dwóch przewodników w systemie Standaryzation</t>
  </si>
  <si>
    <t>szlifowanie torpedy na narzędziowni</t>
  </si>
  <si>
    <t>uszkodzona torpeda 5</t>
  </si>
  <si>
    <t>testy nolek,ateq</t>
  </si>
  <si>
    <t>nie skrenca śrub OMR</t>
  </si>
  <si>
    <t>zawieszenie cell2 i zawieszenie monitora Hainzl</t>
  </si>
  <si>
    <t xml:space="preserve"> wymjana filtra HQ 003</t>
  </si>
  <si>
    <t xml:space="preserve">awaria skanera  </t>
  </si>
  <si>
    <t>cover film</t>
  </si>
  <si>
    <t>testy nolek,ateq szkolenie</t>
  </si>
  <si>
    <t>operatora na st.napraw,testy kontrole</t>
  </si>
  <si>
    <t>na moment startu 9 szt. Ord.56844941</t>
  </si>
  <si>
    <t xml:space="preserve"> na moment startu 8 szt</t>
  </si>
  <si>
    <t>wałek 11183556 30szt.NOK</t>
  </si>
  <si>
    <t>awaria od poprzedniej zmiany,error log</t>
  </si>
  <si>
    <t>zawieszenie kamery i przekazu danych. Oczekiwanie na DUR</t>
  </si>
  <si>
    <t>zabłokowany motor.Error log</t>
  </si>
  <si>
    <t>zawieszenie przy zaprasowaniu łożysk</t>
  </si>
  <si>
    <t>od 14:00-15:00</t>
  </si>
  <si>
    <t xml:space="preserve">miesięczny spotkanie </t>
  </si>
  <si>
    <t>wymiana etykiet, kalibracja wydruku</t>
  </si>
  <si>
    <t>z technologem</t>
  </si>
  <si>
    <t>OMR zawieszenie na śrubie</t>
  </si>
  <si>
    <t>start linii o 5-22</t>
  </si>
  <si>
    <t>z naprawy celle 2  ,40 min.</t>
  </si>
  <si>
    <t>oczekiwanie na Dur</t>
  </si>
  <si>
    <t>ZAWIESZENIE KOMPUTERA NA ST.20</t>
  </si>
  <si>
    <t>zabłokowany motor.error log do 20:07</t>
  </si>
  <si>
    <t>zabłokowany motor.error log</t>
  </si>
  <si>
    <t>wszystkie OMPx40 N odpad na cell1 i cell2</t>
  </si>
  <si>
    <t>włączenie linii, testy</t>
  </si>
  <si>
    <t>problematyczny test wizyjny na lożyska (2 trzpień)</t>
  </si>
  <si>
    <t>operator 4 na szkoleniu na wuzkach</t>
  </si>
  <si>
    <t>nie dziala test wizijny,praca tehnologa</t>
  </si>
  <si>
    <t>praca tehnologa na st.30 z naprawy lampki</t>
  </si>
  <si>
    <t>KIERUNEK 8 SZT</t>
  </si>
  <si>
    <t>zawieszenie komputera HAINZL</t>
  </si>
  <si>
    <t>zawieszenie OMR</t>
  </si>
  <si>
    <t>ułamany klucz w adaptere 420892</t>
  </si>
  <si>
    <t>zawieszenie motora z adapterem na st.80 z cell1</t>
  </si>
  <si>
    <t>cały czas zawiesza na śrubie 3 OMR</t>
  </si>
  <si>
    <t>plate distributor 151-1702</t>
  </si>
  <si>
    <t>servo/ nutrunners not ready</t>
  </si>
  <si>
    <t>wałek 11183554</t>
  </si>
  <si>
    <t>wyciek powietrza</t>
  </si>
  <si>
    <t>wymiana filtra HQ003</t>
  </si>
  <si>
    <t>montaż żaby,szkolenie</t>
  </si>
  <si>
    <t>wałki 11183554,selekcja pod czas produkcji 79szt.</t>
  </si>
  <si>
    <t>tsty nolek,ateq</t>
  </si>
  <si>
    <t>cały czas zawieszenie na śrubie 3 OMR</t>
  </si>
  <si>
    <t>wymiana etykiet i kalki, kalibracja wydruku</t>
  </si>
  <si>
    <t>cardan nie jest zawarty w wałek 11183554 110 szt</t>
  </si>
  <si>
    <t>wałek11183554</t>
  </si>
  <si>
    <t>praca tehnloga</t>
  </si>
  <si>
    <t>zawieszenie na motorach OMR</t>
  </si>
  <si>
    <t>Brak przewodnika 56843495 w systemie Standaryzation.</t>
  </si>
  <si>
    <t>DO ST.20 do 01:00</t>
  </si>
  <si>
    <t>zabłokowany wałek w Hsg Lift Cylinder</t>
  </si>
  <si>
    <t>Testy nolek,ateq</t>
  </si>
  <si>
    <t>brak operatora 4 (szkolenie na wozkah)</t>
  </si>
  <si>
    <t>zawieszenie x 8 razy</t>
  </si>
  <si>
    <t>zawieszenie x 6 razy</t>
  </si>
  <si>
    <t>wymiana cover film</t>
  </si>
  <si>
    <t>zablokowany korpus 11183822 na trzpieniu przy zaprasowaniu teflona 2 razy</t>
  </si>
  <si>
    <t>praca  celle 2</t>
  </si>
  <si>
    <t>praca na jedną celle</t>
  </si>
  <si>
    <t xml:space="preserve">  zawieszony motor Oczekiwanie na DUR</t>
  </si>
  <si>
    <t>operatora 4 na st. Napraw</t>
  </si>
  <si>
    <t>praca na cell1</t>
  </si>
  <si>
    <t>przerwa dla operatora st.napraw</t>
  </si>
  <si>
    <t>brak startu motorów OMP x 315</t>
  </si>
  <si>
    <t>testy Nolek,ateq</t>
  </si>
  <si>
    <t>odpad na obroty.Praca na 1 cele. Oczekiwanie na DUR</t>
  </si>
  <si>
    <t>zawieszenie robota + error log</t>
  </si>
  <si>
    <t>z poprzedniej zmiany, praca na cell1</t>
  </si>
  <si>
    <t>praca na jedną celle od 14-00 do 22-00</t>
  </si>
  <si>
    <t>na celle2</t>
  </si>
  <si>
    <t>PRACA na jedną celle ord.56841251 od 14-00</t>
  </si>
  <si>
    <t>Praca tylko na 1 cele. Motor:11185525 OMR X 200 DO 14:00</t>
  </si>
  <si>
    <t>do cell 2</t>
  </si>
  <si>
    <t>nie dociska adapter,wyciek oleju bokiem.Oczekiwanie na DUR</t>
  </si>
  <si>
    <t>zawieszenie cell1,cell2</t>
  </si>
  <si>
    <t>error log,zabłokowany motor</t>
  </si>
  <si>
    <t>Cell2,na obroty w stronę B,spróba zamiany uszczelek w adapterze.Motory przechodzą test</t>
  </si>
  <si>
    <t>testy nolek,atek,przerwa operatora</t>
  </si>
  <si>
    <t>z poprzedniej zmiany.Odpad na obroty.Motor:11212662 Praca na 1 cele od 06:00 do 06:45</t>
  </si>
  <si>
    <t>z poprzedniej zmiany motory 11212662 odpad na obroty, praca na cell1</t>
  </si>
  <si>
    <t>praca na jedną celle  od 16-50do 22-00</t>
  </si>
  <si>
    <t>naprawa celle 2</t>
  </si>
  <si>
    <t>na obroty,praca tehnologa</t>
  </si>
  <si>
    <t>do cell 2,Serwis zewnętrzny</t>
  </si>
  <si>
    <t>zawieszenie,error log</t>
  </si>
  <si>
    <t>testy nolek,ateq,przerwa operatora</t>
  </si>
  <si>
    <t>awaria z 24.01-2 zmiana.Praca na jedną cele.Oczekiwanie na DUR</t>
  </si>
  <si>
    <t>awaria z poprzedniej zmiany, praca tyłko na cell1</t>
  </si>
  <si>
    <t>praca na jedną celle,urwany bolec na trzpienu,naprawa gniazda</t>
  </si>
  <si>
    <t>START O 20-10</t>
  </si>
  <si>
    <t>praca DUR</t>
  </si>
  <si>
    <t>na st.20</t>
  </si>
  <si>
    <t>brak startu,moment start.Zakorkowana st.napraw</t>
  </si>
  <si>
    <t>zawieszenie.Brak pałączenia z kamerą. Oczekiwanie na DUR</t>
  </si>
  <si>
    <t>error log.zabłokowany motor</t>
  </si>
  <si>
    <t>zabłokowany motor.Error Log.Zawieszenie monitora,aplikacji.Restart</t>
  </si>
  <si>
    <t>zawieszenie robota w cell1</t>
  </si>
  <si>
    <t>zawieszenie robota na st 55</t>
  </si>
  <si>
    <t>na kierunek</t>
  </si>
  <si>
    <t>nolek</t>
  </si>
  <si>
    <t>kieruinek</t>
  </si>
  <si>
    <t>Praca na jedną cele . Do 12</t>
  </si>
  <si>
    <t>leje się olej od strony portów.Sprawdzenie uszczelek w stacji.Error log.Ulamany bolec.Praca technologa i DUR</t>
  </si>
  <si>
    <t>Nolek nie otwiera komory.Oczekiwanie na DUR</t>
  </si>
  <si>
    <t>BRAK OPERATORA NA ST.NAPRAW</t>
  </si>
  <si>
    <t>Uruchomienie linii,testy kontrolne,nolek,ateq.czszczenie komory B</t>
  </si>
  <si>
    <t>problem z dokręcanijem śrub</t>
  </si>
  <si>
    <t>praca na jedną celle 4 ord.56840087 od god.00-40 do 4-15</t>
  </si>
  <si>
    <t>praca na jedną celle 4 ord.56840088</t>
  </si>
  <si>
    <t>dla 3 operatora</t>
  </si>
  <si>
    <t>praca na jedną cele.duży odpad na Leak w strone( B )11185582           OMR X 36 Od 20:00 do 22:00</t>
  </si>
  <si>
    <t>zablokowany korpus</t>
  </si>
  <si>
    <t>duży odpad na szczelność.Z 10 razy trzeba było puśćic tester żeby stabilizować wynik.</t>
  </si>
  <si>
    <t>czyszczenie nolka,komora posiada wgniecenia które uszkadzają motory.Zatrzymanie produkcji i oczekiwanie na DUR</t>
  </si>
  <si>
    <t>ISIR  pod nadzorem Anna Kasprzyk</t>
  </si>
  <si>
    <t>przez operator 4 z decyzji technologa Wojteka Bureka restart analizatora czystośći BQ010 cell1</t>
  </si>
  <si>
    <t>zawieszenie cell2, error log</t>
  </si>
  <si>
    <t>5. po wymianie filtrów nic nie zmieniło, praca na cell 2 do 9:28</t>
  </si>
  <si>
    <t>oczekiwanie na Houghton i wymianaHQ001, HQ010, HQ020</t>
  </si>
  <si>
    <t>przedlużony test na cell2</t>
  </si>
  <si>
    <t>5. odpad motorów na czystość, praca na cell2 do 8:35</t>
  </si>
  <si>
    <t>cały czas zawieszenie na śrubie 3 motor OMR</t>
  </si>
  <si>
    <t>wymiana kalki w drukarce</t>
  </si>
  <si>
    <t>BRAK OPERATORA NA ST.NAPRAW.SAME DIEWCZYNY NA LINII</t>
  </si>
  <si>
    <t>testowe Zaby do 11:42</t>
  </si>
  <si>
    <t>5. duży odpad na Leak w stronu B, motor 11185537 OMRx50 od 7:00 do 9:00 , praca tyłko na cell 1</t>
  </si>
  <si>
    <t>duży odpad na moment starta</t>
  </si>
  <si>
    <t>zawieszenie,aplikacja sama się zamkneła</t>
  </si>
  <si>
    <t>TESTY NOLEK,ATEK</t>
  </si>
  <si>
    <t>BRAK OPERATORA NA ST.NAPRAW.ZOSTAŁY SAME DZIEWCZYNY NA LINII!!!!!!!!!!!!!!!!</t>
  </si>
  <si>
    <t>Z poprzedniej zmiany.brak połączenia z SIT.</t>
  </si>
  <si>
    <t>zawieszoną całą linię: Timeout waiting  for responce from SIT</t>
  </si>
  <si>
    <t>testowe żaby do 12:25</t>
  </si>
  <si>
    <t>Brak przewodnika w Systemie Standaryzation 56837916</t>
  </si>
  <si>
    <t>Odpadła płeksa ochraniająca przy montażu podkładek pod śruby.Oczekiwanie na DUR</t>
  </si>
  <si>
    <t>probłematyczny test górnego o-ringa pod pokrywą OMR X 125 11186655</t>
  </si>
  <si>
    <t>zabłokowany korpus.Użyto ściągacza X 2 razy</t>
  </si>
  <si>
    <t>ocena roczna 3 operatorów</t>
  </si>
  <si>
    <t>NOLEK: montowanie zaworów do Zab</t>
  </si>
  <si>
    <t>zawieszenie windy, praca technologa</t>
  </si>
  <si>
    <t>zablokowany korpus 11183822 na trzpieniu przy zaprasowaniu teflona</t>
  </si>
  <si>
    <t>przedlużony czas testy na st50 motor OMRx250 od 6:30do 8:30</t>
  </si>
  <si>
    <t>rozgrzewanie cell1 i cell2 po dolewaniu oleju</t>
  </si>
  <si>
    <t>zablokowany shaft adapter w cell, praca technologa do 15:26</t>
  </si>
  <si>
    <t>waek 11183554 x10 szt</t>
  </si>
  <si>
    <t>automatyk do KUKA do 21:44</t>
  </si>
  <si>
    <t>naprawa przez informatyka do 19:15. Po naprawie IT interwencja DUR (mechanik) z powodu zawieszenia KUKA, nie ruszyło z perszego raza, oczekiwanie na automatyka</t>
  </si>
  <si>
    <t>nie naprawiony, prawdopodobnie IT problem</t>
  </si>
  <si>
    <t>po przerwie wyłączony główny komputer, po restartu komunikat *BitLoker recovery*</t>
  </si>
  <si>
    <t>zawieszenie.error Log</t>
  </si>
  <si>
    <t>Error log (APTC1, Valve shaft adapter retention cylinder (KK311) run monitoring)</t>
  </si>
  <si>
    <t>kalibracja wkętaka,bo uszkadza cover film przy dokręcaniu drena</t>
  </si>
  <si>
    <t>wymiana etykiet,regulacja wydruku</t>
  </si>
  <si>
    <t>brak operatora na stacji napraw</t>
  </si>
  <si>
    <t>ateq,Nolek</t>
  </si>
  <si>
    <t>zablokowany korpus 11183822na trzpeniu przy zaprasowaniu teflona 3 razy</t>
  </si>
  <si>
    <t>odpad na prędkość obrotowa 11185582 wałek 11183556</t>
  </si>
  <si>
    <t>kalibracija cell1 na moment startowy</t>
  </si>
  <si>
    <t>zawieszenie staciji w ruchu 1050, Error log</t>
  </si>
  <si>
    <t>Oczekiwanie</t>
  </si>
  <si>
    <t>na wymianu order number pszewodników przez brak w system Standardization 3</t>
  </si>
  <si>
    <t>problem z dokręcanijem śrub,praca tehnologa</t>
  </si>
  <si>
    <t>Testy Noleq,ateq</t>
  </si>
  <si>
    <t>dla 2 operatorow</t>
  </si>
  <si>
    <t>wymiana kalki, kalibracja wydruku</t>
  </si>
  <si>
    <t>wałki 11183554 mały otwóry pod zaworki - 180 szt</t>
  </si>
  <si>
    <t>wszystkie motory na linii odpad na kierunek z poprzedniej zmiany</t>
  </si>
  <si>
    <t>awaria ATEQ</t>
  </si>
  <si>
    <t>START LINII O 13-15</t>
  </si>
  <si>
    <t>problemy z zasilaniem,oczekiwanie na DUR</t>
  </si>
  <si>
    <t>zly start motorów, wklad 151-1187</t>
  </si>
  <si>
    <t>WAŁEK 11183554  -90SZT. NOK</t>
  </si>
  <si>
    <t>oczekiwanie na dobre wałki</t>
  </si>
  <si>
    <t>zawieszenie całej linii.Brak połączenia z SIT.Oczekiwanie na DUR</t>
  </si>
  <si>
    <t>sełekcja wałki 11183554</t>
  </si>
  <si>
    <t xml:space="preserve">st.20 </t>
  </si>
  <si>
    <t>zawieszenie brak startu</t>
  </si>
  <si>
    <t>mały ortóry pod zaworki wałki 11183554 - 77 szt</t>
  </si>
  <si>
    <t>zablokowany motor w staciji, error log</t>
  </si>
  <si>
    <t>wklad  151-1180,cardan1184805 pęknięcie procese dokręcanija śrub</t>
  </si>
  <si>
    <t>brak startu testu na obroty- wklad151-1180</t>
  </si>
  <si>
    <t>error log,zawieszenie HAINZL</t>
  </si>
  <si>
    <t>error log,zawieszenie HAINZL,praca tehnologa</t>
  </si>
  <si>
    <t>stacja 80 - dokręcanie korków</t>
  </si>
  <si>
    <t>SEŁEKCJA WAŁKI 11183554-</t>
  </si>
  <si>
    <t>Testy Nolek,Ateq</t>
  </si>
  <si>
    <t>wymiana uszczelek w slideport adaptere BG412g</t>
  </si>
  <si>
    <t>wałek 11183554 ,zamały otwór na zaworek -37 szt.</t>
  </si>
  <si>
    <t>wymiana etykety w drukarce,kalibracja</t>
  </si>
  <si>
    <t>duży odpad na moment startu</t>
  </si>
  <si>
    <t>awaria ,praca na jedną celle,brak adaptera 420895</t>
  </si>
  <si>
    <t>Oczekiwanie na Houghton i wymiana filtra HQ 003</t>
  </si>
  <si>
    <t>zabłokowany motor.ułamany wałek.Sprawdzenie stanu gniazda i adaptera w stacji.</t>
  </si>
  <si>
    <t>SELEKCJA wałki 11183554-80 szt</t>
  </si>
  <si>
    <t>ZABLOKOWANY KORPUS</t>
  </si>
  <si>
    <t>Error Log,zabłokowany motor w stacji x 2 razy</t>
  </si>
  <si>
    <t>motor:11230594,order: 56829605. nieprawidłowy kod klienta i lejał etykiety.Zabłokowany i oczekuję na poprawę etykiety przez informatyka  ( etykiety do poprawy)</t>
  </si>
  <si>
    <t>Error Log,zabłokowany motor w stacji</t>
  </si>
  <si>
    <t>sprawdzenie u kontroli jakości prawidłowe obrócenie lejala.Po konsultacji z kontrolą jakości okazało się że mamy lejał obrócony nieprawidłowo. Oklejanie odbyło się wedlug rysunky z kontroli jakości.Zlecenie zostało zabłokowane jeszcze do konsultacji z technologiem. Motor: 11230594</t>
  </si>
  <si>
    <t>wałek 11183554,sełekcja- 280 szt.</t>
  </si>
  <si>
    <t>Testy nolek.ateq</t>
  </si>
  <si>
    <t>zawieszenie, servo/nutrunners not ready</t>
  </si>
  <si>
    <t>upadł speedsensor, zablokowany pszezbrojeniej cell1 na OMPW, error log</t>
  </si>
  <si>
    <t>error log z poprzedniej zmiany</t>
  </si>
  <si>
    <t>praca tehnologa na st.20 od 14-45 do 15-15.problem z ustawieniem kierunku.</t>
  </si>
  <si>
    <t>prace budowlane na linii</t>
  </si>
  <si>
    <t>Przewodnik ISIR, montaż z technologiem. OMPX250 CCW 11186734, parametry do sprawdzenia dla technologa.</t>
  </si>
  <si>
    <t>zawieszenie na st.napraw z motorem</t>
  </si>
  <si>
    <t>długo wystawia kierunek wałka.</t>
  </si>
  <si>
    <t>selekcja wałka 11183554 - 153 szt.</t>
  </si>
  <si>
    <t>zawieszenie panelu sterowania. Restart i error log.wylaczenie przez dur komputera w szafie</t>
  </si>
  <si>
    <t>testy ateq nolek</t>
  </si>
  <si>
    <t>testy 10min</t>
  </si>
  <si>
    <t>duży odpad na st.napraw przez brak startu na st.hydraulicznych 11186652-OMRx 315 Order: 56834016</t>
  </si>
  <si>
    <t>zawieszenie.Error Log.Nie wyładowuję motory do pakowania .Restart aplikacji i komputera na st. Hydraulicznych. Zawieszenie st.80,trzeba było zatrzymać taśmę i zresetować.</t>
  </si>
  <si>
    <t>error .log Zabłokowany motor  w stacji</t>
  </si>
  <si>
    <t>niestabilny wydruk etykiety,kalibracja drukarki i wydruku</t>
  </si>
  <si>
    <t>4.praca tylko na 1 cele. 11186647 Order: 56834020- 10szt. housing-11178013</t>
  </si>
  <si>
    <t>Testy nolek,Ateq</t>
  </si>
  <si>
    <t>zablokowany motor w stacji z adapterem</t>
  </si>
  <si>
    <t>zablokowany motor, error log</t>
  </si>
  <si>
    <t>naprawa przez DUR do 15:15</t>
  </si>
  <si>
    <t>praca technologa na st.60</t>
  </si>
  <si>
    <t>duży odpad na obroty,praca technologa</t>
  </si>
  <si>
    <t>z naprawy celle 2</t>
  </si>
  <si>
    <t>5.brak startu.praca tylko na 1 cele od  01:30 do 06:00</t>
  </si>
  <si>
    <t>cell 2,na brak startu.Error Log.</t>
  </si>
  <si>
    <t>zabłokowany motor w stacji.Error log</t>
  </si>
  <si>
    <t xml:space="preserve">testy Nolek,Ateq </t>
  </si>
  <si>
    <t>5. Wykrzywione prowadnice.Praca tylko na 1cele od 22:00 do 00:00</t>
  </si>
  <si>
    <t>zablokowany motor z adapterem w cell. Motor W22512364 w narzędiowni z zablokowany adapterem na wałku, error log</t>
  </si>
  <si>
    <t xml:space="preserve">kuka wyciągnał motor z 
adapterem,oczekiwanie na DUR </t>
  </si>
  <si>
    <t>5). nie zasprzegla motoru, krzywe prowadnice. Praca tyłko na cell1 do 22:00</t>
  </si>
  <si>
    <t>Nolek i cell2</t>
  </si>
  <si>
    <t>praca technologa na st.50 kalibracja  NOLEKa</t>
  </si>
  <si>
    <t>brak operatora st.napraw</t>
  </si>
  <si>
    <t>wadłiwy wałek 11183554-530 szt. Odłożone do sełekcji</t>
  </si>
  <si>
    <t>Error log,praca technologa</t>
  </si>
  <si>
    <t>awaria windy ,oczekiwanie na DUR,PRACA TECHNOLOGA</t>
  </si>
  <si>
    <t>start o 7-59</t>
  </si>
  <si>
    <t>z naprawy windy</t>
  </si>
  <si>
    <t>awaria windy ot poprzedniej zmiany,oczekiwanie na DUR</t>
  </si>
  <si>
    <t>Awaria windy na st.10,przewrócona paletka zabłokowała windę. Oczekiwanie na DUR</t>
  </si>
  <si>
    <t>wadliwe wałki,nie wchodzą zaworki 11183554- 240 szt.</t>
  </si>
  <si>
    <t>wadliwe wałki,nie wchodzą zaworki 11183554- 93 szt.</t>
  </si>
  <si>
    <t>error Log.Spadł adapter od speed sensora</t>
  </si>
  <si>
    <t>zabłokowany korpus.użyto sciągacza</t>
  </si>
  <si>
    <t>kuka wyciągnał motor z adapterem,oczekiwanie na DUR</t>
  </si>
  <si>
    <t>error log,praca technologa</t>
  </si>
  <si>
    <t>duży odpad na obroty  ord.56832583</t>
  </si>
  <si>
    <t xml:space="preserve">rework motoru </t>
  </si>
  <si>
    <t>cardan nie whodzi w walek</t>
  </si>
  <si>
    <t>Start linii o 7-00</t>
  </si>
  <si>
    <t>NIE DZIALA TEST WIZIJNY</t>
  </si>
  <si>
    <t>error log,restart komputera HAINZL</t>
  </si>
  <si>
    <t>wałki 11183554 dostawa 56829131 mały otwóry pod zawórki 90 szt</t>
  </si>
  <si>
    <t xml:space="preserve">zablokowany motor error log </t>
  </si>
  <si>
    <t>brak materialu</t>
  </si>
  <si>
    <t>ord,.56831939 brak startu,usunięty z linii do decyzji technologa</t>
  </si>
  <si>
    <t>start o 18-20</t>
  </si>
  <si>
    <t>poprawianie plików przez magazyn</t>
  </si>
  <si>
    <t>Oczekiwanie na Houghton i wymiana HQ003</t>
  </si>
  <si>
    <t>zawieszenie przy przezbrojeniu z komory B na komoru E</t>
  </si>
  <si>
    <t>4). Motor OMP DH 11285004, korpus 11248191, praca tyłko na cell1 do 02:20, Motor OMP DH 11257636 korpus 11260183(wyciek z sideport adaptera 421598) praca tylko na cell 1 do 05:15</t>
  </si>
  <si>
    <t>praca na jednącelle ord.56832167</t>
  </si>
  <si>
    <t>teardown</t>
  </si>
  <si>
    <t>151-1185</t>
  </si>
  <si>
    <t>start linii o god. 16-00</t>
  </si>
  <si>
    <t>Naprawa na st. Napraw od technologa od 12:30.spowolniona praca linii.</t>
  </si>
  <si>
    <t>Problem  z podaniem smaru.Ręczne smarowanie tefłonu do 12:10</t>
  </si>
  <si>
    <t>do st.20 pompa smaru.Oczekiwanie na mechanika</t>
  </si>
  <si>
    <t>przy motorach OMP już się nie zawiesza</t>
  </si>
  <si>
    <t>zawieszenie.Oczekiwanie na DUR OMR</t>
  </si>
  <si>
    <t>zawieszenie  OMR</t>
  </si>
  <si>
    <t>zawieszenie X 2 razy.oczekiwanie na DUR OMR</t>
  </si>
  <si>
    <t>zawiesznie X 2 razy OMR</t>
  </si>
  <si>
    <t>w lodówce surowe etykiety 151A0445, oczekiwanie na nowe do 05:14, wymiana etykiet i kalibracja wydruku</t>
  </si>
  <si>
    <t>wałek 11183554 dostawa 56826435. małi otworu pod zawórki 186 szt. Oczekiwanie na nowe wałki</t>
  </si>
  <si>
    <t>error   log ,praca tehnologa</t>
  </si>
  <si>
    <t>(4)Praca na jedną cele. Order:56826143 Mat.11186131-10szt.Jedna prowadnica w stacji  nie wystartowała</t>
  </si>
  <si>
    <t>Przewodnik ISIR order:56826143</t>
  </si>
  <si>
    <t>Nolek.Czyszczenie komory(B)</t>
  </si>
  <si>
    <t>zablokowany korpus 11183810 na trzpieniu 2 razy</t>
  </si>
  <si>
    <t>start linii o god.19-42</t>
  </si>
  <si>
    <t>zawieszenie w celle1,oczekiwanie na DUR</t>
  </si>
  <si>
    <t>pomelony kod walka na wszystkich  paletach od poprzedniej zmiany</t>
  </si>
  <si>
    <t>zabłokowany korpus,zawieszenie</t>
  </si>
  <si>
    <t>cell1 i cell2., st.20 do 03:00</t>
  </si>
  <si>
    <t>z naprawy st.55</t>
  </si>
  <si>
    <t>bNotArtWorkPosition/Alarm,oczekiwanie na DUR</t>
  </si>
  <si>
    <t>Wymiana kalki w drukarce</t>
  </si>
  <si>
    <t>error log,KUKAwyladowala motor razem z adapterom ,oczekiwanie na DUR</t>
  </si>
  <si>
    <t>klimatyczna 16 stopni na linii</t>
  </si>
  <si>
    <t xml:space="preserve">Error Log KK327a/b   </t>
  </si>
  <si>
    <t>rozgrzewanie st.hydraulicznych</t>
  </si>
  <si>
    <t>Włączenie komputera od st.hydraulicznych</t>
  </si>
  <si>
    <t>Po uruchomieniu linii,olej się cofa ze zbiornika na podłogę.Ktoś wyjął i nie włożył rury z powrotem do beczki.Oczekiwanie Na Houghton do rozlanego oleju</t>
  </si>
  <si>
    <t>Zapełnienie linii,Testy Kontrolne</t>
  </si>
  <si>
    <t>Brak możliwośći uruchomienia stacji hydraulicznych, przez to że nie mamy dostępu do szafy z komputerem.Oczekiwanie na DUR</t>
  </si>
  <si>
    <t>error log  ord.56830324</t>
  </si>
  <si>
    <t>4 praca na jedną celle od 00-25do00-40</t>
  </si>
  <si>
    <t>Motory EMD</t>
  </si>
  <si>
    <t>Error Log.Motor nie może wystartować. W trakcie zlecenia. OMP X 100. 11186725</t>
  </si>
  <si>
    <t>Error Log.Motor nie może wystartować. W trakcie zlecenia. OMR X 50. 11185537</t>
  </si>
  <si>
    <t>Probłematyczny gear-set dla operatora. 151-1182 od 14:00 do 15:50</t>
  </si>
  <si>
    <t>zawieszenie motora w st2, error log</t>
  </si>
  <si>
    <t>kalibracija wkretakow na st41 ta st70 do 10:08</t>
  </si>
  <si>
    <t>odpad wszistkih  motorow na momet start, potrebuje kalibracij st, praca na cell2 od 09:09 do 12:58, naprawa przez technologa, procownikow DUR nie było</t>
  </si>
  <si>
    <t>zawieszenie robota na st napraw</t>
  </si>
  <si>
    <t>nie wchodzi kardan w wałek</t>
  </si>
  <si>
    <t>wymiana etykety,kalibracja</t>
  </si>
  <si>
    <t>kalibracja wydruku etykiet</t>
  </si>
  <si>
    <t>brudne wałki 11183554-71 szt.</t>
  </si>
  <si>
    <t>Oczekiwanie na Houghton i wymiana HQ002 do 15:17</t>
  </si>
  <si>
    <t>audit z BHP</t>
  </si>
  <si>
    <t>zawieszenie komputera na st.60,brak połączenia z internetom PLC CONNECTION</t>
  </si>
  <si>
    <t>Error log.</t>
  </si>
  <si>
    <t>do 13:05</t>
  </si>
  <si>
    <t>restart linii</t>
  </si>
  <si>
    <t>zawieszenie monitora st.20</t>
  </si>
  <si>
    <t>walek 11183554- zla srednica</t>
  </si>
  <si>
    <t>selekcja  korpusów  11183822- brak gwintu pod sluby</t>
  </si>
  <si>
    <t>spotkanie  z  koordynatorom</t>
  </si>
  <si>
    <t>NA ST. 60/ MOTOR W224807506- ponownie wyprodukowany</t>
  </si>
  <si>
    <t>KUKA wyladowala motor razem z adapterem na st.napraw.Oczekiwanie na DUR</t>
  </si>
  <si>
    <t>testy  st.50,60</t>
  </si>
  <si>
    <t>zabłokowany korpus.Użyto sciągacza</t>
  </si>
  <si>
    <t>zawiezhenie+error log</t>
  </si>
  <si>
    <t>do 11:51</t>
  </si>
  <si>
    <t>do st2do 8:05</t>
  </si>
  <si>
    <t>praca na jedną celle od 04-06 do06-00</t>
  </si>
  <si>
    <t>z naprawy st.2</t>
  </si>
  <si>
    <t>valve sypport rotary actuator &lt;KK327a/b&gt; run monitoring</t>
  </si>
  <si>
    <t>zablokowany motor w stacii,error log,oczekiwanie na DUR</t>
  </si>
  <si>
    <t>zawieszenie EPSON, odpadł adapter od speedsensora</t>
  </si>
  <si>
    <t>4.Praca na jedną stacje. Housing-11180433 od.14:45 do 16:35</t>
  </si>
  <si>
    <t xml:space="preserve">valve support rotary actuator( 
KK327a/b)run Error 
Log.Oczekiwanie na DUR </t>
  </si>
  <si>
    <t xml:space="preserve">problem z logowaniem </t>
  </si>
  <si>
    <t>valve support rotary actuator( KK327a/b)run Error Log.Oczekiwanie na DUR</t>
  </si>
  <si>
    <t>po 10 min.interwencji probłem się powtórzył</t>
  </si>
  <si>
    <t>oczekiwanie na DUR i praca na jedną stacje od 04:00 do 06:00</t>
  </si>
  <si>
    <t xml:space="preserve">valve support rotary actuator( KK327a/b)run </t>
  </si>
  <si>
    <t>do 03:30</t>
  </si>
  <si>
    <t>odpad na obroty.Error Log</t>
  </si>
  <si>
    <t>aktualizacja matrycy umiejętnośći</t>
  </si>
  <si>
    <t>wumiana beczki ze smarem</t>
  </si>
  <si>
    <t>serwis firmy Profinstal od 15:30 do 18:25</t>
  </si>
  <si>
    <t>spotkanie z liderom</t>
  </si>
  <si>
    <t>awaria celle 2,praca tehnologa</t>
  </si>
  <si>
    <t>wymiana etykety w drukarce</t>
  </si>
  <si>
    <t>praca tehnologa,error log</t>
  </si>
  <si>
    <t>ZAWIESZENIE.oczekiwanie na DUR</t>
  </si>
  <si>
    <t>BRAK STARTU,oczekiwanie na DUR</t>
  </si>
  <si>
    <t>zabłokowany korpus.</t>
  </si>
  <si>
    <t>zabłokowany korpus,zawieszenie monitora.Restart</t>
  </si>
  <si>
    <t>4.housing-11180433.Praca na 1 stacje od 00:13 do 00:40</t>
  </si>
  <si>
    <t>praca na cell1 5)wyciek z pod sideport adaptera 421598, kod motoru 1186085 korpus 11178329 do 20:11</t>
  </si>
  <si>
    <t>st.20 do 19:09</t>
  </si>
  <si>
    <t>uszkodżona łapka dła odbioru torpedy Order 56827844. wałek 11183568</t>
  </si>
  <si>
    <t>probłematyczny Gear-Set    ( 11112012,151-1182)od 00:00 do 1:40</t>
  </si>
  <si>
    <t>Testy Nolek,ATEQ</t>
  </si>
  <si>
    <t>zablokowany motor OMPx200. Error log</t>
  </si>
  <si>
    <t>śruby 681x0180</t>
  </si>
  <si>
    <t>do cell 1</t>
  </si>
  <si>
    <t>z technologem Karta kontroli st.70 ATEQ</t>
  </si>
  <si>
    <t>start o 12-34 pod nadzorem tehnologa</t>
  </si>
  <si>
    <t>na CELLE1</t>
  </si>
  <si>
    <t>start linii 10-28 pod nadzorem tehnologa</t>
  </si>
  <si>
    <t>brak śruby 681x0180</t>
  </si>
  <si>
    <t>zawieszenie- 06/00-06/15</t>
  </si>
  <si>
    <t>problem z logowanijem</t>
  </si>
  <si>
    <t>praca na 1 cell</t>
  </si>
  <si>
    <t xml:space="preserve">oczekiwanie na DUR </t>
  </si>
  <si>
    <t>Awaria z poprzedniej zmiany,</t>
  </si>
  <si>
    <t>-</t>
  </si>
  <si>
    <t>Wiemiana  kower filma</t>
  </si>
  <si>
    <t>Praca na cell 2 od 8.30</t>
  </si>
  <si>
    <t>EROR  LOOG ,praca technologa</t>
  </si>
  <si>
    <t>Test Nolek</t>
  </si>
  <si>
    <t>(5) Awaria z poprzedniej zmiany, praca na cell2 do 8 godz</t>
  </si>
  <si>
    <t>praca tyłko na cell 2 do 06:00</t>
  </si>
  <si>
    <t>cell1 została nie naprawiona</t>
  </si>
  <si>
    <t>zawieszenie endport mechanizma(cisnenie 147 bar) po testu, error log.</t>
  </si>
  <si>
    <t xml:space="preserve">1 operator </t>
  </si>
  <si>
    <t>AWARIA zawieszanie praski</t>
  </si>
  <si>
    <t>gar-set 151-1182</t>
  </si>
  <si>
    <t>Test nolek</t>
  </si>
  <si>
    <t xml:space="preserve"> testy</t>
  </si>
  <si>
    <t>naprawiony KUKA</t>
  </si>
  <si>
    <t>Zawieszanie KUKI, motor z adapterem na palete. Oczekiwanie na DUR.</t>
  </si>
  <si>
    <t>Testy Nolek</t>
  </si>
  <si>
    <t>zawieszenie, oczekiwanie na DUR</t>
  </si>
  <si>
    <t>zamiana  kabli na sterowniku st 20</t>
  </si>
  <si>
    <t>zawieszenie stacji</t>
  </si>
  <si>
    <t>1 operator</t>
  </si>
  <si>
    <t>brak startu,ręczne ustawianie kierunków, 6-7 razy trzeba przecinać kurtyne żeby wystartować.</t>
  </si>
  <si>
    <t>ERROR LOG zablakowany motor</t>
  </si>
  <si>
    <t>stacja nie przepuszcza dalej paletek</t>
  </si>
  <si>
    <t>drukarka</t>
  </si>
  <si>
    <t>awaria drukarki, po wymianie kalki cały czas wydruk przesuwa się w lewo</t>
  </si>
  <si>
    <t>zawieszenie, brak srartu</t>
  </si>
  <si>
    <t>etykiet</t>
  </si>
  <si>
    <t>Do Kuky,Nolek(wymiana pompy)od 06:40 do 13:10</t>
  </si>
  <si>
    <t>Testy kontrolne,test Nolek</t>
  </si>
  <si>
    <t>Wymagany test hamulców.Oczekiwanie na DUR</t>
  </si>
  <si>
    <t>Włączenie i uruchomienie linii</t>
  </si>
  <si>
    <t>nie wyładowuję motory ze st.hydraulicznej.Zabłokowany motor.Error Log</t>
  </si>
  <si>
    <t>na obroty. zakorkowana st.napraw</t>
  </si>
  <si>
    <t xml:space="preserve">dla 1 operatora od 14:00 </t>
  </si>
  <si>
    <t>walek 11183558</t>
  </si>
  <si>
    <t>praca DUR na st.41</t>
  </si>
  <si>
    <t>nie dokręca śruby i dren,oczekiwanie na DUR</t>
  </si>
  <si>
    <t>Praca na 1 celle.(4)Order:56822099  Kod materiału: 11186717.Odpada na obroty,nie dociska motoru.</t>
  </si>
  <si>
    <t>zawieszenie do 18</t>
  </si>
  <si>
    <t>Testy nolek</t>
  </si>
  <si>
    <t>i DUR zawieszenie cała linii, restart</t>
  </si>
  <si>
    <t>brak startu, zawieszenie, ręczne ustawienie kierunku</t>
  </si>
  <si>
    <t>testy kontrolne, czyszczenie komory B</t>
  </si>
  <si>
    <t>brak startu,zawieszenie,ręczne ustawienie kierunku</t>
  </si>
  <si>
    <t>z naprawy st.50 ,celle2 od 22-23 do 00-50</t>
  </si>
  <si>
    <t>czyjnik silownika B1026  nie WŁ! Oczekiwanie na DUR</t>
  </si>
  <si>
    <t xml:space="preserve">testy </t>
  </si>
  <si>
    <t>do 01:25 .Bez powodzenia</t>
  </si>
  <si>
    <t>Praca na 1 stacje do 06:00</t>
  </si>
  <si>
    <t>Error Log.Oczekiwanie na DUR</t>
  </si>
  <si>
    <t>zawieszenie,brak startu.Ręczne ustawianie kierunków.</t>
  </si>
  <si>
    <t>oczekiwanie na Houghton i wymiana filtra HQ003</t>
  </si>
  <si>
    <t>zawieszenie, brak startu, ręczne ustawienie kierunku</t>
  </si>
  <si>
    <t xml:space="preserve">operator na st. Napraw - 8 godz., 
operator st.10 i st.20 - 4 godz., st.40 - 
4 godz </t>
  </si>
  <si>
    <t>Z naprawy st.41</t>
  </si>
  <si>
    <t>nie dokręca jedną śruby i dren,oczekiwanie na DUR</t>
  </si>
  <si>
    <t>zawieszenie,brak startu,ręczne ustawienie kierunku</t>
  </si>
  <si>
    <t>St.40</t>
  </si>
  <si>
    <t>zakorkowana st. Napraw, duży odpad na kierunek</t>
  </si>
  <si>
    <t>ulamany wałek adapterem, kawalek wałka został w adapterze</t>
  </si>
  <si>
    <t>zawieszenie, brak startu, ręczne 
ustawienie kierunka, duży odpad na kierunek</t>
  </si>
  <si>
    <t>operator na st. Napraw - 8 godz., 
operator st.40 - 4 godz., st.30 - 
4 godz</t>
  </si>
  <si>
    <t xml:space="preserve">przez kierunek </t>
  </si>
  <si>
    <t>praca tehnologa oraz DUR z naprawy st.20</t>
  </si>
  <si>
    <t>BRAK STARTU,ZAWIESZENIE,ręczne ustawienie kierunka</t>
  </si>
  <si>
    <t>rekłamacji</t>
  </si>
  <si>
    <t>St.40-4 godz.St.30-4 godz.</t>
  </si>
  <si>
    <t>brak startu,ręczne ustawianie kierunków,6-7 razy trzeba przecinać kurtyne  żeby wystartować.</t>
  </si>
  <si>
    <t>na kierunek (od st 20)</t>
  </si>
  <si>
    <t>szkolenie z wymiany etykiet i karty pobrań opakuwań</t>
  </si>
  <si>
    <t>zawieszenie, brak startu</t>
  </si>
  <si>
    <t xml:space="preserve">operator na st. Napraw - 8 godz., 
operator st.10 i st.20 - 4 godz., st.30 - 
4 godz </t>
  </si>
  <si>
    <t>BRAK MATERIALU ,od god.12-17 do14-00</t>
  </si>
  <si>
    <t>start linii o god.10-30</t>
  </si>
  <si>
    <t>BRAK MATERIALU</t>
  </si>
  <si>
    <t>Brak materiału do produkcji</t>
  </si>
  <si>
    <t xml:space="preserve">zawieszenie ,brak startu.Przez to duży odpad na kierunek. </t>
  </si>
  <si>
    <t>Restart linii.Pomógł tylko na około 4 godz.</t>
  </si>
  <si>
    <t xml:space="preserve">zawieszenie,brak startu. </t>
  </si>
  <si>
    <t>St.30-4 godz.St.10,20-4 godz.</t>
  </si>
  <si>
    <t>na kierunek (od awarii na st 20) motor OMPx80</t>
  </si>
  <si>
    <t>zawieszenie do 19:04</t>
  </si>
  <si>
    <t>Alarm -Stacja obrótu stołu nie WŁ,praca tehnologa</t>
  </si>
  <si>
    <t>praca DUR z naprawy st.20</t>
  </si>
  <si>
    <t>paca DUR z naprawy celle2</t>
  </si>
  <si>
    <t>awaria celle2 od zeszłego tygodnia,oczekiwanie na DUR</t>
  </si>
  <si>
    <t xml:space="preserve"> zawieszenie ,brak startu. Od 06:00 do 14:00</t>
  </si>
  <si>
    <t>Nolek. Bazowanie stołu obrotowego</t>
  </si>
  <si>
    <t>Stół obrotowy nie obraca się do testu. Resetowanie nie pomaga.Oczekiwanie na DUR</t>
  </si>
  <si>
    <t>cell2 (bez powodzenia)</t>
  </si>
  <si>
    <t>St.40-4 godz.St..30-4 godz.</t>
  </si>
  <si>
    <t>Praca na jedną cele.Nie dociska adapter motoru.Oczekiwanie na DUR</t>
  </si>
  <si>
    <t>cell2, ulamany kątownik do 05:13</t>
  </si>
  <si>
    <t>adapter nie dotiska do korpusa</t>
  </si>
  <si>
    <t>zawieszenie stoła obrotowego</t>
  </si>
  <si>
    <t>szkolenie operatora st. 20 nextgen z łożyskiem do 02:21</t>
  </si>
  <si>
    <t xml:space="preserve">Operator na st. Napraw - 8 godz., 
operator st.40 - 3 godz., st.30 - 
4 godz </t>
  </si>
  <si>
    <t>zawieszenie komputera na st,20</t>
  </si>
  <si>
    <t>praca DUR  na st.20</t>
  </si>
  <si>
    <t>Zawieszenie st.20</t>
  </si>
  <si>
    <t>praca tehnologa na st.20</t>
  </si>
  <si>
    <t>do st.20 .Po 20 minutach probłem znowu się pojawił</t>
  </si>
  <si>
    <t>kalki</t>
  </si>
  <si>
    <t>Wciśnięty grzyb na st.30.Error Log</t>
  </si>
  <si>
    <t>zabłokowany motor.OMP X  400 Error Log</t>
  </si>
  <si>
    <t>do st.20</t>
  </si>
  <si>
    <t>St.30-4 godz.St.10,20-4 godz. Drobne przewodniki</t>
  </si>
  <si>
    <t>zawieszenie monitora, restart</t>
  </si>
  <si>
    <t>zawieszenie aplikacji, restart</t>
  </si>
  <si>
    <t>z poprzedniej zmiany, zawieszenie praski po startu</t>
  </si>
  <si>
    <t>operator na st. Napraw - 8 godz., 
operator st.30 - 4 godz., st.10 i st.20 - 4 godz</t>
  </si>
  <si>
    <t>zawieszenie st.20</t>
  </si>
  <si>
    <t>Ewakuacja od 13:10 do 13:50</t>
  </si>
  <si>
    <t>Teardown</t>
  </si>
  <si>
    <t>zawieszenie.Praca technologa</t>
  </si>
  <si>
    <t>end cover bez gwinta.rework motora</t>
  </si>
  <si>
    <t>probłematyczne wkręcanie drena imbusowego.Praca technologa do 13:10</t>
  </si>
  <si>
    <t>mocowanie osłony cell1</t>
  </si>
  <si>
    <t>zerwany gwint w korpusie.Rework</t>
  </si>
  <si>
    <t>Praca na jedną cele od 07:03 do 08:30</t>
  </si>
  <si>
    <t>co jakiś czas zawiesza się na kroku przed obrotem stołu</t>
  </si>
  <si>
    <t>zabłokowany korpus na trzpieni.</t>
  </si>
  <si>
    <t>St.10,20-5 godz.st.30-1 godz.st.40-2 godz</t>
  </si>
  <si>
    <t>Z poprzedniej zmiany.Oczekiwanie na DUR .Praca na jedną cele do 06:50</t>
  </si>
  <si>
    <t>zawieszenie 3 razy, error log + praca na cell2 od 4:10 do 06:00(brak startu 
testa na celle 1)</t>
  </si>
  <si>
    <t>cell1 do 1:55</t>
  </si>
  <si>
    <t>wciśnięty grzyb na st.30</t>
  </si>
  <si>
    <t>step 1050 problem z Endport Mechanizmem (KK116), awaria z poprzedniej zmiany, oczekiwanie na DUR, praca na cell2 do 00:55</t>
  </si>
  <si>
    <t>operator na st. Napraw - 8 godz., operator st.40 - 4 godz., st.30 - 4 godz</t>
  </si>
  <si>
    <t>CLEAR ERROR zawieszenie slide cylinder x2 ord.56819406,praca na   jedną  celle od god.19-26,brak startu testa na celle 1</t>
  </si>
  <si>
    <t>do cell 1 do 13:15</t>
  </si>
  <si>
    <t>error Log</t>
  </si>
  <si>
    <t>zawieszenie na kroku ,stół obrotowy do testu, x 4 razy.Co jakiś czas trzeba resetować Nolka</t>
  </si>
  <si>
    <t>Awaria trzpienia od adaptera szafta od zeszłego tygodnia.Praca na jedną stacje.Oczekiwanie na DUR</t>
  </si>
  <si>
    <t>brak możliwosci startu prezez błąd robota.Oczekiwanie na DUR</t>
  </si>
  <si>
    <t>Uruchomienie linii,rozgrzewanie stacji,testy kontrolne,czyszczenie komory B,Testy Nolek.</t>
  </si>
  <si>
    <t>Praca na jedną celle.Problem z pinem.Awaria jest od 1 zmiany</t>
  </si>
  <si>
    <t>do cell 1 do 20:45</t>
  </si>
  <si>
    <t>St.10,20-4 godz.St.40-4 godz.</t>
  </si>
  <si>
    <t>Praca na jedną stacje.Probłem z pinem.Oczekiwanie na DUR</t>
  </si>
  <si>
    <t>Nolek</t>
  </si>
  <si>
    <t>oczekiwanie na DUR, 5) praca tyłko na cell2 do 14:00</t>
  </si>
  <si>
    <t>szkolenie operatora z wymianu etykiet i karty pobrań opakuwań</t>
  </si>
  <si>
    <t>cell1</t>
  </si>
  <si>
    <t>zawieszenie. Robot nie oddbiera motor z cell po testu, Error log 3 razy (zawieszenie paletki na out assembly line )</t>
  </si>
  <si>
    <t>st.30 - 4 godz rolkowy gear-set 151-1182, st.10 i st.20 - 4 godz</t>
  </si>
  <si>
    <t>error log robot nie wyladuje motorów ze stacij</t>
  </si>
  <si>
    <t>Prewencyjny przegląd DUR do 18:35</t>
  </si>
  <si>
    <t>St.30-4 godz.25 min.</t>
  </si>
  <si>
    <t>brak nowej WC LISTY do 12:30</t>
  </si>
  <si>
    <t>kalibracja st.20 i cell1, cell2 i praca technologa do 11:00</t>
  </si>
  <si>
    <t>praca na  jedną celle ord.56818174 od god.2-40do god.4-30</t>
  </si>
  <si>
    <t>zabłokowany korpus,użyto sciągacza x 2 razy</t>
  </si>
  <si>
    <t>Praca na jedną stacje od 14:00 do 14:40 OMR X 32</t>
  </si>
  <si>
    <t>praca na cell2(5, odpad na moment startowy motor 11185582 OMRx36) do 14:00</t>
  </si>
  <si>
    <t>szkolenie rework motoru i regeneracja barcode</t>
  </si>
  <si>
    <t>szkolenie z wymiany cover filma na st.40 i karty pobrań opakuwań</t>
  </si>
  <si>
    <t>praca na jedną celle ,duży odpad na obroty,ord.56817661 od god.01-20do god. 4,55</t>
  </si>
  <si>
    <t>zawieszenie całego systemu.Brak połączenia z serwerem.</t>
  </si>
  <si>
    <t>St.30-4 godz(rolkowy gear-set)</t>
  </si>
  <si>
    <t>praca na cell2(5, odpad na moment 
startowy motor 11185582 OMRx36) 
do 09:35</t>
  </si>
  <si>
    <t>56816881 odpad na moment start/ praza na 1 st</t>
  </si>
  <si>
    <t>praza na 1 st</t>
  </si>
  <si>
    <t>56817654 odpad na moment start</t>
  </si>
  <si>
    <t xml:space="preserve">testy stancji </t>
  </si>
  <si>
    <t>error  log</t>
  </si>
  <si>
    <t>do cell1(adapter EMD) do 18:15 awaria naprawiona,KK117 a/b ,ciśnienie zostało wyrównane.</t>
  </si>
  <si>
    <t>KUKA złe włożył motor do stacji hydraulicznej przez zrzucony adapter EMD.Error Log</t>
  </si>
  <si>
    <t>st.10,20-4 godz. St.40-2godz. St.30-2 godz.(gear-set 11112012)</t>
  </si>
  <si>
    <t>praca na cell2(5, odpad na moment startowy motor 11185582 OMRx36) do 13:24</t>
  </si>
  <si>
    <t>st.20 i cell2 do 08:27</t>
  </si>
  <si>
    <t>przy sprawdzaniu testa poka-yoka zaprasowuje wałek bez zaworków</t>
  </si>
  <si>
    <t>oczekiwanie na Houghton i wymiana filtra HQ003 do 07:48</t>
  </si>
  <si>
    <t>operator na st. Napraw - 8 godz., 
operator st.10 i st.20 - 4 godz. I st.40 - 
4 godz</t>
  </si>
  <si>
    <t>uruchomianie linii, testy 
kontrolne, czyszczenie komory B</t>
  </si>
  <si>
    <t>motor razem z adapterem.Oczekiwanie na DUR</t>
  </si>
  <si>
    <t>Error log.Zabłokowany motor</t>
  </si>
  <si>
    <t>praca tylko na jedną cele.(5)Wszystkie motory nie mogą  wystartować. Od 04:00-06:00</t>
  </si>
  <si>
    <t>do cell1</t>
  </si>
  <si>
    <t>Error log.Znowu spadł adapter od speed sensora.Oczekiwanie na DUR</t>
  </si>
  <si>
    <t>probłematyczny start hydrauliczny na cell1 i cell 2.Zakorkowana stacja napraw.Error Log.Probłem z adapterem od Speed Sensora.Błąd o jego braku.Oczekiwanie na DUR</t>
  </si>
  <si>
    <t>order:56810639-zatrzymany.Korpus 11183822 do weryfikacji.(numer dostawy:4507292416</t>
  </si>
  <si>
    <t>do st.20 Prawdopodobnie wina wadłiwych korpusów</t>
  </si>
  <si>
    <t>Zabłokowany korpus x 4 razy.Użyto sciągacza.Wprawie co drugi korpus błokuję się przy zaprasowaniu tefłonu. 11183822.Oczekiwanie na DUR</t>
  </si>
  <si>
    <t>probłematyczny start hydrauliczny,co drugi motor nie może wystartować.I tak przez całą zmianę.</t>
  </si>
  <si>
    <t>Zabłokowany korpus x 4 razy.Użyto sciągacza.</t>
  </si>
  <si>
    <t>testery Nolek</t>
  </si>
  <si>
    <t>St.30-4 godz.( gear-set 11112012) 40-4 godz.</t>
  </si>
  <si>
    <t>st.41 i cell 1 do 21:23</t>
  </si>
  <si>
    <t>do 20:10</t>
  </si>
  <si>
    <t>adapter nie dotiska do silnika</t>
  </si>
  <si>
    <t>zawieszenie, error log 2 razy na motorah ompx315 od 19:08</t>
  </si>
  <si>
    <t>wciśnięty grzyb</t>
  </si>
  <si>
    <t xml:space="preserve">operator na st. Napraw - 8 godz., 
operator st.40 - 4 godz. I st.30 - 
4 godz </t>
  </si>
  <si>
    <t>kalibracja st41</t>
  </si>
  <si>
    <t>zapełnianie linii  po kalibracii wag</t>
  </si>
  <si>
    <t>wymiana etykety w drukarce,kalibracija wag na st.10</t>
  </si>
  <si>
    <t>naprawa celle2 ,praca tehnologa</t>
  </si>
  <si>
    <t>praca na jedną celle 5 od god.8-40</t>
  </si>
  <si>
    <t>wyće k olei przez adapter  portu,praca tehnologa</t>
  </si>
  <si>
    <t>wymiana kalki(szkolenie)</t>
  </si>
  <si>
    <t>St.-30-4godz. St,10,20-4godz. Drukowanie i regulacja etykiet,rework,barcode,MAXIMO,</t>
  </si>
  <si>
    <t>operator na st. Napraw - 8 godz., operator st.30 - 4 godz. I st.10, st.20 - 4 godz</t>
  </si>
  <si>
    <t>awaria st.41 z poprzedniej zmiany</t>
  </si>
  <si>
    <t>Z NAPRAWY ST.41</t>
  </si>
  <si>
    <t>nie dokręca dren,oczekiwanie na DUR</t>
  </si>
  <si>
    <t>error log,zablokowany motor w st.1,st.2 ord.56816551</t>
  </si>
  <si>
    <t>ERRO LOG ,zablokowany motor w st.2</t>
  </si>
  <si>
    <t>testery na Nolku</t>
  </si>
  <si>
    <t>st.10,20-4 godz. St.40-4 godz.</t>
  </si>
  <si>
    <t>zawieszenie korpusa 11183810 przy zaprasowaniu teflona 2 razy</t>
  </si>
  <si>
    <t>2 operatorów. Na zt. Napraw - 8 godz., st.10 i st.20 - 4 godz. I st.40 - 4 godz</t>
  </si>
  <si>
    <t>zabłokowany motor.Error Log.restart komputera</t>
  </si>
  <si>
    <t>zawieszenie przy zaprasowaniu tefłona x 3 razy</t>
  </si>
  <si>
    <t>selekcja korpusów 11183810 Złe wyprofilowany otwór na uszczelnienie( teflon)</t>
  </si>
  <si>
    <t>puszczenie testerów na Nolku</t>
  </si>
  <si>
    <t>st.40-4 godz. St.30-4 godz.</t>
  </si>
  <si>
    <t>zawieszenie robota na st napraw + error log</t>
  </si>
  <si>
    <t>zawieszenie nie dobilo teflon korpus 11183810 2 razy</t>
  </si>
  <si>
    <t>st.40 - 3,5 godz., st.30 - 4 godz.</t>
  </si>
  <si>
    <t>operator 4 na st. Napraw</t>
  </si>
  <si>
    <t>5BRAK STARTU,praca tehnolga</t>
  </si>
  <si>
    <t>ZAWIESZENIE KAMERY,PRACA TEHNOLOGA</t>
  </si>
  <si>
    <t>11183810 zle podtoczenie pod tefłon</t>
  </si>
  <si>
    <t>zawieszenie przy zaprasowaniu tefłona x 2</t>
  </si>
  <si>
    <t>pomieszane korpusy 11183810 z 11178143</t>
  </si>
  <si>
    <t>zabłokowany motor w stacji.Error Log</t>
  </si>
  <si>
    <t>puszczenie testerów na NOLKU</t>
  </si>
  <si>
    <t>st.10,20-4 godz. St.30-4 godz.</t>
  </si>
  <si>
    <t>zablokowany korpus 11248191 na trzpieniu przy zaprasowaniu teflona</t>
  </si>
  <si>
    <t>Temperatur sensor gear box load motor (BT023) measured value high, motor ompx25, 11261491, od 16:05 do 20:57</t>
  </si>
  <si>
    <t>st.10 i st.20</t>
  </si>
  <si>
    <t>TPM NOLEK, HAINZL</t>
  </si>
  <si>
    <t>nieszelność komory E,praca DUR</t>
  </si>
  <si>
    <t>Montaż pod nadzorem tehnologa ord.5681513od god.11-20 do</t>
  </si>
  <si>
    <t>szkolenie TPM ST.50,ST.60</t>
  </si>
  <si>
    <t>testy od cod 6-00do6-40</t>
  </si>
  <si>
    <t>haslo do komputera nie dziala,brak możliwośći logowanija</t>
  </si>
  <si>
    <t>zawieszenie stola obrotowego, restart hainzl</t>
  </si>
  <si>
    <t>zawieszenie+error log</t>
  </si>
  <si>
    <t>zawieszenie robota w cell 1</t>
  </si>
  <si>
    <t>wymiana etykety w drukarce,kalibracija z 15,20 do 16,20</t>
  </si>
  <si>
    <t>TPM (NOWE,NOLEK,HAINZL)</t>
  </si>
  <si>
    <t>cell 1</t>
  </si>
  <si>
    <t>wszystkie odpadają na obroty.Praca na jedną cele.(4) 11192738 do 08:27</t>
  </si>
  <si>
    <t>St. 30-4 godz.st.41(przezbrojenie)-4 godz.</t>
  </si>
  <si>
    <t>korpus 11183810 zawiesil po nabiwaniu teflona, nie dobilo teflon 2 razy</t>
  </si>
  <si>
    <t>zawieszenie - rework in x2</t>
  </si>
  <si>
    <t>z poka yoki st.50</t>
  </si>
  <si>
    <t>Cell 2 naprawa</t>
  </si>
  <si>
    <t>z technologiem Testy Nolek</t>
  </si>
  <si>
    <t>st.10-20-4 godz. St.30-2 godz.(gear-set 151-1182)st.40-2 godz.</t>
  </si>
  <si>
    <t>(5) nie rozpoczyna się test.Praca na jedną celle.Oczekiwanie na DUR do 12:00</t>
  </si>
  <si>
    <t>Do 8:00</t>
  </si>
  <si>
    <t>praca na 1 cell (5). z poprzedniej zmiany.oczekiawanie na DUR</t>
  </si>
  <si>
    <t>5). praca na cell1 clamping not finished in time(blokuje motory, nie zaczyna test)</t>
  </si>
  <si>
    <t>operatora 4 na st. napraw</t>
  </si>
  <si>
    <t>zablokowany korpus na trzpieniu</t>
  </si>
  <si>
    <t>praca na 1 cell *4* 11185636 i praca technologa do 12:10</t>
  </si>
  <si>
    <t>drobne przewodniki ISIR</t>
  </si>
  <si>
    <t>wymieszane cardany w złeceniu.</t>
  </si>
  <si>
    <t>probłematyczny test wizijny górnego o-ringa OMR x 250</t>
  </si>
  <si>
    <t>od 09:20</t>
  </si>
  <si>
    <t>Error log. zabłokowany motor w cell1</t>
  </si>
  <si>
    <t>zabłokowana prasa przez wadłiwy wałek</t>
  </si>
  <si>
    <t>zabłokowany korpus na trzpieniu x 4  razy</t>
  </si>
  <si>
    <t>Na st.40-3 godz. St.10-20- 5 godz.</t>
  </si>
  <si>
    <t>Oczekiwanie na DUR. Praca technologa</t>
  </si>
  <si>
    <t>wadłiwy gear-set 151-1112.  Zakorkowana stacja napraw. Wszystkie motory z linii odpadają na obroty</t>
  </si>
  <si>
    <t>brak operatora na stacji napraw do 10:00</t>
  </si>
  <si>
    <t>korpus 11183810 zawiesil sie po nabiwaniu teflona 2 razy</t>
  </si>
  <si>
    <t>utknął korpus</t>
  </si>
  <si>
    <t>korpus 11183810 zawiesil sie po nabiwaniu teflona 3 razy</t>
  </si>
  <si>
    <t>z poka yoki na st.30-40</t>
  </si>
  <si>
    <t>1-nowego operatora na stacji napraw-4 godz. St.40-  2 godz.                                                    I  2-nowego operatora na st.40-3 godz. St.10-20- 4 godz.</t>
  </si>
  <si>
    <t>urochomienie linii,Error Log x 2 razy,testy kontrolne,czyszczenie komory *B*</t>
  </si>
  <si>
    <t>zawieszenie  linii</t>
  </si>
  <si>
    <t>wymiana etykety w drukarce/kalibracija</t>
  </si>
  <si>
    <t>karty expesowej dostawy</t>
  </si>
  <si>
    <t>z technologiem</t>
  </si>
  <si>
    <t>z technologem karty kontroli st.30 i st.40</t>
  </si>
  <si>
    <t>praca na dwe celle od 00-10</t>
  </si>
  <si>
    <t>5 ord.56807348</t>
  </si>
  <si>
    <t>od 23-45 do 00-45</t>
  </si>
  <si>
    <t>5  zabłokowany motor w celle1,brak starty na celle2</t>
  </si>
  <si>
    <t>5 brak startu,ord.56807348 22.30</t>
  </si>
  <si>
    <t>AWARIA  po 2 zmiane,error log</t>
  </si>
  <si>
    <t>zabłokowany motor w cell1 .Podobny problem jaki był w zeszlym tygodniu.</t>
  </si>
  <si>
    <t>i cell2.Probłematyczny start motoru. 11185767 OMP x 400. Korek na stacji napraw</t>
  </si>
  <si>
    <t>probłematyczny test wizijny górnego o-ringa. 11186652 OMR X 315</t>
  </si>
  <si>
    <t>vacuum test fail</t>
  </si>
  <si>
    <t>do 10:30</t>
  </si>
  <si>
    <t>praca na cell2, (5, adapter nie dotiska do silnika)</t>
  </si>
  <si>
    <t>naprawa przez DUR</t>
  </si>
  <si>
    <t>5 praca na tylko na celle2,ord.56811348</t>
  </si>
  <si>
    <t>duży odpad na kierunek ord.56811348</t>
  </si>
  <si>
    <t xml:space="preserve">zawieszenie z motorem w łapie, praca technologa </t>
  </si>
  <si>
    <t>zawieszenie, restart głównego komputera i error log+praca technologa</t>
  </si>
  <si>
    <t xml:space="preserve"> dwóch operatorów: 1 na st.napraw;  2 na st.40 i 10-20</t>
  </si>
  <si>
    <t>do 15:10</t>
  </si>
  <si>
    <t>okresowe spotkanie od 13:00 do 14:00</t>
  </si>
  <si>
    <t>od 10:00 praca na cell 1 i cell 2</t>
  </si>
  <si>
    <t>5. brak startu</t>
  </si>
  <si>
    <t>5 brak startu</t>
  </si>
  <si>
    <t>bład obecnosci motoru,i robot włozył do st.hydraulicznej motor na motor.oczekiwanie na DUR</t>
  </si>
  <si>
    <t>Cover film</t>
  </si>
  <si>
    <t>problematyczny test wizijny górnego o-ringa. OMR X 315 11186652</t>
  </si>
  <si>
    <t>(5)brak startu</t>
  </si>
  <si>
    <t>cell1 do 15:35</t>
  </si>
  <si>
    <t>cell1 do 14:00</t>
  </si>
  <si>
    <t>5. brak startu, praca na cell2</t>
  </si>
  <si>
    <t>uruchomianie linii,testy 
kontrolne,czyszczenie komory B</t>
  </si>
  <si>
    <t>probłematyczny test wizijny górnego 
o-ringa 11186667 OMRx250</t>
  </si>
  <si>
    <t>praca na cell2</t>
  </si>
  <si>
    <t>CELL 1</t>
  </si>
  <si>
    <t>serwis KUKA</t>
  </si>
  <si>
    <t>errorr  log</t>
  </si>
  <si>
    <t>praca na jedną stację (5)</t>
  </si>
  <si>
    <t>05:50-6:00</t>
  </si>
  <si>
    <t>22:00-22:10</t>
  </si>
  <si>
    <t>Praca na 1 stacje (5)</t>
  </si>
  <si>
    <t>5 (brak startu od 3 zmiany 28.09.22), praca na cell2</t>
  </si>
  <si>
    <t>serwis NOLEK i naprawa CELL 1</t>
  </si>
  <si>
    <t>testowanie żab</t>
  </si>
  <si>
    <t>serwis NOLEK</t>
  </si>
  <si>
    <t>error log - praca technologa</t>
  </si>
  <si>
    <t>praca na jedną stacje</t>
  </si>
  <si>
    <t>5. error log : tester nie przechodzi testu</t>
  </si>
  <si>
    <t>brak startu.Error log.Praca na jedna stacje. (5) Oczekiwanie na DUR</t>
  </si>
  <si>
    <t>brak korpusow, praca na st napraw</t>
  </si>
  <si>
    <t xml:space="preserve">od 13:15 </t>
  </si>
  <si>
    <t>brak kalki</t>
  </si>
  <si>
    <t>errr log</t>
  </si>
  <si>
    <t>erroor log</t>
  </si>
  <si>
    <t xml:space="preserve">errorr  log </t>
  </si>
  <si>
    <t>error log - nie wyciąga motoru</t>
  </si>
  <si>
    <t>zabłokowany korpus na trzpieniu</t>
  </si>
  <si>
    <t>zablokowany korpus 111838822 na trzpieniu przy zaprasowaniu teflona</t>
  </si>
  <si>
    <t>korpus blokuje sie na trzpieniu z teflonem(56809187)</t>
  </si>
  <si>
    <t>error log - zablokowany motor w stacji + zawieszenie programu = restart komputera</t>
  </si>
  <si>
    <t>zawieszenie korpusów</t>
  </si>
  <si>
    <t>error log - zablokowany motor w stacji</t>
  </si>
  <si>
    <t>zawieszenie st.10 brak możliwości dokończenia przewodnika:56805377.Brak seryjnego numeru motoru od W223902017 do W223902027 - 11 szt.Do sprawdzenia technologa.Prawdopodobnie błąd w systemie</t>
  </si>
  <si>
    <t>pomieszane kardany</t>
  </si>
  <si>
    <t>do 00:09</t>
  </si>
  <si>
    <t>brak korpusow</t>
  </si>
  <si>
    <t>szkolenie operatora z wymiany etykiet, kalibracja wydruku</t>
  </si>
  <si>
    <t>nie ten CARDAN SHAFT:  jest 84193 a potrzebny1126667 zlecenie 56808594</t>
  </si>
  <si>
    <t>brak operatora - spotkanie</t>
  </si>
  <si>
    <t>co 7,8 etykieta wadliwa</t>
  </si>
  <si>
    <t>kalibracja gniazda pod adapter szafta na Cell2</t>
  </si>
  <si>
    <t>Zawieszenie EPSONA przy przezbrojeniu na inny kod wałka. Error Log.Tak się dzieje za każdym razem jak ma się stacja przezbroic na inny wałek.EPSON ma probłem z wyciągnięciem poprzedniego adaptera. Oczekiwanie na technologa.</t>
  </si>
  <si>
    <t>11129868 schodzi farba,selekcja pod czas pracy.</t>
  </si>
  <si>
    <t>Błąd o kolizii endport.Error Log</t>
  </si>
  <si>
    <t>zawieszenie EPSONA przy przezbrojeniu na inny kod wałka. Error Log</t>
  </si>
  <si>
    <t>puszczenie reworków z generacją kodu kreskowego- 4 szt.</t>
  </si>
  <si>
    <t>awaria  EPSON ,kod motoru :11185883 przy wałku 11183563 Error Log.oczekiwanie na technologa.</t>
  </si>
  <si>
    <t>wyrzuciło nieprawidłowy błąd o braku kalki przy jej obecności.</t>
  </si>
  <si>
    <t>Błokuję motory na obydwóch stacjach.Error Log x 2 razy</t>
  </si>
  <si>
    <t>awaria z poprzedniej zmiany.Test obecności zaworów</t>
  </si>
  <si>
    <t>nie naprawiony, brak automatyka</t>
  </si>
  <si>
    <t>Vacuum test finish not okey, oczekivanie na DUR</t>
  </si>
  <si>
    <t>zablokowany motor OMPx160 w cell, error log</t>
  </si>
  <si>
    <t>order 56808294 skomplektowany z 2 zmiany: w wóżkach wałki 11183554 zamiast 11183555, oczekiwanie i wymiana wałki 11183555</t>
  </si>
  <si>
    <t>zablokowany motor OMPx50 w cell, error log</t>
  </si>
  <si>
    <t>problem z testem wizyjnym - blyszczące/szlifowane pokrywy</t>
  </si>
  <si>
    <t>Filtry,Oczekiwanie na Houghton</t>
  </si>
  <si>
    <t>zawieszenie.Oczekiwanie na DUR do 08:10</t>
  </si>
  <si>
    <t xml:space="preserve">probłematyczny test wizijny górnego 
o-ringa 11185535 OMR X 400 </t>
  </si>
  <si>
    <t>blokuje korpusy 11183822 przy zaprasowaniu teflona - 10 szt., nie dobiło teflon - 6 szt. od 22:00 do 00:49</t>
  </si>
  <si>
    <t>zly korpus/ nie dobija teflonu od god 19.45 do 20.50</t>
  </si>
  <si>
    <t>demontowany ATEQ do ponownej kalibracji.Brak możliwośći pracy na st.70</t>
  </si>
  <si>
    <t>probłematyczny test wizijny górnego o-ringa 11185767 OMR X 400</t>
  </si>
  <si>
    <t>zawieszenie, nie dobiło teflon w korpus 11183822 - 6 raz. Korpusy do decyzij technologa</t>
  </si>
  <si>
    <t xml:space="preserve">5, error log/ restart komputera </t>
  </si>
  <si>
    <t>utknął korpus 11183810</t>
  </si>
  <si>
    <t>do 23:57</t>
  </si>
  <si>
    <t xml:space="preserve"> Błąd: Clamping test article not finished in time</t>
  </si>
  <si>
    <t>do 23:16</t>
  </si>
  <si>
    <t>awaria z poprzedniej zmiany. Praca na cell1</t>
  </si>
  <si>
    <t>praca na jedną stację</t>
  </si>
  <si>
    <t>praca dur</t>
  </si>
  <si>
    <t>zepsuty adapter / praca na jedną stację z 19.25 do 22:00</t>
  </si>
  <si>
    <t>kuka zabrała motor z adapterem ze stacji hydraulicznej</t>
  </si>
  <si>
    <t>Stacje hydrauliczne.Adrian. Do 13:00</t>
  </si>
  <si>
    <t>Stacje hydrauliczne.Adrian</t>
  </si>
  <si>
    <t>probłematyczny test wizijny górnego o-ringa 11185514   OMRX315</t>
  </si>
  <si>
    <t>Robot wyciągnął motor razem z adapterem.Oczekiwanie na DUR</t>
  </si>
  <si>
    <t>uruchomianie linii,testy kontrolne,czyszczenie komory B</t>
  </si>
  <si>
    <t>usuwanie awarii z piątku</t>
  </si>
  <si>
    <t>robot nie zabiera motorów ze stacji hydraulicznych 1 i 2</t>
  </si>
  <si>
    <t>Znowu robot wyciągął motor razem z adapterem.Oczekiwanie na DuR</t>
  </si>
  <si>
    <t>Motor razem z adapterem oddany do narzędziowni.Order:56806502 W223706698 Error Log</t>
  </si>
  <si>
    <t>robot wyciągnąl motor razem adapterem.Oczekiwanie na DUR</t>
  </si>
  <si>
    <t>wymiana kalki i etykiet.kalibracja wydruku</t>
  </si>
  <si>
    <t>probłematyczny test wizijny górnego o-ringa Motor:11185514 OMR X 315</t>
  </si>
  <si>
    <t>na materiał do produkcji</t>
  </si>
  <si>
    <t xml:space="preserve"> Nolek, naprawa komory C dła OMPW do 12:28</t>
  </si>
  <si>
    <t>praca na 1 cell (4), motor 11185636, korpus 11183826 otwory na korki M22  do 11:22</t>
  </si>
  <si>
    <t>nowego operatora st.40 - 2 godz., st.10 i st.20 - 2 godz., st.30 - 2 godz.</t>
  </si>
  <si>
    <t>problematyczny test wizijny górnego 
o-ringa na gear-set. Kod 
motoru:11186652 OMRx315</t>
  </si>
  <si>
    <t>problematyczny test vizijny</t>
  </si>
  <si>
    <t>4,housing11183826</t>
  </si>
  <si>
    <t>start nextgen standart</t>
  </si>
  <si>
    <t>nie ma mozliwości naprawić stację 50 - przewodnik 56805750 przerwany i odłożony do inspekcji technologa; problemy testowania na NOLEK</t>
  </si>
  <si>
    <t>zabłokowany korpus x 2 razy</t>
  </si>
  <si>
    <t>kiedy skanujemy motor paletka nie podnosi się, alarm '' dunk tunk cylinder''</t>
  </si>
  <si>
    <t>motor utknął w stancji, clear error log</t>
  </si>
  <si>
    <t>robot nie bierze motor ze st. napraw, clear error log</t>
  </si>
  <si>
    <t>paletka z motorem nie idzie do dokręcania korków</t>
  </si>
  <si>
    <t>utknął korpus 11183822 2 razy</t>
  </si>
  <si>
    <t>operator 4, na naprawie</t>
  </si>
  <si>
    <t>awaria z poprzednej zmiany, winda nie przepusza paletki</t>
  </si>
  <si>
    <t>PRACA DUR</t>
  </si>
  <si>
    <t xml:space="preserve"> winda nie przepusza peletek,oczekiwanie na DUR</t>
  </si>
  <si>
    <t>Error log x 2 razy.Zakorkowana stacja napraw przez duży odpad na szczelność.</t>
  </si>
  <si>
    <t>duży odpad na szczelność.Od 16:30 Oczekiwanie na DUR</t>
  </si>
  <si>
    <t>ponownie stopper nie schodzi i paletki nie idą</t>
  </si>
  <si>
    <t>problematyczny test wizijny górnego 
o-ringa na gear-set. Kod 
motoru:11185564 OMRx315</t>
  </si>
  <si>
    <t>do 10:50</t>
  </si>
  <si>
    <t>stopper nie schodzi i paletki nie idą</t>
  </si>
  <si>
    <t>utknął korpus 111838222</t>
  </si>
  <si>
    <t>problematyczny test wizijny górnego 
o-ringa na gear-set. Kod 
motoru:11186667 OMRx250</t>
  </si>
  <si>
    <t>złamane trzpieni w komore B, wymiana do 07:11</t>
  </si>
  <si>
    <t>alarm serwa</t>
  </si>
  <si>
    <t>duży odpad,oczekiwanie na DUR</t>
  </si>
  <si>
    <t>duży odpad motorów na sczelność</t>
  </si>
  <si>
    <t>probLematyczny test wizijny górnego o-ringa na gear-set. Kod motoru:11186667   OMRx250</t>
  </si>
  <si>
    <t>problematyczny test wizijny na st.30 OMRx250</t>
  </si>
  <si>
    <t>praca na 1 cell (4), motor 11185636, korpus 11183826 otwory na korki M22 do 13:34</t>
  </si>
  <si>
    <t>od 06:55 do 07:06</t>
  </si>
  <si>
    <t>awaria z poprzednej zmiany</t>
  </si>
  <si>
    <t>łapa zabłokowana na trzpieniu - oczekiwanie na DUR</t>
  </si>
  <si>
    <t>robot nie  odbiera motorów z naprawy,oczekiwanie na DUR</t>
  </si>
  <si>
    <t>zawieszenie.robot nie odbiera motory ze st.napraw.Error log.Oczekiwanie na DuR</t>
  </si>
  <si>
    <t>zabłokowany korpus x 3 razy</t>
  </si>
  <si>
    <t>utknal korpus</t>
  </si>
  <si>
    <t>st. 30 probłematyczny Gear-Set dla nowego 
operatora (151-1182) do 14:00</t>
  </si>
  <si>
    <t>motory OMPWx100 N(z lożyskiem) st.20</t>
  </si>
  <si>
    <t>stacja ustawila neprawidlowy komory do 10:10</t>
  </si>
  <si>
    <t xml:space="preserve">zapełnienie kart kontrolnych, czyszczenie komory B na st. 50, uruchomienie linii </t>
  </si>
  <si>
    <t>zwiększony odpad na szczelność. Z wynikiem +/- 48</t>
  </si>
  <si>
    <t>wymiana etykiet i kalibracja</t>
  </si>
  <si>
    <t>wadliwy wydruk etykiet.Drukowanie poprawkowych.</t>
  </si>
  <si>
    <t>probłematyczny Gear-Set dla nowego operatora (11112012)</t>
  </si>
  <si>
    <t>robot upuścił motor OMPx32 na podłogę,+ error log</t>
  </si>
  <si>
    <t>st. 70</t>
  </si>
  <si>
    <t>zmiana pozycji czujnika</t>
  </si>
  <si>
    <t>PRACA dur z naprawy robota</t>
  </si>
  <si>
    <t>ZAWIESZENIE ROBOTA,oczekiwanie na DUR</t>
  </si>
  <si>
    <t>praca na 1 cell (1), ałe adapter do korpusa 11183826 do 15:48</t>
  </si>
  <si>
    <t>z poprzednej zmiany, oczekiwanie na DUR</t>
  </si>
  <si>
    <t>oczekiwanie na DUR; komunikat servo/nutrunners not ready-nie widzi nowej końcówki drenu</t>
  </si>
  <si>
    <t>4 order 56803306</t>
  </si>
  <si>
    <t>spotkanie na kantyne od god.10-30 do10-42</t>
  </si>
  <si>
    <t>Brak możlowośći zapisania wyników testu ze  Stacji hydraulicznej 1 do Karty Kontrolnej ( moment obrotowy)</t>
  </si>
  <si>
    <t>dokręcanie tylnej pokrywy od monitora w klatce.</t>
  </si>
  <si>
    <t>DO 03:30 Udana interwencja DUR :-)</t>
  </si>
  <si>
    <t>Z NAPRAWY CELL1</t>
  </si>
  <si>
    <t>ERROR Log.Motor zabłokowany w cell1.nie możemy dokończyć Error przez błąd KK117a/b.Oczekiwanie na DUR</t>
  </si>
  <si>
    <t>Automatyk. Bez powodzenia</t>
  </si>
  <si>
    <t>Błąd nie znika,interwencja DUR nie powiodła się.</t>
  </si>
  <si>
    <t>ERROR Log.Motor  zabłokowany w cell1.nie możemy dokończyć Error przez błąd KK117a/b.Oczekiwanie na DUR</t>
  </si>
  <si>
    <t>error Log.Motor z zabłokowanym adapterem został przekazany na narzędziownie.Adapter wymieniliśmy na zapasowy.</t>
  </si>
  <si>
    <t>robot wyciągnął motor razem z adapterem.Oczekiwanie na DUR</t>
  </si>
  <si>
    <t>wymiana walkow w morah 11186674 z 11183556 na 11183554</t>
  </si>
  <si>
    <t>zawieszenie robota w cell2 z motorem</t>
  </si>
  <si>
    <t xml:space="preserve">tasma urwala sie </t>
  </si>
  <si>
    <t>interwencja Houghton, planowa  wymiana wszystkih filtrow</t>
  </si>
  <si>
    <t>wymiana coverfilma</t>
  </si>
  <si>
    <t>zawieszenie x 3 razy</t>
  </si>
  <si>
    <t>kalka(szkolenie nowego operatora)Oczekiwanie na kalke.Kalibracja</t>
  </si>
  <si>
    <t>praca na jedną celle. (4) 11185489  Korpus 11180433 od 22:00 do 00:25</t>
  </si>
  <si>
    <t>praca na 1 celle (4), 56802963-pilne zamowienie, wyciek z adaptera do korpusa 11180433</t>
  </si>
  <si>
    <t>korpus zablokówany na trzpienu praski</t>
  </si>
  <si>
    <t>rework motorów x3</t>
  </si>
  <si>
    <t>testy raz w tygodnu</t>
  </si>
  <si>
    <t>kalibracija oraz wymiana etykety</t>
  </si>
  <si>
    <t>ustawienie prowadnic na cell 2 dla motorów OMPWz wsparciem DUR</t>
  </si>
  <si>
    <t>Praca na jedną celle (4) kod motoru 11185636-56 szt. do 11:40</t>
  </si>
  <si>
    <t>zawieszenie i restart monitora</t>
  </si>
  <si>
    <t>HQ003 do 00:09</t>
  </si>
  <si>
    <t xml:space="preserve">zawieszenie housing </t>
  </si>
  <si>
    <t>8 godzin</t>
  </si>
  <si>
    <t xml:space="preserve"> Zawieszenie.Error Log</t>
  </si>
  <si>
    <t>praca trechnologa,kalibracja EPSON dla ŻAB, SPEEDSENSOR. Do 14:00</t>
  </si>
  <si>
    <t>zawieszenie stacji po zaprasowaniu teflona</t>
  </si>
  <si>
    <t>na kirenek/ nolek- 6 motorów ok</t>
  </si>
  <si>
    <t xml:space="preserve">zawieszenie motoru </t>
  </si>
  <si>
    <t>8godzin</t>
  </si>
  <si>
    <t xml:space="preserve"> kalibracija EPSON</t>
  </si>
  <si>
    <t>kalibracja Epson do 14:00</t>
  </si>
  <si>
    <t>praca na 1 stacje. Awaria Epson</t>
  </si>
  <si>
    <t>korpus utknal</t>
  </si>
  <si>
    <t>praca tyłko na cell1</t>
  </si>
  <si>
    <t xml:space="preserve">8 godzin </t>
  </si>
  <si>
    <t>zablokowana</t>
  </si>
  <si>
    <t>zewnętrzny serwis EPSON od 10:00</t>
  </si>
  <si>
    <t>Kalibracja gniazda na cell1</t>
  </si>
  <si>
    <t>zawieszenie Epsona.Error Log</t>
  </si>
  <si>
    <t>robot wyciagnął motor razem z adapterem.Oczekiwanie na DUR</t>
  </si>
  <si>
    <t>11183810 wadłiwy korpus</t>
  </si>
  <si>
    <t>Praca na 1 stacje</t>
  </si>
  <si>
    <t>zawieszenie stancji</t>
  </si>
  <si>
    <t>zabłokowany korpus przy zaprasowaniu teflona</t>
  </si>
  <si>
    <t>stół się nie obraca w cell</t>
  </si>
  <si>
    <t>zawieszenie robota z motorzem i adapterem, oczekiwanie na DUR</t>
  </si>
  <si>
    <t>uszkodżony klucz shaft adaptera 420895, adapter wział DUR</t>
  </si>
  <si>
    <t>motor zabłokowany w cell 1</t>
  </si>
  <si>
    <t>ERROR LOG X2</t>
  </si>
  <si>
    <t>praca tylko na CELLE1</t>
  </si>
  <si>
    <t>szkolenie operatora na st.napraw</t>
  </si>
  <si>
    <t>razem z technologiem do 09:00</t>
  </si>
  <si>
    <t>brak operatora na stancji napraw</t>
  </si>
  <si>
    <t>praca tylko na 1 stacje</t>
  </si>
  <si>
    <t>do 08:20</t>
  </si>
  <si>
    <t>do 16:00</t>
  </si>
  <si>
    <t>awaria z poprzedniej zmiany</t>
  </si>
  <si>
    <t>awaria z poprzedniej zmiany, wszystko odpada na szczelnosc</t>
  </si>
  <si>
    <t>duzy odpad,każda sztuka,oczekiwanie na DUR</t>
  </si>
  <si>
    <t>error log x2</t>
  </si>
  <si>
    <t>od 14:00</t>
  </si>
  <si>
    <t>od poprzedniej zmiany do 18:52</t>
  </si>
  <si>
    <t>odpad na szczelnosc, praca DUR</t>
  </si>
  <si>
    <t>interwencija DUR Z NAPRAWY ST.50</t>
  </si>
  <si>
    <t>po testowaniu w st. hydraulicznych, robot nie odbiera motory</t>
  </si>
  <si>
    <t>awaria z poprzedniej zmiany, wszystko odpada na szczelnosc, oczekiwanie na DUR</t>
  </si>
  <si>
    <t>oczekiwanie na DUR od god.00-08 do konca zmiany</t>
  </si>
  <si>
    <t>praca tylko na celle 1</t>
  </si>
  <si>
    <t>kalibracja drukarki</t>
  </si>
  <si>
    <t>zpiepszyli sie ustawienia dtukarki, kalibracja,po kalibracji 2-3 sztyki ida ok, a potem znow zjedzaja parametry</t>
  </si>
  <si>
    <t>zpiepszyli sie ustawienia dtukarki, kalibracja</t>
  </si>
  <si>
    <t>rozerwala sie tasmia w sriodku drukarki</t>
  </si>
  <si>
    <t>sciaganie motorow z linii, pusczanie nowego przewodnika</t>
  </si>
  <si>
    <t>wszystko odpadalo na szczelnosc , pokaznik 0</t>
  </si>
  <si>
    <t xml:space="preserve">puscilismy zaby, wymienialismy papier w drukarkie, ale wyskoczyl blad, nie mozemy wydrukowac etykiety </t>
  </si>
  <si>
    <t>brak WRC listy, material do zrobienia skonczyl sie, nie ma mozliwosci przygotowac nowy</t>
  </si>
  <si>
    <t>praca tylko na celle1</t>
  </si>
  <si>
    <t>Error log, zablokowany motor test cell 1</t>
  </si>
  <si>
    <t>error  log / zablokowany motor test cell 1, zablokowany adapter w cell 1, interwencja DUR</t>
  </si>
  <si>
    <t>11183810 housing</t>
  </si>
  <si>
    <t>11183810 housing. Brak otworów homologicznych</t>
  </si>
  <si>
    <t>praca tyłko na cell1 od 14:31 do 22:00</t>
  </si>
  <si>
    <t>spóznienie autobusa</t>
  </si>
  <si>
    <t>na st. hydraulicznych</t>
  </si>
  <si>
    <t>wyskoczyl blad</t>
  </si>
  <si>
    <t xml:space="preserve">cell2 </t>
  </si>
  <si>
    <t>na st gydraulicznych</t>
  </si>
  <si>
    <t>do 04:25</t>
  </si>
  <si>
    <t>zawieszenie robota w st1 od 03:50 Oczekiwanie na DUR</t>
  </si>
  <si>
    <t>Praca na 1 stacje od 22-6</t>
  </si>
  <si>
    <t>od 14.50 1 osoba na pakowaniu</t>
  </si>
  <si>
    <t>praca cell1</t>
  </si>
  <si>
    <t>kalibracja EPSON cell 2</t>
  </si>
  <si>
    <t>kalibracija EPSON na CELL2</t>
  </si>
  <si>
    <t>wkrętak nie dziala</t>
  </si>
  <si>
    <t>duży odpad motorów    przez  nolek,praca tehnologa</t>
  </si>
  <si>
    <t>wymiana adaptera w st.CELL2</t>
  </si>
  <si>
    <t>praca na celle 1od.11-35</t>
  </si>
  <si>
    <t>zawieszenie robota,praca tehnologa,motor razem z adapterom zablokowany w stacii</t>
  </si>
  <si>
    <t>praca na CELLE1od god.9-22</t>
  </si>
  <si>
    <t>praca tehnologa z naprawy CELLE2</t>
  </si>
  <si>
    <t>praca na CELLE1 od god.6-30</t>
  </si>
  <si>
    <t>stacja nie może pobrać adaptera do 
portów olejowych i odrazu wyrzuca 
błąd na zawieszenie 
robota.Oczekiwanie na DUR</t>
  </si>
  <si>
    <t>robot wyciągnął motor razem z adapterem na st.napraw.Oczekiwanie na DUR</t>
  </si>
  <si>
    <t>stacja nie może pobrać adaptera do portów olejowych i odrazu wyrzuca błąd na zawieszenie robota.Oczekiwanie na DUR</t>
  </si>
  <si>
    <t xml:space="preserve">Sciąganie adaptera z motoru.Order:56797385    W223302617 ,ten motor został zabrany przez DUR </t>
  </si>
  <si>
    <t>error log. Zabłokowny motor w stacji.Oczekiwanie na DUR</t>
  </si>
  <si>
    <t>szkolenie nowego pracownika wymiany kalki w drukarce i ustawienie prawidłowego wydruku.</t>
  </si>
  <si>
    <t>2szt z 2 zmiany order 56797397</t>
  </si>
  <si>
    <t>2 razy po nabiwaniu teflona utknal korpus</t>
  </si>
  <si>
    <t>przedluzony testy (1 test 4 min) filtr hg002 byl wymieniony ale dalej pisze ze jest zapchany na 75 procentow</t>
  </si>
  <si>
    <t>HG003 HG002</t>
  </si>
  <si>
    <t>robot nie bierze motory ze st. hydraulicznych</t>
  </si>
  <si>
    <t>znow to samo, bardzo glosno brzmi maszyna, na wszystkich stancjach otadaja motory i wyskakuje blad. Oczekiwanie na technologa. Sciagamy zlecenie, oczekiwanie na przygotowanie nowego materiala</t>
  </si>
  <si>
    <t xml:space="preserve">silnik utknal w stancji, robimy clear error log i wyciagamy motor </t>
  </si>
  <si>
    <t>clear error log po pierwszej zmianie</t>
  </si>
  <si>
    <t>zawieszenie koomp.</t>
  </si>
  <si>
    <t>zawieszenie. Dużyodpad na kierunek</t>
  </si>
  <si>
    <t>zabłokowany korpus 11183822, nie dobity teflon</t>
  </si>
  <si>
    <t>st.30 - 4 godz., st.10 i st.20 - 4 godz.</t>
  </si>
  <si>
    <t>clear error log, pojawily sie wszystkie mozliwe bledy</t>
  </si>
  <si>
    <t>clear error log, blad na smart padie robota, ktory nie mozemy skasowac, oczekiwanie na technologa</t>
  </si>
  <si>
    <t>przerwa termiczna</t>
  </si>
  <si>
    <t>zawieszenie robota z motorem na st.70,oczekiwanie na DUR</t>
  </si>
  <si>
    <t>zawieszenie robota z motorem na st. 70. Oczekiwanie na DUR</t>
  </si>
  <si>
    <t>zabłokowany korpus 11183810 przy zaprasowaniu teflona</t>
  </si>
  <si>
    <t>st.10 i st.20 - 4 godz., st.40 - 42 min</t>
  </si>
  <si>
    <t>po testie ta gorna censzcz wznosi sie z silnikiem i on pada na bok</t>
  </si>
  <si>
    <t>szkolenie z poka yoki</t>
  </si>
  <si>
    <t>start   linii o god.9-20</t>
  </si>
  <si>
    <t>brak internetu,awaria drukarki</t>
  </si>
  <si>
    <t>clear error log</t>
  </si>
  <si>
    <t>1 osoby</t>
  </si>
  <si>
    <t>AWARIA st.41 oczekiwanie na 
DUR</t>
  </si>
  <si>
    <t>zabłokowany motor OMRx315 w cell. Erorr log</t>
  </si>
  <si>
    <t>zabłokowany korpus 11183822,nie dobija tefłonu</t>
  </si>
  <si>
    <t>KUKA</t>
  </si>
  <si>
    <t>zawieszenie robota na st. 80 z motorem i adapterem</t>
  </si>
  <si>
    <t>brak 1 operatora od 07:16 do 07:56 ,SMC2</t>
  </si>
  <si>
    <t xml:space="preserve">zabłokowany korpus 11183822,nie dobija tefłonu x 3 </t>
  </si>
  <si>
    <t>dla wóch operatorów</t>
  </si>
  <si>
    <t>st.30,wypełnianie kart zamówień,braków,do weryfikacji.</t>
  </si>
  <si>
    <t>zle ustawia kierunek</t>
  </si>
  <si>
    <t xml:space="preserve">cezsc walka utknula w adaptere, naprawa adaptera </t>
  </si>
  <si>
    <t>zablokowana paletka</t>
  </si>
  <si>
    <t>montaż Jensen od 6 rano do 17:50</t>
  </si>
  <si>
    <t>brak całej zmiany.Montaż filtrów Jensen</t>
  </si>
  <si>
    <t>Erorr log.Brak możliwośći wyjęcia adaptera z gniazda.Zeby Houghton mógł zacząć działać wyłączyliśmy hydraulike.Oczekiwanie na technologa. Adapter został w gniezdzie 420895</t>
  </si>
  <si>
    <t>wymiana filtra HQ002</t>
  </si>
  <si>
    <t xml:space="preserve">Spad motor krzywo do komory, nie 
mozemy wyciagnac motor. </t>
  </si>
  <si>
    <t>Szkolenie technologiem od 14.15</t>
  </si>
  <si>
    <t>z technologiem dla całej zmiany</t>
  </si>
  <si>
    <t>walek 11183563</t>
  </si>
  <si>
    <t>test wizijny,st.30</t>
  </si>
  <si>
    <t>st.30</t>
  </si>
  <si>
    <t>3 raz spad motor krzywo do komory, nie mozemy wyciagnac motor</t>
  </si>
  <si>
    <t>spad motor krzywo do komory, nie mozemy wyciagnac motor. Oczekiwanie na DURU</t>
  </si>
  <si>
    <t>na st. 50 bez przyczyny</t>
  </si>
  <si>
    <t>dla całej zmiany z technologiem</t>
  </si>
  <si>
    <t>Wszyskie motory odpadają Order 
56793998 Praca tylko na 1 stacje od 
14:30.</t>
  </si>
  <si>
    <t>wszyskie motory odpadają Order 56793998 Praca tylko na 1 stacje do 14:00. Oczekiwanie na technologa</t>
  </si>
  <si>
    <t>drukarka,regulacja.</t>
  </si>
  <si>
    <t>st. 10, st.20- 4 godz., st. 30- 4 godz.</t>
  </si>
  <si>
    <t>i ustawienie parametrow</t>
  </si>
  <si>
    <t>paletka nie odjezdza po dokrecaniu korkow</t>
  </si>
  <si>
    <t>Zabłokowany motor w stacji.Error log</t>
  </si>
  <si>
    <t>Chwytak nie mogę wziąć motor z palety.</t>
  </si>
  <si>
    <t>śruby 681x0187</t>
  </si>
  <si>
    <t>probłematyczny test wizijny na 
obecność o-ringa pod pokrywą. 
Order:56794002 Kod 
motoru:11186652 od 14:00 do 18:00</t>
  </si>
  <si>
    <t xml:space="preserve">zabłokowany motor OMRx315 w cell, Erorr log i oczekiwanie na Houghton </t>
  </si>
  <si>
    <t>brobłematyczny test wizijny na obecność o-ringa pod pokrywą. Order:56794001 Kod motoru:11186652</t>
  </si>
  <si>
    <t>zawieszenie.Uruchomienie linii i odbłokowanie paletek</t>
  </si>
  <si>
    <t>TPM czyczszenie komory B</t>
  </si>
  <si>
    <t xml:space="preserve">st. 40 4 godz i st. 30 </t>
  </si>
  <si>
    <t>Z NAPRAWY ST.50</t>
  </si>
  <si>
    <t>awaria st.50,oczekiwanie na DUR,zablokowany motor pomiedzy komorą z stołem</t>
  </si>
  <si>
    <t>zawieszenie komputera na st.20</t>
  </si>
  <si>
    <t>zablokowany korpus x 2</t>
  </si>
  <si>
    <t>zabłokowany motor w cell, Erorr log</t>
  </si>
  <si>
    <t xml:space="preserve">zawieszenie monitora, restart. Zabłokowany korpus </t>
  </si>
  <si>
    <t>st.10 i st.20 4 godz., st. 30 montaż Gear-set 4 godz 11112012</t>
  </si>
  <si>
    <t>szkolenie nowego operatora z gear-setami 11112012</t>
  </si>
  <si>
    <t>zawieszenie st.</t>
  </si>
  <si>
    <t>puszczanie testerow</t>
  </si>
  <si>
    <t>poprzedniej zmiany</t>
  </si>
  <si>
    <t>AWARIA ST.50</t>
  </si>
  <si>
    <t>Nolek. Rozwalony cały siłownik od  OMR i OMP .Prawdopodobnie będą go całego rozbierać i awaria z naprawą też się przeniesie na nocna zmianę.</t>
  </si>
  <si>
    <t>zabłokowany motor pomiedzy komorą z stołem, oczekiwanie na DUR</t>
  </si>
  <si>
    <t>st. 40 4 godz. i st.30 4 godz.</t>
  </si>
  <si>
    <t>z techtologem TPM do Nolka</t>
  </si>
  <si>
    <t>spotkanie z technologiem co do TPM st 50</t>
  </si>
  <si>
    <t>na st. 20</t>
  </si>
  <si>
    <t>na cell 2 odpadaja silniki, bo waleki nie startuja od 10:40</t>
  </si>
  <si>
    <t>po 10 minut mamy ten samy blad, silnik juz poszedl do testu, ale tak zabrzmialo jak by lapka wrzuczyla ten silnik do komory i nie testuje</t>
  </si>
  <si>
    <t>blad test szczelnosci przylacza gorne w poz. bazowej</t>
  </si>
  <si>
    <t>wymiana coverfilma - szkolenie nowego operatora</t>
  </si>
  <si>
    <t>st. 30 montaż Gear-Set</t>
  </si>
  <si>
    <t xml:space="preserve">2 razy utknal korpus </t>
  </si>
  <si>
    <t>utknal korpus 2 razy</t>
  </si>
  <si>
    <t>znow mamy problem z dukarka, muszimy caly czas ustawiac nowe parametry</t>
  </si>
  <si>
    <t>zły kod walka,oczekiwanie na pomiar   przez   koordynatora</t>
  </si>
  <si>
    <t>dla 2 operatoów</t>
  </si>
  <si>
    <t>od 18:20 do 21:26</t>
  </si>
  <si>
    <t>oczekiwanie na DUR od 18:00 zabłokowany motor pomiedzy komorą a stołem</t>
  </si>
  <si>
    <t xml:space="preserve">oczekiwanie na DUR zawieszenie </t>
  </si>
  <si>
    <t>na st. 50</t>
  </si>
  <si>
    <t>st. 50 na szczelnosc</t>
  </si>
  <si>
    <t>nowego operatora</t>
  </si>
  <si>
    <t>zawieszenie CELL1,CELLE2,oczekiwanie na DUR</t>
  </si>
  <si>
    <t>wYmiana etykety,kalibracija</t>
  </si>
  <si>
    <t>praca DUR z naprawy st.50</t>
  </si>
  <si>
    <t>każda sztuka odpada na sczelność,oczekiwanie na DUR</t>
  </si>
  <si>
    <t>Kalibracja stacji hydraulicznych do 16:00</t>
  </si>
  <si>
    <t>kalibracja st gidraulicznych</t>
  </si>
  <si>
    <t>dolewanie oleju do glownego zbiornika</t>
  </si>
  <si>
    <t>wlonczenie linii, rozblokowanie paletek</t>
  </si>
  <si>
    <t>na montażu gear set ST.30</t>
  </si>
  <si>
    <t>glosno brzmi stancja i otapada na oboroty, zle gear sety</t>
  </si>
  <si>
    <t>na kierunek - st. 20 - kazdy 5-10 motorow stancj ustawia niewlasciwy kierunek</t>
  </si>
  <si>
    <t>nowego operatrora</t>
  </si>
  <si>
    <t>Czas od czasu zawiesza się znowu st.41 przy wkręcaniu śrub</t>
  </si>
  <si>
    <t>zawieszenie,zerwany gwint w pokrywie przez dren</t>
  </si>
  <si>
    <t>wcisnięty grzyb</t>
  </si>
  <si>
    <t>naprawa nie udana</t>
  </si>
  <si>
    <t>CAŁKOWITY BRAK POMIARU CARDANA,ZATWIERDZA NAWET JEGO BRAK!!!!!!Oczekiwanie na DUR Order: 56792199, 56792200</t>
  </si>
  <si>
    <t>Praca na 1 stacje od 22:00 do 03:20 Korpus 11180433</t>
  </si>
  <si>
    <t>wszystkie motory otapadaja na obroty zlecenie 56792200</t>
  </si>
  <si>
    <t>wyskoczyl komunikat , czysczenie bledow</t>
  </si>
  <si>
    <t>zaczyna zawisac st 41, za dwie godziny zawieszila sie z 5 raz</t>
  </si>
  <si>
    <t>wymiana filtra HQ003, SW30/SPF05</t>
  </si>
  <si>
    <t>zabłokowany motor w stacji. Error Log x 3. Adapter z Cell2 został wymieniony na zapasowy, z szafy. Zły adapter zostawiony do sprawdzenia przez Technologa,bo nie wiadomo co mu dolega</t>
  </si>
  <si>
    <t>praca na 1 stacje od 22 do 23:00 korpus 11180433</t>
  </si>
  <si>
    <t>praca na cell 1 od 21.20</t>
  </si>
  <si>
    <t>zawieszenie st. pod czas dokrecania srub</t>
  </si>
  <si>
    <t>nowej osoby</t>
  </si>
  <si>
    <t>SZKOLENIE OPERATORA</t>
  </si>
  <si>
    <t>odpad motorów na obroty. Gear Set 151-1112.Przewodnik 56790428-18 szt. Z nich odpadło 6 szt.</t>
  </si>
  <si>
    <t>stancja zawieszila pod czas dokrecania srub</t>
  </si>
  <si>
    <t>robot rzucil silnik, drzwi st. hydraulicznych nie zamykaja sie</t>
  </si>
  <si>
    <t>robot zawieszil na st. napraw</t>
  </si>
  <si>
    <t>praca 3 operatorow do 14.20</t>
  </si>
  <si>
    <t xml:space="preserve">wymiana filtra HQ003 </t>
  </si>
  <si>
    <t>duzy odpad na kierynek,sczelność</t>
  </si>
  <si>
    <t>utknal korpus, zrobilsmy reset stancji, korpus podnios sie do gory, ale nie wstal w swoja pozycje, powtarzajacy reset nie pomaga</t>
  </si>
  <si>
    <t xml:space="preserve">robot krzywo wlozyl silnik w komorze </t>
  </si>
  <si>
    <t xml:space="preserve">na kierunek i czystosc </t>
  </si>
  <si>
    <t>zawieszenie x3</t>
  </si>
  <si>
    <t xml:space="preserve">robot nie bierze motory </t>
  </si>
  <si>
    <t>wyskoczyl komunikat, czyszczenie bledow</t>
  </si>
  <si>
    <t>utknal korpus, a nie mozemy wlonczyc program</t>
  </si>
  <si>
    <t xml:space="preserve">1 operatora </t>
  </si>
  <si>
    <t>nie mozemy wlonczyc program na st 20</t>
  </si>
  <si>
    <t>szkolenie nowej osoby</t>
  </si>
  <si>
    <t>próba puszczenia OMPW,nie udana.Przewodnik odłożony do weryfikacji 56789633 AUDYT</t>
  </si>
  <si>
    <t>Oczekiwanie i wymiana. HOUCHTON HQ 003 i HQ002</t>
  </si>
  <si>
    <t>sciaganie przewodnika</t>
  </si>
  <si>
    <t>gear sety 151-1127 na oboroty</t>
  </si>
  <si>
    <t>walek silnika utknal w adapterze, dlatego robot nie moze odebrac go z cell 1, robimy clear error log</t>
  </si>
  <si>
    <t>walek silnika utknal w adapterze, dlatego robot nie moze odebrac go z cell 2, robimy clear error log</t>
  </si>
  <si>
    <t>przeklejanie zlych etykiet po drugiej zmianie</t>
  </si>
  <si>
    <t>nie można skasować   bląd,oczekiwanie na DUR</t>
  </si>
  <si>
    <t>NAPRAWA CELLE 2</t>
  </si>
  <si>
    <t>TERMICZNA</t>
  </si>
  <si>
    <t>interwencija  DUR na CELLE2</t>
  </si>
  <si>
    <t>wprawie każdy motor odpada na obroty OMP X 100</t>
  </si>
  <si>
    <t>CELL2 + DUR do 9:25</t>
  </si>
  <si>
    <t>Awaria z poprzedniej zmiany.Urwany trzpień na CELL2. Praca tylko na 1 stacje. Oczekiwanie na DUR do 9:00</t>
  </si>
  <si>
    <t>st20</t>
  </si>
  <si>
    <t>korpus utknal w stancji</t>
  </si>
  <si>
    <t>odpad na obroty. Po pusczeniu na cell 1 - OK . Praca na 1 cell</t>
  </si>
  <si>
    <t>sama po sobie pojechala paletka na st 70 i kuka wziela motor z linii i w tym momencie zawiesila sie</t>
  </si>
  <si>
    <t>nie zabiera motory ze stancij</t>
  </si>
  <si>
    <t xml:space="preserve">CELL 2 </t>
  </si>
  <si>
    <t>CELL 2 .Motor nie może wystarować tylko w cell 2. Oczekiwanie na DUR</t>
  </si>
  <si>
    <t>cell 2</t>
  </si>
  <si>
    <t>nacisniety grzyb</t>
  </si>
  <si>
    <t>duzy odpad motorów na CELL 2, nie może wystartować</t>
  </si>
  <si>
    <t>paletki nie jada</t>
  </si>
  <si>
    <t>zawieszenie robota na st. napraw</t>
  </si>
  <si>
    <t>duzy odpad motorów na CELLE2, nie może wystartować, odpada na kierunek (motory OMP)</t>
  </si>
  <si>
    <t>brak   połączenia</t>
  </si>
  <si>
    <t>Air conditioner monitoring (GQ1) has triggered</t>
  </si>
  <si>
    <t>praca tylko na CELLE1 od 16-40ord.56789290 do cod.20-20</t>
  </si>
  <si>
    <t>ZAWIESZENIE ROBOTA,PRACA TEHNOLOGA</t>
  </si>
  <si>
    <t>duzy odpad motorów na CELLE2, nie może wystartować, odpada na kierunek</t>
  </si>
  <si>
    <t>awaria windy na st.70,praca tehnologa oraz DUR</t>
  </si>
  <si>
    <t>st.70</t>
  </si>
  <si>
    <t xml:space="preserve">zabłokowany korpus x2 </t>
  </si>
  <si>
    <t xml:space="preserve">zawieszenie stancji </t>
  </si>
  <si>
    <t>nie jada paletki</t>
  </si>
  <si>
    <t>szkolenie nowego operatora</t>
  </si>
  <si>
    <t>korpus utknal w stacii x6</t>
  </si>
  <si>
    <t>robot wyciągnał motor ze st.hydraulicznej z adapterem.Oczekiawanie na DUR</t>
  </si>
  <si>
    <t>zablokowany motor OMPx200 w cell, error log</t>
  </si>
  <si>
    <t>zawieszenie st.20 x 6 razy w ciągu godziny</t>
  </si>
  <si>
    <t>Pełno wody w lodówce. Mokry cover film .Oczekiwanie na nowy.</t>
  </si>
  <si>
    <t>zawieszenie st.20 x 5</t>
  </si>
  <si>
    <t>odpad na moment obrotowy gear set 151-1127</t>
  </si>
  <si>
    <t>odpad na moment obrotowy gear set 151-1112 od 15:00 do 16:00</t>
  </si>
  <si>
    <t>korpus utknul w st.</t>
  </si>
  <si>
    <t xml:space="preserve">byl zamknienty jedox i nie zapisalis poprzednie zapisy </t>
  </si>
  <si>
    <t>2 razy utknal o godzienie 7.23</t>
  </si>
  <si>
    <t>ZAWIESZANIE</t>
  </si>
  <si>
    <t>korpus utknal w stacii x5, oczekiwanie na DUR</t>
  </si>
  <si>
    <t>zawieszenie st.30 kamera niema połączenia z systemem order 56776406</t>
  </si>
  <si>
    <t>podpisywanie reklamacji</t>
  </si>
  <si>
    <t>zawieszenie robota w st2, oczekiwanie na DUR</t>
  </si>
  <si>
    <t>zawieszenie robota na st. napraw, clear error log</t>
  </si>
  <si>
    <t>robot nie bierze  motory ze st. hydraulicznych</t>
  </si>
  <si>
    <t>na kierunek, na oboroty gear-set 151-1112</t>
  </si>
  <si>
    <t>Air conditioner monitoring GQ1</t>
  </si>
  <si>
    <t>awaria CELL2,KK325,oczekiwanie na DUR</t>
  </si>
  <si>
    <t>zablokowany motor w cell OMPx200. error log</t>
  </si>
  <si>
    <t>praca na cell1 od 16:51 do 19:05  motory 11257636, 11185877</t>
  </si>
  <si>
    <t>praca na cell1 od 14:00 do 14:25 motor 11185636</t>
  </si>
  <si>
    <t>zawieszenie stancji pod czas dokrecania srub</t>
  </si>
  <si>
    <t xml:space="preserve">z cell 2 </t>
  </si>
  <si>
    <t xml:space="preserve">praca na cell 1 </t>
  </si>
  <si>
    <t>praca tylko na cell1 ord.56781355  OMR 200,ord.56786531 OMR200</t>
  </si>
  <si>
    <t>szcolenie operatora</t>
  </si>
  <si>
    <t>brak zamówionych etykiet 151A0445 na linii</t>
  </si>
  <si>
    <t>zablokowany motor na trzpieniu przy zaprasowaniu teflona 2 razy</t>
  </si>
  <si>
    <t>Praca na tylko na 1 stację hydrauliczną od 15:00 do 20:25</t>
  </si>
  <si>
    <t>praca motorow 11257636 na st 1</t>
  </si>
  <si>
    <t>brudne wałki 11183564 - 30 szt</t>
  </si>
  <si>
    <t>błokuję cell1 i odpadaja  motory na obroty</t>
  </si>
  <si>
    <t>zawieszenie st2 z poprzedniej zmiany</t>
  </si>
  <si>
    <t>gear-set 151H2105</t>
  </si>
  <si>
    <t>zawieszenie motora w lapie</t>
  </si>
  <si>
    <t>duży odpad na sczelność</t>
  </si>
  <si>
    <t>szkolenie operatora na wklady</t>
  </si>
  <si>
    <t>duży odpad motorów OMRx80 (nolek)</t>
  </si>
  <si>
    <t>szkolenie operatora na st.20</t>
  </si>
  <si>
    <t>zabłokowany korpus.Restart monitora</t>
  </si>
  <si>
    <t>zabłokowany korpus x 1 śćiągany za pomocą sciągacza</t>
  </si>
  <si>
    <t>Oczekiwanie na technologa</t>
  </si>
  <si>
    <t>zabłokowany korpus x 5 śćiągany za pomocą sciągacza</t>
  </si>
  <si>
    <t>brak 1  operatora</t>
  </si>
  <si>
    <t xml:space="preserve">na czystosc </t>
  </si>
  <si>
    <t>glownego komputera</t>
  </si>
  <si>
    <t>ustawienie parametrow drukowania etykiety</t>
  </si>
  <si>
    <t xml:space="preserve">walki 11183554 blokuje na cell 2, po pusczeniu na cell 1 - OK </t>
  </si>
  <si>
    <t>wlonczenie linii,pusczanie testerow, rozblokowanie paletek</t>
  </si>
  <si>
    <t xml:space="preserve">zablokowany korpus 2 razy </t>
  </si>
  <si>
    <t>Error log. Czyszczenie błedów. Zawieszenie st. Hydraulicznej, brak możliwośći uruchomienia. Oczekiwanie na DUR</t>
  </si>
  <si>
    <t xml:space="preserve">zawieszenie robota przy zabieraniu motora z cell 2 </t>
  </si>
  <si>
    <t>zawieszenie robota w lapce</t>
  </si>
  <si>
    <t>cardany 11184806</t>
  </si>
  <si>
    <t>wyskoczyyl bland , clear error, nie mozemy wyciagnac adapter cell 2 z motoru</t>
  </si>
  <si>
    <t>start linii na dwe celle od 12-15</t>
  </si>
  <si>
    <t>Praca DUR z naprawy CELL2</t>
  </si>
  <si>
    <t>Praca tylko na CELL1 od 6-00</t>
  </si>
  <si>
    <t>Szkolenie nowego operatora</t>
  </si>
  <si>
    <t xml:space="preserve">blokuje korpus przy odbieraniu torpedy </t>
  </si>
  <si>
    <t>praca na st 1</t>
  </si>
  <si>
    <t>na st. 10</t>
  </si>
  <si>
    <t>cell 2, st. 20</t>
  </si>
  <si>
    <t>zablokowane motory</t>
  </si>
  <si>
    <t xml:space="preserve"> z naprawy CELE2 od god.10 -25 do 13-47</t>
  </si>
  <si>
    <t>praca tylko na CEEL1 OD GOD.8-55 DO 10-25</t>
  </si>
  <si>
    <t>oczekiwane na DUR</t>
  </si>
  <si>
    <t>restart komputera  HAINZL i ERROR LOG</t>
  </si>
  <si>
    <t>szkolenie nowego operatorana st.10</t>
  </si>
  <si>
    <t xml:space="preserve">problem z testem wizijnym ord.56785098,zlecenie odlożone </t>
  </si>
  <si>
    <t>sciąganie przewodnika 56785095 ktory był na linii.Trzy przewodnika 56785095,56785096,56785097 odstawione do weryfikacji technologa przez wałki 11183555.  Ustawione złe parametry na st.20 i dla tego była wygięta część maszyny. Podobny probłem może wystapić też przy  wałkach 11183573,który juz miał miejsce kilka miesięcy temu.</t>
  </si>
  <si>
    <t>st. 20 zamiast czarnego smaru,idzie dziwny brązowy.Koordynator dał zgode na produkcje.</t>
  </si>
  <si>
    <t>do 4:20 interwencja DUR.po której zostało syczanie którego nie było na st.20</t>
  </si>
  <si>
    <t>lapka ktora zabiera torpedy wykrywila sie</t>
  </si>
  <si>
    <t>zawieszenie motora w lapkie</t>
  </si>
  <si>
    <t>korpus 11178013 utknal w stancji, oczekiwanie na DUR</t>
  </si>
  <si>
    <t>zawieszenie motorow z walkami 11183568 w st. hydraulicznych, brak jednego adaptera dla tych walkow, clear error log</t>
  </si>
  <si>
    <t>zawieszenie KUKI,praca tehnologa</t>
  </si>
  <si>
    <t>error Log.Czyszczenie błedów</t>
  </si>
  <si>
    <t>przedluzony test po st1 na motorah OMRx375N do 00:27</t>
  </si>
  <si>
    <t>wymiana filtra HQ010, brak filtra na magazyne HQ003 do wymiany</t>
  </si>
  <si>
    <t>odpad na czystość</t>
  </si>
  <si>
    <t>odpad motorów OMRx375N na czystość</t>
  </si>
  <si>
    <t>paletka nie jedzie, sciaganie paletki, puszczanie reworka</t>
  </si>
  <si>
    <t>korpus utknal w stancj</t>
  </si>
  <si>
    <t>dolali olej do glownego zbiornika, ogrzewanie stancij</t>
  </si>
  <si>
    <t>zle drukoala drukarka</t>
  </si>
  <si>
    <t>na kierunek ta obroty 56784991</t>
  </si>
  <si>
    <t>reworki motorow od  1 zmiany</t>
  </si>
  <si>
    <t>brudny walki 11183564</t>
  </si>
  <si>
    <t>dużo naprawy</t>
  </si>
  <si>
    <t>kalibracija st.41</t>
  </si>
  <si>
    <t>duży odpad motorów na obroty.ord.56784990</t>
  </si>
  <si>
    <t>praca  tehnologa i elektronika z naprawy st.50</t>
  </si>
  <si>
    <t>order 56784990,kazda scztuka odpada</t>
  </si>
  <si>
    <t>problem z testem wizijnym,oczekiwanie na tehnologa</t>
  </si>
  <si>
    <t>wymiana etykety ,kalibracija</t>
  </si>
  <si>
    <t>Czyszczenie błędów przez dużą ilość odpadów.Error log</t>
  </si>
  <si>
    <t>do 03:00</t>
  </si>
  <si>
    <t>blokuje motory OMPWx125N 11185891 w st hydraulicznej, praca na cell2 od 23:10 do 03:00</t>
  </si>
  <si>
    <t>przedluzony test po st2 od 22:00</t>
  </si>
  <si>
    <t xml:space="preserve">podajnik coverfilmow </t>
  </si>
  <si>
    <t>na dreny OMRx80</t>
  </si>
  <si>
    <t>gear-set 151H2104</t>
  </si>
  <si>
    <t xml:space="preserve">1operatora </t>
  </si>
  <si>
    <t>przerwa dla 1 operatora</t>
  </si>
  <si>
    <t>zapelnienie linii,praca tehnologa na liniiz naprawy CELLE2</t>
  </si>
  <si>
    <t>brak 11129868</t>
  </si>
  <si>
    <t>brak 1 operatora, podpisanie nowej umowy</t>
  </si>
  <si>
    <t>łapa krzywo pobrała korpus</t>
  </si>
  <si>
    <t>zabłokowany korpus na trzpieniu. Zawieszenie monitora. Robiony restart</t>
  </si>
  <si>
    <t xml:space="preserve">motory  OMPx315 blokuje w cell 2, po puszaniu na cell 1 - OK </t>
  </si>
  <si>
    <t>wentylator na st. 80 spadl nad glowa operatora</t>
  </si>
  <si>
    <t>zablokowany motor OMP 315 w cell 2, Error log</t>
  </si>
  <si>
    <t>3 osoby</t>
  </si>
  <si>
    <t>zawieszenie praska</t>
  </si>
  <si>
    <t xml:space="preserve">klimatyczna     </t>
  </si>
  <si>
    <t>duzy odpad motorów po st 50 na szczelność OMRx100 11185542 od 12:34</t>
  </si>
  <si>
    <t>zablokowany motor OMRx400 w cell, Error log</t>
  </si>
  <si>
    <t>motor 11185767 (OMPx400)blokuje w st hidrawlicznyh, za 2 razem testuje</t>
  </si>
  <si>
    <t>brak 2 operatorów w związku z nowym ubezpieczeniem.</t>
  </si>
  <si>
    <t>Czyszczenie błędów, Error log</t>
  </si>
  <si>
    <t>do Nolka</t>
  </si>
  <si>
    <t>duzy odpad motorów po st 50</t>
  </si>
  <si>
    <t>Uszkodzony adapter 420895 ,wymiana na zapasowy.</t>
  </si>
  <si>
    <t>nie testuje motory (odpad.), praca na 1 st.</t>
  </si>
  <si>
    <t>HG003</t>
  </si>
  <si>
    <t xml:space="preserve">error log </t>
  </si>
  <si>
    <t>Duzy odpad motorów nolekom na sczelnosć OMRx315</t>
  </si>
  <si>
    <t>praca DUR, ERROR LOG</t>
  </si>
  <si>
    <t>zawiszanie KUKI</t>
  </si>
  <si>
    <t>awaria stoppera na st 80</t>
  </si>
  <si>
    <t>klima</t>
  </si>
  <si>
    <t>ST.20 do 09:10</t>
  </si>
  <si>
    <t>korpus zablokuwało z wałkem</t>
  </si>
  <si>
    <t>zawieszenie cell1 i cell2 z motorem 11185755, Error log 2 razy</t>
  </si>
  <si>
    <t xml:space="preserve"> w adaptere 420895 kawalek walka, teraz w stacij 1 zapasowy adapter</t>
  </si>
  <si>
    <t>robimy  error log, w sriodku zostala czesc od walka w adaptere</t>
  </si>
  <si>
    <t>robimy  error log</t>
  </si>
  <si>
    <t>brak polaczenia z internetem, zatrzymana cala linia, nie dziala Standartization 3</t>
  </si>
  <si>
    <t>brak polaczenia z internetem</t>
  </si>
  <si>
    <t>nie dziala lampa na st.80 i 70</t>
  </si>
  <si>
    <t>rozladowany paleciak</t>
  </si>
  <si>
    <t>zablokowane paletki</t>
  </si>
  <si>
    <t>wloczenie linii</t>
  </si>
  <si>
    <t>rework mtotoru</t>
  </si>
  <si>
    <t>Z NAPRAWY ST.20</t>
  </si>
  <si>
    <t>awaria vision system - kamera offline</t>
  </si>
  <si>
    <t>st 20</t>
  </si>
  <si>
    <t xml:space="preserve">korpus utknal </t>
  </si>
  <si>
    <t>stancja zawiesila pod czas dokrecania drena</t>
  </si>
  <si>
    <t>nie drukuja sie naklejki</t>
  </si>
  <si>
    <t>na st. 30</t>
  </si>
  <si>
    <t>brudni walki 11183554</t>
  </si>
  <si>
    <t>HG002, HG003</t>
  </si>
  <si>
    <t>zawieszila sie z motorem w lapkie</t>
  </si>
  <si>
    <t>kuka wrzucila motor</t>
  </si>
  <si>
    <t>awarijny stop,oczekiwanie na DUR</t>
  </si>
  <si>
    <t>naprawa st.41</t>
  </si>
  <si>
    <t>dła 3 operatorów</t>
  </si>
  <si>
    <t>na st hydraulicznej air conditioner monitoring (GQ1) has triggered</t>
  </si>
  <si>
    <t>lapka zawiesila sie po testowaniu, w recznym trypie postawilismy motor na paletke, ale paletka nie chciala odjedzac, po sciagnienciu paletki podjechala nowa ale dalej pokazuje alarm ze w uchwacie jest ten staryj motor</t>
  </si>
  <si>
    <t>motor zawiesil w lapie</t>
  </si>
  <si>
    <t>paletka nie odjedza od st. 60</t>
  </si>
  <si>
    <t>ustawienie parametrow drukowania etykiety, drokowanie nowych etykiet dla motorow  zlecenie 56781367</t>
  </si>
  <si>
    <t>na dren (OMP)</t>
  </si>
  <si>
    <t>zlecenie 56781371 etykiety drukuje dobrze</t>
  </si>
  <si>
    <t>ustawienie parametrow drukowania etykiety, drokowanie nowych etykiet dla motorow  zlecenie 56781366</t>
  </si>
  <si>
    <t>zawieszenie st.41 pod czas dokręcanija śrub</t>
  </si>
  <si>
    <t>przy testy poka-yoka zaprasowuje 
teflon druga strona i praca technologa</t>
  </si>
  <si>
    <t xml:space="preserve">z tehnologem - poka yoka lozyska </t>
  </si>
  <si>
    <t>robot nie bierze motory z linii, wlaczyli i wylaczyli st. hydrauliczny, ale robot bierze tester i motory ze st. napraw</t>
  </si>
  <si>
    <t>wyskoczyl blad, clear error</t>
  </si>
  <si>
    <t>drukowanie drugiej etykiety dla motorow, bo pierwsza ma zle ustawiony parametry</t>
  </si>
  <si>
    <t>rework motoru teardown</t>
  </si>
  <si>
    <t>praca tyłko na cell2 order 56771534 OMPWx50N do 21:00</t>
  </si>
  <si>
    <t>przy testy poka-yoka zaprasowuje teflon druga strona</t>
  </si>
  <si>
    <t>lapka nie w swojej pozycji , bierze motor nie z dolu , a udarza motor z gory</t>
  </si>
  <si>
    <t>lapka wrzuczyla motor</t>
  </si>
  <si>
    <t>lapka wjechala w paletke i przez to motor spadl na podloge</t>
  </si>
  <si>
    <t>walki 11183558</t>
  </si>
  <si>
    <t>dokladanie lozysk z tylu</t>
  </si>
  <si>
    <t>korpus 11183826</t>
  </si>
  <si>
    <t>praca za cell1</t>
  </si>
  <si>
    <t>wymiana  etyketa,kalibracija</t>
  </si>
  <si>
    <t>ERROR LOG   CELLE1</t>
  </si>
  <si>
    <t>duży odpad motoróword.56778502 przez  celle 2 ,praca na CELLE1</t>
  </si>
  <si>
    <t>zlecenie 56771534 wszystkie motory odpadą na obroty,odlożone do testu przez tehnologa</t>
  </si>
  <si>
    <t>Zawieszenie KUKI</t>
  </si>
  <si>
    <t>PRACA tylko na CELLE1</t>
  </si>
  <si>
    <t>Z NAPRAWY CELLE1</t>
  </si>
  <si>
    <t>duzy odpad na kierunek,praca tylko na celle2 od god.22-30,motory OMPWX160</t>
  </si>
  <si>
    <t>nie drukuie etikety do motorow 11212662 "LIEBHERR" order 56780625 na drukarce PR332.21, włączenie i kalibracija drukarky PR332.61</t>
  </si>
  <si>
    <t>brak testy POKA-YOKA na łożyska 0 14:00</t>
  </si>
  <si>
    <t>dolanie oleju w glowny zbiornik. Oczekiwanie na ogrzewanie stancij</t>
  </si>
  <si>
    <t>zaczali otpadac motory na oboroty</t>
  </si>
  <si>
    <t>pod czas wlaczenia linii nie podniosla sie paletka i zauwazylismy ze torpeta byla spadnienta na dol stancji, lapka ktora bierze torpede stoji nie na swojej pozycji, nie mozemy zgasic niebieski przycisk</t>
  </si>
  <si>
    <t>wlaczenie linii</t>
  </si>
  <si>
    <t>sruby 687X0187</t>
  </si>
  <si>
    <t>korpusy 11182810 zawieszaja w stancji po nabiwaniu teflona, ale przy pusczaniu tych samych korpusow drugij raz bylo bez zawieszenia</t>
  </si>
  <si>
    <t>zawieszenie korpusa w stancji po nabiwaniu teflona, 2 raz</t>
  </si>
  <si>
    <t>zawieszenie korpusa w stancji po nabiwaniu teflona</t>
  </si>
  <si>
    <t>kalibracja urzadzenia do dokrecania korkow na st. 80</t>
  </si>
  <si>
    <t>zawieszenie stzncji pod czas dokrecania srub</t>
  </si>
  <si>
    <t>wlonczenie linii</t>
  </si>
  <si>
    <t>rozblokowanie paletek</t>
  </si>
  <si>
    <t>odpad na moment obrotowy na motorah 11285004 gear set 151-1112 od 22:00 do 2:00</t>
  </si>
  <si>
    <t>zawieszenie po zmiane komoru z E na B</t>
  </si>
  <si>
    <t xml:space="preserve">zawieszenie na śrubie 2 i 5 OMPx125N </t>
  </si>
  <si>
    <t>brak testu Poka-yoka na łożyska</t>
  </si>
  <si>
    <t xml:space="preserve">paletka nie odjzedza ze stancji po skoncieniu prasowania, chciala ruszyc, ale cos sie blokuje ruch </t>
  </si>
  <si>
    <t xml:space="preserve">korpusy 11183810 3 razy zawieszali sie przy nabianiu teflona, ale przy pusczaniu tych samych korpusow drugij raz bylo biez zawieszenia </t>
  </si>
  <si>
    <t>motor zawiesil sie w lapkie</t>
  </si>
  <si>
    <t>korpusy 11183810 zawieszaja po nabiwaniu teflona 4 razy</t>
  </si>
  <si>
    <t>kalibracija kluczy od god.10-35 do 13-35</t>
  </si>
  <si>
    <t>testy tehnologa,ISIR z lożyskom 10szt.</t>
  </si>
  <si>
    <t xml:space="preserve"> +zapolnienie linii</t>
  </si>
  <si>
    <t>awaria z poprzedniej zmiany, oczekiwanie na DUR</t>
  </si>
  <si>
    <t>praca DUR od 18:40 do 20:30, awarie nie naprawili</t>
  </si>
  <si>
    <t>paletki na dole nie jada do windy, oczekiwanie na DUR</t>
  </si>
  <si>
    <t>brak pradu, brak polaczenia z internetem, nie ma mozliwosci logowania do systemy, brak powietrza na cialym zakladzie</t>
  </si>
  <si>
    <t xml:space="preserve">zawieszenie stancji pod czas dokrecania srub, kiedy resetujemy stancje motor spada na paletku   </t>
  </si>
  <si>
    <t>brak jednego operatora</t>
  </si>
  <si>
    <t>testy tehnologa</t>
  </si>
  <si>
    <t xml:space="preserve">Problem z testem wizijnym st.10, praca tehnologa. </t>
  </si>
  <si>
    <t xml:space="preserve">rdza w korpusach11248191,zlecenie 56777701 zatrzymane </t>
  </si>
  <si>
    <t>praca na 2 celle od 9-30</t>
  </si>
  <si>
    <t>praca tylko na CELLE 1  od 6-00do9-29</t>
  </si>
  <si>
    <t>przerwa dla 1 operatora do 6-10</t>
  </si>
  <si>
    <t>odpad na prędkość obrotowy w prawo i na zawor w lewo motor 11185636, praca na cell1 od 04:36 do 06:00</t>
  </si>
  <si>
    <t>zabłokowany motor 11185636 OMRx200 w cell, ERROR LOG(2 razy)</t>
  </si>
  <si>
    <t>zawieszenie po zmianie komory z E na B</t>
  </si>
  <si>
    <t>brudne wałki 11183556 - 150szt. Oczekiwanie na nowe wałki order 56778434</t>
  </si>
  <si>
    <t>zawieszenie motora w  lapkie</t>
  </si>
  <si>
    <t>ustawienie parametrow drukowania etykety kazde 2-3 sztuki</t>
  </si>
  <si>
    <t>walki 11183564</t>
  </si>
  <si>
    <t>ten sam motor odpada na oboroty po wymianie 2-3 gear-setow 151-1112</t>
  </si>
  <si>
    <t>otpada na oboroty</t>
  </si>
  <si>
    <t>zawieszenie robota na st. napraw, error log</t>
  </si>
  <si>
    <t>na szczelnosc</t>
  </si>
  <si>
    <t xml:space="preserve">spotkanie jednego operatora </t>
  </si>
  <si>
    <t>ERROR    LOG</t>
  </si>
  <si>
    <t>awaria test CELL2,zawieszenie robota</t>
  </si>
  <si>
    <t>testy tehnologa isir 11 szt.</t>
  </si>
  <si>
    <t>zawieszenie x2</t>
  </si>
  <si>
    <t>uruchomienie linii</t>
  </si>
  <si>
    <t>lapa nie bierze motory</t>
  </si>
  <si>
    <t>st. 41</t>
  </si>
  <si>
    <t>ustawienie parametrow drukowania etyket, ten samy problem ze 2-3 sztuki drukuje dobrze, a po potrzebno znow ustawiac parametry, na to straczamy duzo czasu!</t>
  </si>
  <si>
    <t>kalki i etykety</t>
  </si>
  <si>
    <t>stancja nie zaczyna test</t>
  </si>
  <si>
    <t>praca z cell 2</t>
  </si>
  <si>
    <t>awaria z poprzednej zmiany, robot nie bierze motory ze st. Hydraulicznych, praca DUR</t>
  </si>
  <si>
    <t>KUKA NIE BIERZE MOTORÓW Z CELLE2,PRACA  DUR</t>
  </si>
  <si>
    <t>ERROR LOG,RESTART KOMPUTERA HAINZL</t>
  </si>
  <si>
    <t>zawieszenie praski 2 razy</t>
  </si>
  <si>
    <t>zawieszenie praski 3 razy</t>
  </si>
  <si>
    <t>termiczna 16-00 do 16-10</t>
  </si>
  <si>
    <t>PRACA NA DWE CELLE od 15-00</t>
  </si>
  <si>
    <t>naprawa celle2 ,praca DUR I TEHNOLOGA</t>
  </si>
  <si>
    <t>brak możliwośći zrobienia testu POKA-YOKA NA NEXTGEN Z LOŻYSKIEM</t>
  </si>
  <si>
    <t>Nie zmieniony lejal etykiety  na motory 11285004</t>
  </si>
  <si>
    <t xml:space="preserve"> i praca technologa cell2 do 14:00</t>
  </si>
  <si>
    <t>st.20 i oczekiawanie na DUR</t>
  </si>
  <si>
    <t>zablokowany motor na trzpieniu</t>
  </si>
  <si>
    <t>praca tyłko na cell1 do 13:00</t>
  </si>
  <si>
    <t>puszczenie probłematycznego przewodnika OMPx125N, praca tyłko na cell1</t>
  </si>
  <si>
    <t>praca na cell 1 przez interwencje DUR do cell2 do 07:38</t>
  </si>
  <si>
    <t>awaria z poprzedniej zmiany, oczekiwanie na DUR. IT-probłem.Trzeba zrestartować kamere na st.20</t>
  </si>
  <si>
    <t>jak naciskamy przycisk, pompuje sie powietrze, ale lapka nie bierze korpus</t>
  </si>
  <si>
    <t>walki 11183554</t>
  </si>
  <si>
    <t>ustawienie parametrow drukowania etykety, 2-3 sztuki drukuje dobrze, a po znow potrzebno ustawiac parametry</t>
  </si>
  <si>
    <t>nie można wydrukować etykety  ord.56777699</t>
  </si>
  <si>
    <t>zawieszenie KUKI,praca DUR</t>
  </si>
  <si>
    <t>praca tylko na cell1 od.16-00</t>
  </si>
  <si>
    <t>ord.56777698</t>
  </si>
  <si>
    <t>spotkanie na kantyne od 14-30 z powodu ubezpieczenija do 15-20</t>
  </si>
  <si>
    <t>od 10:30 do 11:10 Ubezpieczenie grupowe.</t>
  </si>
  <si>
    <t>Przy wczorajszej wymianie na nowy mosiężnego elementu z nolka ,ten element nie został odpowiednio doszlifowany do motorów OMP.  Ten problem był juz rozwiązywany ponad pół roku temu.</t>
  </si>
  <si>
    <t>do 09:20</t>
  </si>
  <si>
    <t>awaria z wczorajszej drugiej zmiany.</t>
  </si>
  <si>
    <t>awaria z poprzednej zmiany, lapka wrzuca motory w komore</t>
  </si>
  <si>
    <t>motor zablokowany w komore,oczekiwanie na DUR</t>
  </si>
  <si>
    <t>praca na 2 celle od 15-00</t>
  </si>
  <si>
    <t>praca tylko na CELL1,NA cell2-wszystkie motory odpadają na kierunek</t>
  </si>
  <si>
    <t>z Liderem o 13:50</t>
  </si>
  <si>
    <t>Probłematyczny test wizijny</t>
  </si>
  <si>
    <t>Każdy trzeci odpada na szczelność,bez powodu.</t>
  </si>
  <si>
    <t>duży odpad na obecność zaworów,bez powodu.</t>
  </si>
  <si>
    <t>i praca technologa Nolek do 12:17</t>
  </si>
  <si>
    <t xml:space="preserve">Wszystkie motory po kolei odpadają na szczelność,bez powodu. Oczekiwanie na DUR </t>
  </si>
  <si>
    <t>zabłokowany korpus na trzpieniu przy zaprasowaniy tefłonu x 2</t>
  </si>
  <si>
    <t>zablokowany motor OMRx80 w 
cell, czyszczenie błędów</t>
  </si>
  <si>
    <t xml:space="preserve">Pełno metalowych wiorów w 
korpusach 11183822 </t>
  </si>
  <si>
    <t>brudne wałki 11183554 - 9 szt</t>
  </si>
  <si>
    <t>robot nie bierze motory z st. hydraulicznej, robimy clear error</t>
  </si>
  <si>
    <t>praca na cell1,poki oczekujemy na duru</t>
  </si>
  <si>
    <t>wyskoczyl blad pod czas puszczania testera, nie przychodzi test hydrauliczny cell2</t>
  </si>
  <si>
    <t>z naprawy st.50</t>
  </si>
  <si>
    <t xml:space="preserve">duży odpad motorów na szcelność,podwujny test </t>
  </si>
  <si>
    <t>wymina filtra na CELL1,2</t>
  </si>
  <si>
    <t>comiesięczne spotkanie</t>
  </si>
  <si>
    <t>zablokowany motor OMPWx80 w cell, czyszczenie błędów</t>
  </si>
  <si>
    <t>ISIR pod nadzorem technologa</t>
  </si>
  <si>
    <t>OMRx36 - 13 szt.</t>
  </si>
  <si>
    <t>Pełno metalowych wiorów w korpusach 11183822</t>
  </si>
  <si>
    <t>duży odpad przez całą zmiane, oczekiwanie na DUR</t>
  </si>
  <si>
    <t>BRUDNE WAŁKI!!!!!!! 11183554 - 35SZT</t>
  </si>
  <si>
    <t>odpadlo 10 walkow 11183554 (nie startue)</t>
  </si>
  <si>
    <t>ustawienie parametrow drukowania etykety</t>
  </si>
  <si>
    <t>sciaganie z linii przewodnika 56775270</t>
  </si>
  <si>
    <t xml:space="preserve">oczekiwanie na gear-sety 11112012 dla naprawienia motorow </t>
  </si>
  <si>
    <t>pusczenie motorow ze st napraw wyciagnientych z st gydraulicznych pod czas robienia clear error</t>
  </si>
  <si>
    <t>duzy odpad przez wadliwe gear-sety 11112012</t>
  </si>
  <si>
    <t xml:space="preserve">awaria z poprzedniej zmiany, zawieszenie robota na st. napraw </t>
  </si>
  <si>
    <t>na całą zmiane duży odpad motorów na kierunek ,motory 56775270 -duży odpad na obroty</t>
  </si>
  <si>
    <t>czycszenie komory st.50 HOLEK</t>
  </si>
  <si>
    <t>dużyodpad motorów na kierunek,praca tylko na CELL1 od. 18-33 ,oczekiwanie na DUR.</t>
  </si>
  <si>
    <t>z powodu reklamacij</t>
  </si>
  <si>
    <t>przez noleka</t>
  </si>
  <si>
    <t>problem z testem vizijnym st.10,praca tehnologa</t>
  </si>
  <si>
    <t>OMPx160 na st 50 od 12:30</t>
  </si>
  <si>
    <t>ISIR pod nadzorem technologa od 10:00 do 12:10</t>
  </si>
  <si>
    <t>URUCHOMIENIE LINII</t>
  </si>
  <si>
    <t>ERROR LOG,restart komputera HAINZL</t>
  </si>
  <si>
    <t>do 20:32</t>
  </si>
  <si>
    <t>Błąd SERVO w  szafie . Oczekiwanie na DUR</t>
  </si>
  <si>
    <t>brudne wałki 11183554 - 6 szt  ,11183556 - 4 szt</t>
  </si>
  <si>
    <t>Zawiesznie korpusa na trzpieniu przy zaprasowaniu tefłonu x 3</t>
  </si>
  <si>
    <t>Zawiesznie korpusa na trzpieniu przy zaprasowaniu tefłonu</t>
  </si>
  <si>
    <t>cell 1 i cell 2 Praca technologa +DUR do 16:30</t>
  </si>
  <si>
    <t>robot nie bierze motory nowego zlecenija z walkami 11183556 ze stancji hydraulicznych</t>
  </si>
  <si>
    <t>test torpedy dla walkow 11183556</t>
  </si>
  <si>
    <t>dolewanie oleju do stacji hydraulicznych</t>
  </si>
  <si>
    <t>awaria z poprzednej zmiany, zawieszenie silnika w komore, test szczelnosci nie dziala po puszczaniu OMPW</t>
  </si>
  <si>
    <t>Brak elektronika na zmiane,brygada wyslana na SMC 2</t>
  </si>
  <si>
    <t xml:space="preserve"> NIE DZIALA</t>
  </si>
  <si>
    <t>przerwane zlecenie 56772644,ściąganie motorów z linii,zapełnienie linii,HOLEK nie testuje OMPW</t>
  </si>
  <si>
    <t>zawieszenie st.50 NOLEK motory OMPWX160 ord.56772644</t>
  </si>
  <si>
    <t>zrobiona kalibracija,praca na 2 celli od god 02-05</t>
  </si>
  <si>
    <t>potrzebuje kalibracii,praca na 1 st. Od god.00-55</t>
  </si>
  <si>
    <t>PRACA DUR z naprawy st.60 KUKA</t>
  </si>
  <si>
    <t>KUKA wyciągnął silnik razem z adapterem ze stacii,i zawiesila,oczekiwanie na DUR</t>
  </si>
  <si>
    <t>ERROR LOG, restart komputera  HAINZL</t>
  </si>
  <si>
    <t>brudne wałki 11183554, selekcja od 18:00 do 22:00-20szt.</t>
  </si>
  <si>
    <t xml:space="preserve">kiedy operator robie zdjecie, wyskakuje blad, przez ktory paletka nie jedzie dalej </t>
  </si>
  <si>
    <t>kalibracija noleka</t>
  </si>
  <si>
    <t>selekcja teflonow</t>
  </si>
  <si>
    <t>z nolekom</t>
  </si>
  <si>
    <t>lapa krzywo stawi motor na paletku</t>
  </si>
  <si>
    <t>szelnosc (nolek )</t>
  </si>
  <si>
    <t>duzy odpad motorów na szczelność nolekom OMRx200 order 56775282</t>
  </si>
  <si>
    <t>wymiana etyketa w drukarce,kalibracija</t>
  </si>
  <si>
    <t>lapa krzywo ustawia korpus na trzpień,oczekiwanie na DUR</t>
  </si>
  <si>
    <t>praca DUR na st.50</t>
  </si>
  <si>
    <t xml:space="preserve"> wyłączany dodatkowy test przez operatora na każdym silnike</t>
  </si>
  <si>
    <t>Przekroczony limit testów na Nolku. Za poleceniem technologa, za każdym testowanym motorze ma być wyłączany dodatkowy test przez operatora.</t>
  </si>
  <si>
    <t>zawieszenie korpusa na trzpieniu</t>
  </si>
  <si>
    <t>Brudne wałki 11183554 - 12 szt. Korpus 11183822-pełno metalowych wiórów</t>
  </si>
  <si>
    <t>Odpad po tescie na moment start</t>
  </si>
  <si>
    <t>Zawieszenie korpusa na trzpieniu</t>
  </si>
  <si>
    <t>Zawieszenie cell2 na step 1050 , BLĄD: Valve shaft adapter retention cylinder (KK321) run monitoring, shaft adapter 420895</t>
  </si>
  <si>
    <t>Praca technologa+DUR</t>
  </si>
  <si>
    <t>i DUR z cell 2</t>
  </si>
  <si>
    <t>przeglad st. hydraulicznej</t>
  </si>
  <si>
    <t>dokladanie lozysk dla praski z tylu</t>
  </si>
  <si>
    <t>praca tylko na cell 2</t>
  </si>
  <si>
    <t>szkolenie jednego operatora pierwszej pomocy</t>
  </si>
  <si>
    <t>problematycznyj test motorów OMPW NA CAŁĄ ZMIANE.Test dziala tylko na CELLE 2.Na celle 1 -duży odpad.</t>
  </si>
  <si>
    <t>ERRR LOG  cell 1</t>
  </si>
  <si>
    <t>motory OMPW X315N,PRACA NA 1 CELL od.god.3-30</t>
  </si>
  <si>
    <t>problematycznyj test motorów  56775208,proszę zwrócić uwagę   12 szt.zrobione za 1 god.28 min.</t>
  </si>
  <si>
    <t>cell1 podwujny test motorów,wymiana uszelek w adaptore,cell2 nie zwalnia motory na paletki order 56775208</t>
  </si>
  <si>
    <t>ERRR LOG  CELL1,2,order 56775208</t>
  </si>
  <si>
    <t>ERRR LOG  CELL1,2</t>
  </si>
  <si>
    <t>praca na 1 celle od god. 01-05</t>
  </si>
  <si>
    <t>każdy drugy odpada na kierunek</t>
  </si>
  <si>
    <t>st.60 HAINZL, restart komputera i logowanije.</t>
  </si>
  <si>
    <t>wymiana filtra HQ003,oczekiwanie na HOUQHTON</t>
  </si>
  <si>
    <t>duży odpad mototów na kierunek na CELL1</t>
  </si>
  <si>
    <t>Zawieszanie cell 1, ERROR LOG</t>
  </si>
  <si>
    <t>BRAK TESTU TESTERA NA CELLE</t>
  </si>
  <si>
    <t>Przypominamy.... Że brak możliwośći zrobienia testu Poka Yoke na motory,Nextgen z łożyskiem.</t>
  </si>
  <si>
    <t>Order 56774327 OMPWx100N</t>
  </si>
  <si>
    <t>Praca tylko na jedną stacje.Do 17:10 Order:56769601, wałki 11183564*wieliowpust* błokują się w st.hydraulicznej, shaft adapter 420283</t>
  </si>
  <si>
    <t>zawieszenie cell2 na step 1050 *Wait for request entrance to be inactiv*, shaft adapter 420283</t>
  </si>
  <si>
    <t>IT problem.Drukarka nie drukuję etykiet do Order:56769601</t>
  </si>
  <si>
    <t>brudne wałki 11183564</t>
  </si>
  <si>
    <t>zabłokowany motor w stacji hydraulicznej Error+ log</t>
  </si>
  <si>
    <t>zabłokowany tester w stacji hydraulicznej  Error+log, shaft adapter 420283</t>
  </si>
  <si>
    <t>zle walki, caly czas wyskakuje blend</t>
  </si>
  <si>
    <t>praca techologa i DUR ze stancjami hydrauliczhymi od 11:00</t>
  </si>
  <si>
    <t>Nie posprzatana linia po nocnej zmianie!</t>
  </si>
  <si>
    <t>pusczenie motorow z linii, bez zawieszenia. Zawiesza tylko tester i tylko na cell2</t>
  </si>
  <si>
    <t>zawieszenie robota z testerem w lapie drugij raz,clear error</t>
  </si>
  <si>
    <t>zawieszenie robota z testerem w lapie,clear error</t>
  </si>
  <si>
    <t>zawieszenie przedtestowego motoru test cell 2 ,ERROR  LOG, praca bez  przedtesta cell 2.</t>
  </si>
  <si>
    <t>brudne wałki 11183554-11 szt.</t>
  </si>
  <si>
    <t xml:space="preserve"> zawieszenie korpusa na trzpieniu przy zaprasowaniu teflona x 2</t>
  </si>
  <si>
    <t>zawieszenie robota w cell2, naprawa operatorem prez arkusz zabiegów</t>
  </si>
  <si>
    <t>audyt na linii do 16:30</t>
  </si>
  <si>
    <t>uszkodżony shaft adapter</t>
  </si>
  <si>
    <t>awaria z poprzedniej zmiany, praca technologa</t>
  </si>
  <si>
    <t>pod czas prasowania lapa stawia korpus 11183822 krzywo, wtedy nie mozliwe nabianie teflonu</t>
  </si>
  <si>
    <t xml:space="preserve">nolek </t>
  </si>
  <si>
    <t>na szelnosc st. 50</t>
  </si>
  <si>
    <t>od 07:45 do 08:00</t>
  </si>
  <si>
    <t xml:space="preserve">sciaganie z linii ompw. </t>
  </si>
  <si>
    <t>pod czas testu w st gidraulicznej wyskakuja bledy, OMPW zlecenie 56774327</t>
  </si>
  <si>
    <t>wymiana kalki,kalibracja, ustawienie parametrow</t>
  </si>
  <si>
    <t>ustawienie parametrow drukowania etykiet</t>
  </si>
  <si>
    <t>odblokowanie palet na st. 20-50</t>
  </si>
  <si>
    <t>Zawieszenie aplikacji od st.hydraulicznych.Oczekiwanie na Houghton dla wymiany filtra</t>
  </si>
  <si>
    <t>przy testowaniu kazdego silnika w st gidraulicznej wyskakuje blend na monitorie</t>
  </si>
  <si>
    <t>duzy odpad przesz wadliwe walki 1183554</t>
  </si>
  <si>
    <t xml:space="preserve">puszczanie motorow, ktory odpadli, ze st. napraw  </t>
  </si>
  <si>
    <t>zawieszenie robota drugij raz  z silnikiem w lapie, czyszczenie bledow</t>
  </si>
  <si>
    <t>duzy odpad przez wadliwe walki 11183554</t>
  </si>
  <si>
    <t>st.50 szelnosc</t>
  </si>
  <si>
    <t>st 20, kierunek Od 16 godziny</t>
  </si>
  <si>
    <t>rework motoru z smc 2</t>
  </si>
  <si>
    <t>reczne ustawianie kierunkow!!</t>
  </si>
  <si>
    <t xml:space="preserve">awaria komory B z poprzedniej zmiany </t>
  </si>
  <si>
    <t>awaria komory  B</t>
  </si>
  <si>
    <t xml:space="preserve">naprawa motorów OMPW X 125N </t>
  </si>
  <si>
    <t>awaria st.cell2,cell1</t>
  </si>
  <si>
    <t>duży odpad motorów na kierunek,praca tehnologa   order56772795 od  god.9-00</t>
  </si>
  <si>
    <t>ZAWIESZENIE,error log</t>
  </si>
  <si>
    <t>Testy tehnologa od god. 08.15 do 8-59</t>
  </si>
  <si>
    <t>zle ustawia kierunek.RĘCZNE USTAWIANIE</t>
  </si>
  <si>
    <t>zawieszenie motora+ error log x 2</t>
  </si>
  <si>
    <t>zawieszenie motora+ error log</t>
  </si>
  <si>
    <t>zawieszenie w cell2. Robot się zawiesza przy wysłaniu motora ze st.napraw do testu. Oczekiwanie na DUR.</t>
  </si>
  <si>
    <t>cell2 do 02:00 Prędkość robota zastała przez DUR zmniejszona na 50%</t>
  </si>
  <si>
    <t>zabłokowany motor w stacji.Czyszczenie błędów.</t>
  </si>
  <si>
    <t>brak prawidłowego ustawiania szafta,żle ustawia  kierunek. Ręczne ustawianie.</t>
  </si>
  <si>
    <t xml:space="preserve">praca tylko na cell1 do </t>
  </si>
  <si>
    <t>cell2 od 19:40</t>
  </si>
  <si>
    <t>klimaticzna</t>
  </si>
  <si>
    <t>zablokowany SAP</t>
  </si>
  <si>
    <t>umywanie st napraw po pierwszej zmianie</t>
  </si>
  <si>
    <t>cell2 do 19:00</t>
  </si>
  <si>
    <t xml:space="preserve">silniki po pierwszej zmiane odpadaja na kierunek, naprawienie tych motorow </t>
  </si>
  <si>
    <t>pusczanie 2 reworkow po pierwszej zmianie</t>
  </si>
  <si>
    <t>spisanie komponentow po pierwszej zmianie!!!</t>
  </si>
  <si>
    <t>ustawienie parametrow drukarki, przeklejanie etykiet motorow na linii po pierwszej zmianie!!</t>
  </si>
  <si>
    <t>praska nie ustawia kierunek!!! jeszcze od wczoraj</t>
  </si>
  <si>
    <t>renczne ustawiania kierunkow !!!</t>
  </si>
  <si>
    <t>naprawa 2 motorow po pierwszej zmianie  z zlecenia 56773448</t>
  </si>
  <si>
    <t>praca na  cell1</t>
  </si>
  <si>
    <t>dużo naprawy ord.56773448</t>
  </si>
  <si>
    <t>testy tehnologa od god.10-00 do 11-35</t>
  </si>
  <si>
    <t>duży  odpad na kierunek</t>
  </si>
  <si>
    <t>zawieszenie robota,oczekiwanie na DUR</t>
  </si>
  <si>
    <t>praca na cell1 od god.8-00</t>
  </si>
  <si>
    <t>poprzednej zmiany,oczekiwanie na DUR</t>
  </si>
  <si>
    <t>Linia nie przygotowana do puszczenia motorów 11257636 . Order 56773448. Brak uszczelki na komorze D.wszystkie motory odpadają na szczelność. OCZEKIWANIE NA DUR OD 04:50 DO 06:00</t>
  </si>
  <si>
    <t>brudne wałki 11183564 -55szt.</t>
  </si>
  <si>
    <t>Co chwilę  blokują się motory w stacji.Nie mogą wystartować. Wymieniane korpusy,bo wałki nie wchodza do końca w korpus i delikatnie wystają.Czyszczenie błędów. Korpus 11183810 i wałek 11183554. Order 56773053</t>
  </si>
  <si>
    <t>ręczne poprawianie kierunków.Na st.20 awaria orietacji szafta i nie ustawia się automatycznie prawidłowy kierunek.</t>
  </si>
  <si>
    <t>cell2 do 02:00</t>
  </si>
  <si>
    <t>praca DUR na st. 20</t>
  </si>
  <si>
    <t xml:space="preserve">silnik zawieszil sie w komorie stancji </t>
  </si>
  <si>
    <t>renczne poprawianie kierunkow</t>
  </si>
  <si>
    <t xml:space="preserve">odpad na kierunek, w zwiazku z tym ze st. 20 ustawia kierunek nie odpowiedni </t>
  </si>
  <si>
    <t xml:space="preserve">oznaczamy zrobione zlecenia na starej WRC liscie 24.05, bo z nowa mamy problem nie mozemy korektowac liste </t>
  </si>
  <si>
    <t>praca DUR z cell 2</t>
  </si>
  <si>
    <t>od 15:10 praca na jednu cell</t>
  </si>
  <si>
    <t>zapelnenie linii</t>
  </si>
  <si>
    <t>testy tehnologa od 12-00-13-00</t>
  </si>
  <si>
    <t>oczekiwanie na DUR od god.11</t>
  </si>
  <si>
    <t>praca tehnologa na cell2</t>
  </si>
  <si>
    <t>praca DUR na CELL2</t>
  </si>
  <si>
    <t>ulamany trzpień,praca na 1 st.od 6-00</t>
  </si>
  <si>
    <t>praca na jedną stację od 5:00</t>
  </si>
  <si>
    <t>jednak probują coś naprawić.Pod czas naprawy przez DUR okazało się że był ułamany jeden z dwóch trzpieni  którzy fiksują korpus na cell 2. Ułamany trzpień zabrany przez DUR.</t>
  </si>
  <si>
    <t>nie skuteczna,brak automatyka w zmianie DUR</t>
  </si>
  <si>
    <t>zabłokowane trzpienie w st.hydraulicznej</t>
  </si>
  <si>
    <t>zawieszenie korpusa na trzpieniu przy zaprasowaniu teflonu</t>
  </si>
  <si>
    <t>HQ002 I HQ003</t>
  </si>
  <si>
    <t>oczekiwanie na houghton</t>
  </si>
  <si>
    <t>zablokowany motor w stacji+ error log</t>
  </si>
  <si>
    <t>wybilo blad</t>
  </si>
  <si>
    <t>zawieszenie, stancja nie dokreczyla dren</t>
  </si>
  <si>
    <t>przy pobieraniu motora lapa zawieszila sie</t>
  </si>
  <si>
    <t>zawiszanie</t>
  </si>
  <si>
    <t>spotkanie na temat przerwy klimat.</t>
  </si>
  <si>
    <t>zlecenie 56772795 zatrzymane,zapełnienie linii</t>
  </si>
  <si>
    <t>motory blokuje, nie dobija teflony i lożyska, praca tehnologa</t>
  </si>
  <si>
    <t>Testy tehnologa od 11.45  OMPWx125</t>
  </si>
  <si>
    <t>oczekiwanie na tehnologa</t>
  </si>
  <si>
    <t>zawieszenie st.50 HOLEK, praca DUR z naprawy st.50</t>
  </si>
  <si>
    <t>awaria drukarky, etykiety odpadły,ustawienie parametrów, realizacja wydruku</t>
  </si>
  <si>
    <t>puszczanie motorow z st. napraw</t>
  </si>
  <si>
    <t>czyszczenie bledow</t>
  </si>
  <si>
    <t>pod czas roblenia clear error nie przychodzi z kroku 182 dalej</t>
  </si>
  <si>
    <t xml:space="preserve">pod czas testu w dwoch stancjach hydraulicznych zawieszili sie motory, czyszczenie bledow </t>
  </si>
  <si>
    <t>error log,zawieszenie monitoru,restart glownego komputera</t>
  </si>
  <si>
    <t>jeden ten sam motor ze zlicenia 56771952 serijny numer W222008421  ze st. 20 wyjedza nie zaprasowany 2  razy, zostawili ta sztuke na decyzje technologa</t>
  </si>
  <si>
    <t>zle drukuje, ustawienie parametrow drukowania etykety</t>
  </si>
  <si>
    <t>pusczamy motory, ktory odpadli na oboroty i zostali po zawieszeniu robota, z st. Napraw</t>
  </si>
  <si>
    <t>zawiesenie na robota na st napraw</t>
  </si>
  <si>
    <t>stancja nie zaprasowala korpus, spadlo cisnienie i paletka pojechala dalej</t>
  </si>
  <si>
    <t>silniki odpadaja na oboroty</t>
  </si>
  <si>
    <t>praca tehnologa,order 56771667</t>
  </si>
  <si>
    <t>praca DUR oraz tehnologa ,wymiana zaworów na st.50,od god.8-14 do 12-15</t>
  </si>
  <si>
    <t xml:space="preserve">start  linii,razblokowanie motorów </t>
  </si>
  <si>
    <t>zjechane pałetki na poprzedniej zmiane</t>
  </si>
  <si>
    <t>palety nie ziezdzaja prawidlowo z powodu braku cisnienia w ukladzie hydraulicznym</t>
  </si>
  <si>
    <t>odpad na szczelnosc</t>
  </si>
  <si>
    <t>otpad na szczelnosc</t>
  </si>
  <si>
    <t>zly walki 11183554</t>
  </si>
  <si>
    <t xml:space="preserve">zawieszenie apky </t>
  </si>
  <si>
    <t>ERROR LOG, uszkodzony adapter 420930 do walków 11183555, usunięnty z cell 1</t>
  </si>
  <si>
    <t>Błokują stacje hydrauliczne wałkem 11183555, praca na cell2</t>
  </si>
  <si>
    <t>st.50 do 15:30</t>
  </si>
  <si>
    <t xml:space="preserve">dla jednego operatora </t>
  </si>
  <si>
    <t>po prawidłowym korzystaniu drukarki z technologiem</t>
  </si>
  <si>
    <t>probłematyczny test wizijny korpusa 11183822</t>
  </si>
  <si>
    <t>naprawa mocowania filtra bo wycieka olej po nieprawidłowym zamocowaniu.</t>
  </si>
  <si>
    <t>st.50 do 14:00</t>
  </si>
  <si>
    <t>zablokowany motor w cell, czyszczenie błędów</t>
  </si>
  <si>
    <t>zostawione motory na linii 56771249 z poprzedniej zmiany z pomylonymi wałkami zamiast 11183555 byłi 11183554 .Błokują stacje hydrauliczne.Sciąganie nie zgodnych motorów z linii.Operator 4 musi rozmontowywać motory. Wyłączony shaft adapter BG423h od 3 zmiany</t>
  </si>
  <si>
    <t>nie prawidłowo odstawiony adapter,brak możliwośći wystartowania.Czyszczenie błędów.</t>
  </si>
  <si>
    <t>pierwza godzina pusczanie testerow , spuznenie jednego  oparatora</t>
  </si>
  <si>
    <t>zle drukuje etykiety</t>
  </si>
  <si>
    <t>cover filmu</t>
  </si>
  <si>
    <t xml:space="preserve">duży odpad przez nolek </t>
  </si>
  <si>
    <t>zawieszenie komputera st.20</t>
  </si>
  <si>
    <t>DUŻY ODPAD na szcelność</t>
  </si>
  <si>
    <t>wyłącza się,oczekiwanie na DUR</t>
  </si>
  <si>
    <t>przerwa termiczna 16 -00-16-10</t>
  </si>
  <si>
    <t>szkolenie  z obslugi drukarki</t>
  </si>
  <si>
    <t>potrebuje do wumiany filtra HQ003</t>
  </si>
  <si>
    <t>audyt 1 operatora</t>
  </si>
  <si>
    <t>IT problem, praca technologa do 12:10 błąd przesyłania danych z kamery do systemu</t>
  </si>
  <si>
    <t>korpus 11183810 i brudny wałek 11183554</t>
  </si>
  <si>
    <t>cell1 wadliwe komponenty błokują st.hydrauliczne</t>
  </si>
  <si>
    <t>zawieszenie korpusa na trzpieniu przy zaprasowaniu teflonu, zawieszenie monitora, restart</t>
  </si>
  <si>
    <t>11183554 walki</t>
  </si>
  <si>
    <t>przerwa jednego operatora do 06:10</t>
  </si>
  <si>
    <t xml:space="preserve">przerwa 1 operatora </t>
  </si>
  <si>
    <t>reklamacje</t>
  </si>
  <si>
    <t>zawieszenie korpusa na prasce</t>
  </si>
  <si>
    <t>zatrzymanie zlecenia 56770564, sciaganie materiala z linii</t>
  </si>
  <si>
    <t>problem z walkami 11183554, podczas testu kazdego silnika stancje zostaja zablokowane</t>
  </si>
  <si>
    <t>KUKA nie bierze silniki ze stancij hydraulicznych</t>
  </si>
  <si>
    <t>zablokowana stancja, czyszczenie bledow</t>
  </si>
  <si>
    <t>przerwa 1 operatora do 22:10</t>
  </si>
  <si>
    <t>przerwa dla 1 operatora od god.21-50</t>
  </si>
  <si>
    <t>zawieszenie  komputera st.20</t>
  </si>
  <si>
    <t>zawieszenie KUKI,ERROR  LOG</t>
  </si>
  <si>
    <t>Duzy odpad motorów na ścelność (nolek)</t>
  </si>
  <si>
    <t>montowanie wentylatorów na linii</t>
  </si>
  <si>
    <t>wymiana zaworów w st. Hydrauliczna</t>
  </si>
  <si>
    <t>st. 30 kalibracja drukarky</t>
  </si>
  <si>
    <t>zawieszenie st.50 ,Nie Nolka</t>
  </si>
  <si>
    <t>shlifowanie torped</t>
  </si>
  <si>
    <t>problematyczny wydruk etykiet</t>
  </si>
  <si>
    <t>dła 2 operatopów</t>
  </si>
  <si>
    <t xml:space="preserve">przerwa 2 operatorow </t>
  </si>
  <si>
    <t>zawieszenie robota+ oczekiwanie na DUR</t>
  </si>
  <si>
    <t>zawieszenie HAINZL+paletki st70....restart sustemy st hidraulicznuh</t>
  </si>
  <si>
    <t>brak gear-seta 151-1129</t>
  </si>
  <si>
    <t>drukuje nie prawidlowy serialny numer motora</t>
  </si>
  <si>
    <t>problem z drukowaniem etykiet</t>
  </si>
  <si>
    <t>interwencija DUR do 01:22</t>
  </si>
  <si>
    <t>duzy odpad na szczelnosc, problem z Nolikiem, oszekiwanie na DUR</t>
  </si>
  <si>
    <t>przerwa 2 operatorow do 22:10</t>
  </si>
  <si>
    <t>dużu odpad motorów na szcelność  OMP X160</t>
  </si>
  <si>
    <t>drukarka nie drukuje</t>
  </si>
  <si>
    <t>problematycznyj wydruk etykety</t>
  </si>
  <si>
    <t>kalibracija drukarki od god 14 do 15-00</t>
  </si>
  <si>
    <t>kalibracja drukarky technologem</t>
  </si>
  <si>
    <t>problematyczny wydruk prawidłowej etykiety.Wydruk lata góra-dół</t>
  </si>
  <si>
    <t>wcisnięty grzyb przez DUR.  Czyszczenie błędów,uruchomienie linii</t>
  </si>
  <si>
    <t>kalibracja drukarky</t>
  </si>
  <si>
    <t>st.50 do 13:00</t>
  </si>
  <si>
    <t xml:space="preserve">zabłokowany korpus na trzpieniu przy zaprasowaniu tefłonu </t>
  </si>
  <si>
    <t>z poprzedniej zmiany.Wszystko odpada na szczelność.</t>
  </si>
  <si>
    <t xml:space="preserve">naprawa st 50 otpada na szczelnosc </t>
  </si>
  <si>
    <t>nie jada paletki,restart glownego komputera z tylu,czysczenie bledow+ duzy odpad po st50</t>
  </si>
  <si>
    <t>etykiet i kalki, zle drukowalo etytkiety</t>
  </si>
  <si>
    <t>st50 czyszenie komory</t>
  </si>
  <si>
    <t>dwoch operatorow</t>
  </si>
  <si>
    <t>przerwa dla 2 operatorów od god .21-50</t>
  </si>
  <si>
    <t>rework 3 motorów</t>
  </si>
  <si>
    <t xml:space="preserve">duzy odpad motorów na śczelność  </t>
  </si>
  <si>
    <t>KUKA nie odbiera motorów z naprawy,robime ERROR   LOG</t>
  </si>
  <si>
    <t>duzy odpad motorów na śczelność  ,OMR X 36,każda schtuka</t>
  </si>
  <si>
    <t>przerwa termiczna od 15-50 do 16-00</t>
  </si>
  <si>
    <t>rework 6 motorów</t>
  </si>
  <si>
    <t>stopery pusćili wszystkie paletki</t>
  </si>
  <si>
    <t>szkolenie w st. Hydrauliczna</t>
  </si>
  <si>
    <t>zablokowany korpus przy zaprasowaniu wałka</t>
  </si>
  <si>
    <t xml:space="preserve">zabłokowany korpus na trzpieniu z zaprasowanym łożyśkiem </t>
  </si>
  <si>
    <t xml:space="preserve">zabłokowany korpus na trzpieniu z zaprasowanym łożyśkiem  </t>
  </si>
  <si>
    <t>korpus 11183822</t>
  </si>
  <si>
    <t>dla 1 operatora od 6:00 do 6:10</t>
  </si>
  <si>
    <t>przerwa 1 operatora do 22-10</t>
  </si>
  <si>
    <t>Na  prędkośc obrotowy w lewo na 0,1-0,9 obrota motor 11185582, po wumiane korpusa OK...korpusy, ktore odpali, pustili na motorah 11186660....od 14:20 do 17:10</t>
  </si>
  <si>
    <t>duzy otpad na oboroty z gear setami  151-1186</t>
  </si>
  <si>
    <t>lozysk z tylu</t>
  </si>
  <si>
    <t>na oboroty, z gear setami 151-1126</t>
  </si>
  <si>
    <t>zawieszenie robota,czyszczenie bledow</t>
  </si>
  <si>
    <t>silniki odpadaja na szczelnosc, praca technologa na st.50</t>
  </si>
  <si>
    <t xml:space="preserve">awaria z poprzedniej zmiany: stancja nie prasuje </t>
  </si>
  <si>
    <t>awaria z poprzedniej zmiany: nie dziala stoper</t>
  </si>
  <si>
    <t>st.20 potrzebuje  dzialanija automatyka,decuzija DUR.Brygada wyslana na SMC 2 DO 6-00</t>
  </si>
  <si>
    <t>naprawa st.20 oraz st.80</t>
  </si>
  <si>
    <t>zawieszenie st.20,manual nic nie pomaga,oczekiwanie na DUR  o</t>
  </si>
  <si>
    <t>ręczne przesuwanie paletek na st.80</t>
  </si>
  <si>
    <t>duży odpad  motorów  OMR X 36na szcelność</t>
  </si>
  <si>
    <t>nie dziala transfer paletki,oczekiwanie na DUR</t>
  </si>
  <si>
    <t xml:space="preserve">Naprawcza praca HOUGHTON przy niedokręconym wcześniej filtrze HQ003, wymiana tego filtra </t>
  </si>
  <si>
    <t xml:space="preserve">11185792 duży odpad na obroty OMPx125 </t>
  </si>
  <si>
    <t>na szczelnosc ale nie na przeciekow</t>
  </si>
  <si>
    <t>wyskoczyl blend. Clear error</t>
  </si>
  <si>
    <t xml:space="preserve">ewakuacja swidczenie </t>
  </si>
  <si>
    <t>puszczanie OMPW testowe</t>
  </si>
  <si>
    <t>Dolali olej do glownego zbiornika i spadla temperatura</t>
  </si>
  <si>
    <t xml:space="preserve">awaria z poprzedniej zmiany, lapa uszkodza korpusy </t>
  </si>
  <si>
    <t>łapa uderza w   silniki,pozostawia uszkodzone korpusy</t>
  </si>
  <si>
    <t>brygada wysłana na pakowanie od god 5-00</t>
  </si>
  <si>
    <t>nie można naprawić,potrzebuje  regulacji przez tehnologa</t>
  </si>
  <si>
    <t xml:space="preserve">łapa  bije motory,praca DUR </t>
  </si>
  <si>
    <t>występuje bląd `Pressure auto zero`</t>
  </si>
  <si>
    <t>praca DUR  z naprawy st.20</t>
  </si>
  <si>
    <t>łapa   uderza silniki,oczekiwanie na DUR</t>
  </si>
  <si>
    <t>linija czuta złe zlecenie</t>
  </si>
  <si>
    <t>wymiana pasa na winde st.10</t>
  </si>
  <si>
    <t>motory OMPW błokują stacje.</t>
  </si>
  <si>
    <t>za poleceniem koordynatora całe zlecenie sciągnięte z linii 56768458</t>
  </si>
  <si>
    <t>Problematyczny test wizijny korpusa 11184828 w przewodniku 56768458 OMPWx100N do weryfikaji technologa. od 20:34 .koordynator powiedział żeby nie omijać testu wizijnego i nie dawać krok do przodu.Korpusy przechodzili test w kratkę.</t>
  </si>
  <si>
    <t>duży odpad motorów 11185881 od 20:41</t>
  </si>
  <si>
    <t>klimatyczna od 20:00 do 20:10</t>
  </si>
  <si>
    <t>odpad motorow OMPx50 gear set 151-1126 na moment obrotowy</t>
  </si>
  <si>
    <t xml:space="preserve">brak przygotowanego zlecenia 56768763 w systemie Stardardization </t>
  </si>
  <si>
    <t>dodatkowa praca na stacji 10 i 40--speedsensory</t>
  </si>
  <si>
    <t>klimatyczna od 16:00 do 16:10</t>
  </si>
  <si>
    <t>SPÓZNIENIE AUTOBUSA.Brak trzech operatorów</t>
  </si>
  <si>
    <t>pod czas zabiania przenzyny zawieszila sie praska s-spring</t>
  </si>
  <si>
    <t xml:space="preserve">awaria na st. praski s-spring, cardan utknal w sriodku </t>
  </si>
  <si>
    <t>nie zmieniona norma na speedsensor!</t>
  </si>
  <si>
    <t>zawieszenie stancji po prasowaniu teflona</t>
  </si>
  <si>
    <t>robot nie biore motory z linii i stancji napraw</t>
  </si>
  <si>
    <t>naprawa st,20</t>
  </si>
  <si>
    <t>rozgrewanie st.hidrawl.</t>
  </si>
  <si>
    <t>wyćek   olei ze st.hidrawl.</t>
  </si>
  <si>
    <t>przerwa operatora do 22-10</t>
  </si>
  <si>
    <t>zawieszenie monitora w czasie zmiany kierunku</t>
  </si>
  <si>
    <t>od 14:00 do 15:30</t>
  </si>
  <si>
    <t>spotkamnie o 13</t>
  </si>
  <si>
    <t>jeden operator ma szkolenie na wuzkach</t>
  </si>
  <si>
    <t>brak label</t>
  </si>
  <si>
    <t>spuznenie operatora przez spuznenie busa</t>
  </si>
  <si>
    <t>przerwa jednego operatora</t>
  </si>
  <si>
    <t>przerwa 1 operatora</t>
  </si>
  <si>
    <t>do 19:04</t>
  </si>
  <si>
    <t>Przewodnik 56755261 OMPWx200 zatrzymany. Praska uderza o korpus i nie zaprasowuję wałka.Przewodnik zciągnięty z linii i odstawiony do weryfikacji technologa.</t>
  </si>
  <si>
    <t>wymiana olej na st napraw</t>
  </si>
  <si>
    <t>dolewany olej do glownego zbiornika+ rozgrzewanie st hydraulicznyh</t>
  </si>
  <si>
    <t>nowo dostarczone torpedy do weryfikacji technologa.Oni nie są odpowiedni do wałka 11183556</t>
  </si>
  <si>
    <t>operator 4 na 1 zmiane nie wykonuje TPM: brak oleju w głównym  zbiorniky, zostawili zaolejone paletki, brudny olej na st napraw</t>
  </si>
  <si>
    <t>odpad motorow OMPx50 na obroty gear set 151-1126</t>
  </si>
  <si>
    <t xml:space="preserve"> WC lista nie uzupełniana na bieżąco przez zmiany.</t>
  </si>
  <si>
    <t>zawizsenie st. 20</t>
  </si>
  <si>
    <t>zawizsenie st. 41</t>
  </si>
  <si>
    <t>puszczenie testerow</t>
  </si>
  <si>
    <t>HG003* awaria z tym ze przy wylonczonej hudraulike pompowala sie olej , wszystko w oleju</t>
  </si>
  <si>
    <t>na poczatku roboty zawiesil sie robot i wyskoczyl komunikat o wymianie filtra HQ003</t>
  </si>
  <si>
    <t>Errog Log. Czyszczenie błędów</t>
  </si>
  <si>
    <t xml:space="preserve">odpad motorow OMPx400 na moment startowy, potrebuje kalibracij stacij, zawieszenie motora w stacij </t>
  </si>
  <si>
    <t>przedluzony test</t>
  </si>
  <si>
    <t>lapa zabrala motor do sriodka, ale nie zaczal robic test</t>
  </si>
  <si>
    <t xml:space="preserve">silnik pusczany do stancji z adapterami, natisnienty grzyb  </t>
  </si>
  <si>
    <t>przedluzony test szczelnosci</t>
  </si>
  <si>
    <t>przedłużony test  na st.cell1,cell 2</t>
  </si>
  <si>
    <t>zawieszenie KUKI</t>
  </si>
  <si>
    <t>przedluzony czas testy</t>
  </si>
  <si>
    <t>do 23:30</t>
  </si>
  <si>
    <t>Awaria z poprzedniej zmiany.Łapa się zawiesza przy odkładaniu motoru, oczekiwanie na DUR</t>
  </si>
  <si>
    <t>zapelnenie linii* znow problemy ze st 20, nie otklada motory i blokuje paletki</t>
  </si>
  <si>
    <t xml:space="preserve">wymiana kalki, zmienilismy to 2 razy, ale nadal mamy alarm "brak kalki"  </t>
  </si>
  <si>
    <t>krzywo pobiera motory , udarza korpus</t>
  </si>
  <si>
    <t>nie jada paletki na st 10, nie pokazuje serijny numer</t>
  </si>
  <si>
    <t>i DUR na st. 20</t>
  </si>
  <si>
    <t>dokladanie lozysk z tylu*1 zmiana nie doklala lozyski pok koniec zmiamy</t>
  </si>
  <si>
    <t>praska, nie zmieniona norma, z lozyskiem robimy dluzej!</t>
  </si>
  <si>
    <t>,do god.12-51</t>
  </si>
  <si>
    <t>zawieszenie KUKI,naprawa przez  tehnologa</t>
  </si>
  <si>
    <t>pilne motory,testy tehnologa</t>
  </si>
  <si>
    <t>Przewodnik 56765747 montowany  na pierwszej zmianie wprawie cały, do poprawy etykiety.</t>
  </si>
  <si>
    <t>HQ002, HQ003 Oczekiwanie i wymiana do 05:29+rozgrzewanie stacji</t>
  </si>
  <si>
    <t>zawieszenie stacji pod czas zaprasowania</t>
  </si>
  <si>
    <t>regulowanie nadruku etykiet po 1 zmianie</t>
  </si>
  <si>
    <t>wymiana etiketaw drukarce</t>
  </si>
  <si>
    <t>praca tehnologa</t>
  </si>
  <si>
    <t>praca na 1 stdo god.7-48</t>
  </si>
  <si>
    <t>wymiana filtrów HQ 001,HQ020,HQ010,oczekiwanie na Houghton</t>
  </si>
  <si>
    <t>wylonczenie linii</t>
  </si>
  <si>
    <t>caly czas zawiesza na dokrecanie dren</t>
  </si>
  <si>
    <t>motory 11185636 odpadaja na 2 celli, a na 1 wszystko OK</t>
  </si>
  <si>
    <t>stancja zawieszila sie, nie krenczyla sruby</t>
  </si>
  <si>
    <t>zawieszenie st.20,restart  komputera</t>
  </si>
  <si>
    <t>zlecenie 56765201,material 11185636 zrobione o god.19-30. 79 szt. Za 5 god.30 m.!!!</t>
  </si>
  <si>
    <t>praca na 1 st.,interwencija DUR</t>
  </si>
  <si>
    <t>praca na 1 st,interwencija dur</t>
  </si>
  <si>
    <t>z naprawy cell2</t>
  </si>
  <si>
    <t>praca na 1 st. Od god.15-10</t>
  </si>
  <si>
    <t>duży odpad motorów 11185636 na moment obrotowy na cell2</t>
  </si>
  <si>
    <t>wymiana uśzcelek na adaptore st.60</t>
  </si>
  <si>
    <t>zawieszenie st.20 Restast</t>
  </si>
  <si>
    <t>problematyczny test wizijny pinów.   11185636</t>
  </si>
  <si>
    <t>odpad na moment obrotowy wlewo na st 2 motory 11185636 do 14:00</t>
  </si>
  <si>
    <t>do 9:05</t>
  </si>
  <si>
    <t>awaria drukarki na magazynie,oczekiwanie na materiał</t>
  </si>
  <si>
    <t>do 14:00</t>
  </si>
  <si>
    <t>Praca narzdziowni nad usunięciem usterki na st.50 NOLEK</t>
  </si>
  <si>
    <t>Wszyskie motory odpadająna szczelność. Oczekiwanie na DUR</t>
  </si>
  <si>
    <t>silnik utknal w stancji, test szczelnosci nie diala, oczekiwanie na DUR</t>
  </si>
  <si>
    <t>odpad na szczelnosc, problem z nolekiem.  Dzwonilismy do DUR 2 razy, oni przyszli sprobowali naprawic, ale nie udalo sie</t>
  </si>
  <si>
    <t>przerwa jednego operatora do 22:10</t>
  </si>
  <si>
    <t>interwencija DUR od 14-30</t>
  </si>
  <si>
    <t>duży odpad motorów  na szcelność,oczekiwanie na DUR</t>
  </si>
  <si>
    <t>duży odpad do 14:00, oczekiwanie na DUR</t>
  </si>
  <si>
    <t>Nagranie filmowe pracy linii</t>
  </si>
  <si>
    <t>zawieszenie na st.70, oczekiwanie na DUR</t>
  </si>
  <si>
    <t>wyckoczyl blend , clear error</t>
  </si>
  <si>
    <t>kazda sztuka otpada na szczelnosc</t>
  </si>
  <si>
    <t>blad "Endport motor detected collision"</t>
  </si>
  <si>
    <t>DUŻY odpad motorów na obroty</t>
  </si>
  <si>
    <t xml:space="preserve">praca DUR </t>
  </si>
  <si>
    <t>wszystkie motory odpadają na szcelność,oczekiwanie na DUR</t>
  </si>
  <si>
    <t>rework 12 motorów,interwencija DUR</t>
  </si>
  <si>
    <t>praca DUR od god. 14-05</t>
  </si>
  <si>
    <t>awaria po 1 zmiene od god.14</t>
  </si>
  <si>
    <t>awaria do 6-00</t>
  </si>
  <si>
    <t>łapa nie oddaje motor</t>
  </si>
  <si>
    <t>na DUR do 19:30</t>
  </si>
  <si>
    <t>na DUR</t>
  </si>
  <si>
    <t>łapa krzywo pobiera korpus</t>
  </si>
  <si>
    <t>mierzenie czasu na st.40 i st.41</t>
  </si>
  <si>
    <t>z liderem</t>
  </si>
  <si>
    <t>zlom adapteru. Wymiana na nowy</t>
  </si>
  <si>
    <t>wyskoczyly blendy , naprawa z pomoca technologa</t>
  </si>
  <si>
    <t>utknal korpus w stancji</t>
  </si>
  <si>
    <t>czujnik nie widzi serijny numer , poki nie podjedzie druga paletka i podjedza za blizko, tak dzieje pary raz dziennie</t>
  </si>
  <si>
    <t>przedluzony test gidrauliczny</t>
  </si>
  <si>
    <t>praca na SMC2 OD 22-00-2-00</t>
  </si>
  <si>
    <t>odpad motorow na moment start              -0,0. Potrzebuje kalibracij stacij</t>
  </si>
  <si>
    <t>nowe instrukcij na praske z SMC2 i pakowanie motorow</t>
  </si>
  <si>
    <t>Przedłużony test czystośći na Cell2 od 14:00-22:00</t>
  </si>
  <si>
    <t>praca na Cell2 OMPWx100,250N do 17:40</t>
  </si>
  <si>
    <t>motor błokuje się na trzpieniu przy zaprasowaniu wałka z łożyśkiem</t>
  </si>
  <si>
    <t>praca na Cell2 OMPWx100N</t>
  </si>
  <si>
    <t>na obroty OMPWx100N</t>
  </si>
  <si>
    <t>o 14:44 spadło ciśnienie i wszystkie stopery od st.41 odpuśćili paletki.Czyszczenie linii</t>
  </si>
  <si>
    <t>od 14:00 praca na Cell2 OMPWx100N</t>
  </si>
  <si>
    <t>odpada na sczelnosc i obotory</t>
  </si>
  <si>
    <t>praca tylko na cell2</t>
  </si>
  <si>
    <t>wyskoczyl blend, clear error</t>
  </si>
  <si>
    <t>urwala sie tasmia linii</t>
  </si>
  <si>
    <t>brak materiału do przygotowania złeceń</t>
  </si>
  <si>
    <t>Brak możliwośći zalogowania się do aplikacji na st.20</t>
  </si>
  <si>
    <t>wszystkie motory 11185636 odpadają na moment obrotowy w lewo. Praca tylko na cell1 od 18:15 do</t>
  </si>
  <si>
    <t>drukuwanie poprawek etiket z 
pakowania</t>
  </si>
  <si>
    <t>brak komponentów do zlecenia przygotowanego na poprzedniej zmianie.11184811-52 szt.</t>
  </si>
  <si>
    <t xml:space="preserve">zawieszenie robota </t>
  </si>
  <si>
    <t>KUKA nie odbiera motory z stancji, bo nie widzi serijny numer</t>
  </si>
  <si>
    <t>na material</t>
  </si>
  <si>
    <t>utknal korpus w stancji, za pierwszy 2,5 godz. pracy to bylo 5 raz</t>
  </si>
  <si>
    <t>utknal korpus w stncji</t>
  </si>
  <si>
    <t>przez  8 god.,przedłużony czas testy hidrawlicznego</t>
  </si>
  <si>
    <t>motor po naprawe zablokówany w cell</t>
  </si>
  <si>
    <t>motor zablokówany w CELL 2</t>
  </si>
  <si>
    <t>dla dwóch operatoów</t>
  </si>
  <si>
    <t>zabłokowany motor w st.czyszczenie błędów</t>
  </si>
  <si>
    <t>zabłokowany korpus na trzpieniu przy zaprasowaniu teflonu, 2 razy</t>
  </si>
  <si>
    <t>przedłużony czas testu od 14:00.Wykonany telefon do Houghton zeby sprawdzili czy prawidłowo działa filtr zewnęrzny podłączony do głównego zbiornika.Po interwencji Houghton,okazało się że ten filtr był wyłączony.</t>
  </si>
  <si>
    <t>zabłokowany korpus na trzpieniu 
przy zaprasowaniu teflonu</t>
  </si>
  <si>
    <t>drukuwanie poprawek etiket z pakowania</t>
  </si>
  <si>
    <t xml:space="preserve">dzwonilismy do DBS, czekalismy 30 minut, nikt nie przyszedl. Dzwonilismy drugij raz </t>
  </si>
  <si>
    <t>wyskonczyl blend, clear error</t>
  </si>
  <si>
    <t>oczekiwanie na material, dlugo niue bylo WRC listy</t>
  </si>
  <si>
    <t>10 szt</t>
  </si>
  <si>
    <t xml:space="preserve">robot nie odbiera silniki z linii, blend "waiting for ATC to give rewokline  OK to load"  </t>
  </si>
  <si>
    <t>nie dziala ATEQ</t>
  </si>
  <si>
    <t>paletki nie jiede</t>
  </si>
  <si>
    <t>nie ma powietrza, wszystkie motory odpadaja na zero</t>
  </si>
  <si>
    <t xml:space="preserve">nie ma internetu, nie mozemy zapusczic aplikacje Maximo, Barcode generator  </t>
  </si>
  <si>
    <t>zawieszenie monitora, restart. Zabłokowany korpus na trzpieniu 
przy zaprasowaniu teflonu</t>
  </si>
  <si>
    <t>spotkanie z liderem</t>
  </si>
  <si>
    <t>nie dzialala myszka i byla zablokowana paletka nie mogli rozblokowac</t>
  </si>
  <si>
    <t>nadmirowy wyćek smaru</t>
  </si>
  <si>
    <t>Ręczne smarowanie teflonu do 4:38</t>
  </si>
  <si>
    <t>brak podania smaru.ręczne smarowanie</t>
  </si>
  <si>
    <t>nadmiarowy wyciek smaru</t>
  </si>
  <si>
    <t>zapoznanie się z reklamacjiami</t>
  </si>
  <si>
    <t>zabłokowany  korpus na trzpieniu przy zaprasowaniu teflonu.Użyto ściągacza.</t>
  </si>
  <si>
    <t>poprawki z pakowania st. Napraw</t>
  </si>
  <si>
    <t>do pompy.Został doprowadzony do pompy jeszcze jeden wężyk który dociska smar.Przy ponownemu pompowaniu powietrza do wiadra, trzeba otworzyć  niebieski wentel na chwile i potem ponownie zamknąć.</t>
  </si>
  <si>
    <t>awaria pompy smaru zostawiona z poprzedniej zmiany.Bez przerwy pompuję powietrze do wiadra ze smarem</t>
  </si>
  <si>
    <t>oczekiwanie na gier set</t>
  </si>
  <si>
    <t>wymiana cover filmu</t>
  </si>
  <si>
    <t>odpadlo na obroty 6 st.  gear setów 151-1126</t>
  </si>
  <si>
    <t>brak gear seta</t>
  </si>
  <si>
    <t>rozgrzewanie stancij gidraul.</t>
  </si>
  <si>
    <t>dolewaja olej w glawnym zbiorniku, wymiana filtru HG003</t>
  </si>
  <si>
    <t>rework 2 motorów</t>
  </si>
  <si>
    <t>brak statusu motorów, praca tehnologa</t>
  </si>
  <si>
    <t>brak statusu motorów,oczekiwanie na tehnologa</t>
  </si>
  <si>
    <t>brak statusu motora</t>
  </si>
  <si>
    <t>nie udało się zapisać raportu na koniec zmiany w PDF</t>
  </si>
  <si>
    <t>do pompy smaru o 05:10</t>
  </si>
  <si>
    <t>awaria pompy smaru o 05:00</t>
  </si>
  <si>
    <t>reklamacja o 00:15</t>
  </si>
  <si>
    <t>awaria pompy smaru z poprzedniej zmiany o 22:00</t>
  </si>
  <si>
    <t>do  pompy smaru</t>
  </si>
  <si>
    <t>bez przerwy pompuję powietrze do wiadra ze smarem</t>
  </si>
  <si>
    <t>zawieszenie korpusa przy zaprasowaniu teflonu</t>
  </si>
  <si>
    <t>reklamacja z etikiet varianta</t>
  </si>
  <si>
    <t>awaria pompy smaru z poprzedniej zmiany</t>
  </si>
  <si>
    <t>malowanie podlogi,operatory na pakowaniu</t>
  </si>
  <si>
    <t>dreny</t>
  </si>
  <si>
    <t>odpad na obroty</t>
  </si>
  <si>
    <t>duży odpad na kierunek / przez st</t>
  </si>
  <si>
    <t>mierzenie czasów cyklu</t>
  </si>
  <si>
    <t>restart komputera na st.20</t>
  </si>
  <si>
    <t>do pompy smaru</t>
  </si>
  <si>
    <t xml:space="preserve"> pompa bez przerwy pompuję powietrze do wiadra ze smarem.</t>
  </si>
  <si>
    <t>kalibracja cella 1</t>
  </si>
  <si>
    <t>zawieszenie robota przy odkładaniu motora na st.napraw razem z adapterem, oczekiwanie na DUR</t>
  </si>
  <si>
    <t>zabłokowany motor w cell 2, error log</t>
  </si>
  <si>
    <t>zaczali robic zlecenie z ger setem 11112012 *problemny* nowyj operator sie uczy jego wkladac</t>
  </si>
  <si>
    <t>zawieszenie komputera na st. 40</t>
  </si>
  <si>
    <t>zawieszenie komputera na st. 20</t>
  </si>
  <si>
    <t>mierzenie czasu</t>
  </si>
  <si>
    <t xml:space="preserve">nowego operatora </t>
  </si>
  <si>
    <t>liczenie czasów od 11 50 do 13 35</t>
  </si>
  <si>
    <t>zawieszenie st.20 ,2 razy</t>
  </si>
  <si>
    <t>zablokówany motory na calą linie</t>
  </si>
  <si>
    <t>przerwa 4 operatorów do god.22-10</t>
  </si>
  <si>
    <t>przerwa 4 operatorów od god.21-50</t>
  </si>
  <si>
    <t>rework</t>
  </si>
  <si>
    <t>wymiama etyketa</t>
  </si>
  <si>
    <t>brak nośnika w drukarce,wymiana</t>
  </si>
  <si>
    <t>nie krenczy walek w stancji, uszkodzony adapter</t>
  </si>
  <si>
    <t>nie mozemy zajsc w program Standartization 3, przez to nie mozemy rozblokowac palete i puscic zlecenie</t>
  </si>
  <si>
    <t>szkolenie nowej osoby na gear setach</t>
  </si>
  <si>
    <t>kuku  naprawil operator o god.20-55</t>
  </si>
  <si>
    <t>zawieszenie KUKI,OCZEKIWANIE NA DUR</t>
  </si>
  <si>
    <t xml:space="preserve">zawieszenie KUKI </t>
  </si>
  <si>
    <t>PROBLEM z testówaniem motorów OMPW  X100N,wymiana walków,wkladow</t>
  </si>
  <si>
    <t>problem z testówaniem motorów OMPW  X100N</t>
  </si>
  <si>
    <t>wymiana wkladów  na st.napraw,ponownie testy</t>
  </si>
  <si>
    <t>praca tehnologa na CEEL 1,2</t>
  </si>
  <si>
    <t>duży odpad motorów  na kierunek, obroty</t>
  </si>
  <si>
    <t>rework 5 motorów</t>
  </si>
  <si>
    <t xml:space="preserve">duży odpad motorów </t>
  </si>
  <si>
    <t>łożysk do praski</t>
  </si>
  <si>
    <t>problematyczny test wizijny OMPW</t>
  </si>
  <si>
    <t>brak odpowiedniego adaptera w st.hydraulicznej</t>
  </si>
  <si>
    <t>17 szt</t>
  </si>
  <si>
    <t>oczekiwanie na nowy komponent</t>
  </si>
  <si>
    <t>do 11:55</t>
  </si>
  <si>
    <t>kolizja na st.80 Korek trafił pod płatformę paletki.</t>
  </si>
  <si>
    <t>na kierunek ...o 23 godzinie</t>
  </si>
  <si>
    <t>montaż motorów ze speed sensorem  od god.14-10 do god.17-12</t>
  </si>
  <si>
    <t>szkolenie z montażu speed sensora</t>
  </si>
  <si>
    <t>awaria praski S-SPRING,praca tehnologa</t>
  </si>
  <si>
    <t>zabłokowany motor w st.hydraulicznej.Error Log</t>
  </si>
  <si>
    <t>problematyczny test wizijny gear set 11112012</t>
  </si>
  <si>
    <t>zawieszenie sysyemy wizijnego</t>
  </si>
  <si>
    <t>odad motorow ompx32, ale motory szczelni</t>
  </si>
  <si>
    <t>probłematyczny pomiar cardana 11184806</t>
  </si>
  <si>
    <t>OMRx125 odpadaja wszystkie motory na szczelnosc  (30 min)</t>
  </si>
  <si>
    <t>utknal motor</t>
  </si>
  <si>
    <t>przerwa 1 operatora do 22.10</t>
  </si>
  <si>
    <t>zapełnienie linii</t>
  </si>
  <si>
    <t>praca tehnologa na st.50</t>
  </si>
  <si>
    <t>spotkanie z kierownikom</t>
  </si>
  <si>
    <t>dla jednego operatora</t>
  </si>
  <si>
    <t>przedłużony test</t>
  </si>
  <si>
    <t>przedłużony test.Technolodzy na linii</t>
  </si>
  <si>
    <t>Zapoznanie z nowymi informacjami na linii</t>
  </si>
  <si>
    <t>problematyczny pomiar cardana 11184806</t>
  </si>
  <si>
    <t>zawieszenie korpusa przy zaprasowaniu teflona 5 raz</t>
  </si>
  <si>
    <t>zawieszenie korpusa przy zaprasowaniu teflona</t>
  </si>
  <si>
    <t>śrub przez magazyniera</t>
  </si>
  <si>
    <t>Kalibracja</t>
  </si>
  <si>
    <t xml:space="preserve">znow wyskoczyl blend , nie krenczy walek w stancjii. Clear error. </t>
  </si>
  <si>
    <t>Praca na cell 1 , poki czekamy na duru</t>
  </si>
  <si>
    <t>potrzebno zrobic kalibracje. Oczekiwanie na DUR</t>
  </si>
  <si>
    <t>wyskoczyli blendy, clear error</t>
  </si>
  <si>
    <t>zawieszenie robota, czysczenie bledow</t>
  </si>
  <si>
    <t>sciaganie zlecenia z linii i pusczanie nowego</t>
  </si>
  <si>
    <t>zawieszenie motora w stancji , OMPW, czysczenie blendow</t>
  </si>
  <si>
    <t xml:space="preserve">zawieszenie motora w  lapie </t>
  </si>
  <si>
    <t xml:space="preserve">zawieszenie motora w stancji , OMPW, czysczenie blendow </t>
  </si>
  <si>
    <t>pusczanie OMPW , praca na cell1</t>
  </si>
  <si>
    <t>3 raz za 5 godzin pracy nie pokazuje serijny nomer motoru, muszimy sciagac  paletki i pusczac reworki</t>
  </si>
  <si>
    <t>clear error, nie widzi adapterow</t>
  </si>
  <si>
    <t>srub</t>
  </si>
  <si>
    <t>przy pusczenii reworku ,zmieniamy gear set, oczekiwanie na niego</t>
  </si>
  <si>
    <t>zawieszenie korpusa przy prasowanii w stancji</t>
  </si>
  <si>
    <t>1 szt</t>
  </si>
  <si>
    <t>plyt</t>
  </si>
  <si>
    <t>spotkanie 1 osoby  z koordynatorem w zwiazku ze szkoleniem nowego operatora</t>
  </si>
  <si>
    <t>wloczenie linii,puscznie testerow</t>
  </si>
  <si>
    <t>Duzy odpad motorow na dren.</t>
  </si>
  <si>
    <t>śrub, płyt, oringów, drenów</t>
  </si>
  <si>
    <t>brak zamówionych etykiet na zapas! Oczekiwanie na etykiety z ekspresowej dostawy za poleceniem koordynatora.</t>
  </si>
  <si>
    <t>śrub</t>
  </si>
  <si>
    <t>śrub, płyt</t>
  </si>
  <si>
    <t>zawieszenie korpusa na trzpieniu i restart monitora na st.20</t>
  </si>
  <si>
    <t xml:space="preserve">zawieszenie motora w stancjii </t>
  </si>
  <si>
    <t>wylonczyli st 50,  naprawa przez dur</t>
  </si>
  <si>
    <t>oczekiwanie na DUR, z przywodu tego ze wszystkie motory odpadaja na czszelnosc , a przeciekow nie ma         Awarie co nie dziala kuka i paletki na st napraw naprawili sami</t>
  </si>
  <si>
    <t>robot nie bierze i nie odklada motory i nie poruszaja paletki na st napraw, Czysczenie blendow</t>
  </si>
  <si>
    <t>szrub</t>
  </si>
  <si>
    <t>znow zaczalo otpadac na szczelnosc</t>
  </si>
  <si>
    <t>pusczali motory ze st napraw , te ktore byly wyciogniente ze stancij gidraulicznej pod czas awarii i zroblenie clear error</t>
  </si>
  <si>
    <t>reklamacja</t>
  </si>
  <si>
    <t>zawieszenie glownego komputera przy robotie</t>
  </si>
  <si>
    <t>zawieszenie robota , czysczenie blendow</t>
  </si>
  <si>
    <t>zawieszenie robota z poprzedniej zmiany</t>
  </si>
  <si>
    <t>DUR NIE MOŻE NAPRAWIĆ,brygada zostala wyslana na kartony do 6-00</t>
  </si>
  <si>
    <t>\zawieszenie w CELL 1,praca DUR</t>
  </si>
  <si>
    <t>du.zy odpad na dren</t>
  </si>
  <si>
    <t>zawieszenie KUKI,oczekuwanie na DUR</t>
  </si>
  <si>
    <t>CLEAR   ERROR  LOG</t>
  </si>
  <si>
    <t>duży odpad na dren</t>
  </si>
  <si>
    <t>DUR złokalizował i zlikwidował awarje. Okazało się że przyczyną nieszczelnośći motorów  był poluzowany wężyk z tyłu NOLKA.</t>
  </si>
  <si>
    <t>duży odpad na szczelność, zakorkowana st.napraw</t>
  </si>
  <si>
    <t xml:space="preserve">po st 50 </t>
  </si>
  <si>
    <t xml:space="preserve">pusczali OMPW , wysckoczyl blend , czysczenie bledow &gt; clear error </t>
  </si>
  <si>
    <t>wszystkie motory odpadja na dren</t>
  </si>
  <si>
    <t>duzy odpad na dren (OMP 160)</t>
  </si>
  <si>
    <t>brak smaru</t>
  </si>
  <si>
    <t>PRACA  DUR od god.22-15 do god.23-35</t>
  </si>
  <si>
    <t>zawieszenie KUKI,awaria po 2 zmiane,oczekiwanie na DUR</t>
  </si>
  <si>
    <t>naprawa pompy smaru</t>
  </si>
  <si>
    <t>zawieszenie w cell1, interwencja DUR, 2 razy, kalibracja cell1</t>
  </si>
  <si>
    <t>zawieszenie robota w st gidraulicznej</t>
  </si>
  <si>
    <t>zmiana pinow</t>
  </si>
  <si>
    <t>oringow</t>
  </si>
  <si>
    <t>robot upuscil silnik, uruchomienie robota za pomoc technologa, ale    silnik spadl drugij raz</t>
  </si>
  <si>
    <t>sawiszenie robota w st. Hydrawlicznej</t>
  </si>
  <si>
    <t>dren nie jest skrecony, scionganie paletki</t>
  </si>
  <si>
    <t>skolenie opratora przez 2 godziny</t>
  </si>
  <si>
    <t>jedna osoba idzie na szkolenie na wozkach widlowych na 2 godziny, zastempuje osoba nowa ktora jescze nie byla na orbital x</t>
  </si>
  <si>
    <t>zlecenie 567756348 problem z pomiarem cardana</t>
  </si>
  <si>
    <t>oczekiwanie na walki 3 zstuki, bo z poprzedniej zmiany zostal wozek z brakiem materialu i to juz nie pierszyj raz</t>
  </si>
  <si>
    <t xml:space="preserve">zawieszenie silnika w  lapie </t>
  </si>
  <si>
    <t>HG020</t>
  </si>
  <si>
    <t>puscili testery , wyskoczylo ze do wymiany filtr Hg020. Czyszenie bledow/ clear error</t>
  </si>
  <si>
    <t>HG003 *poprzedniej zmianie</t>
  </si>
  <si>
    <t>wymiana filtra HQ 003,oczekiwanie na HOUGHTON</t>
  </si>
  <si>
    <t>zawiszenie KUKI</t>
  </si>
  <si>
    <t>zawieszenie noleka</t>
  </si>
  <si>
    <t>zawiszenie KUKI,restart komputera</t>
  </si>
  <si>
    <t>dla 3 operatorów</t>
  </si>
  <si>
    <t>uzupełnienie śrub, płyt, oringów, drenów</t>
  </si>
  <si>
    <t>praca na cell2   OMPWX160</t>
  </si>
  <si>
    <t>odpad motorow na cell2 na moment obrotowy</t>
  </si>
  <si>
    <t>praca na cell2   OMPWX100 N</t>
  </si>
  <si>
    <t>Czyszczenie blędów</t>
  </si>
  <si>
    <t>na obroty</t>
  </si>
  <si>
    <t>praca na cell2   OMPWX100</t>
  </si>
  <si>
    <t>14 szt.   OMPWX100</t>
  </si>
  <si>
    <t>uzupełnienie śrub</t>
  </si>
  <si>
    <t>zawieszenie korpusa na trzpieniu przy zaprasowaniu tefłonu</t>
  </si>
  <si>
    <t>od 14:00 do 14:20</t>
  </si>
  <si>
    <t>od 10 do 14</t>
  </si>
  <si>
    <t>dokladanie oringow, szrub ,dren . Szprontanie linii . O 10 serwis</t>
  </si>
  <si>
    <t>zawieszenie robota  na st napraw</t>
  </si>
  <si>
    <t>zawieszenie robota. Awaria z poprzedniej zmiany. Oczekiwanie na DUR</t>
  </si>
  <si>
    <t>praca na SMC 2  od god.2-00 do god.6-00</t>
  </si>
  <si>
    <t>DUR  nie może naprawić,awaria  od god.22-30 do 6-00</t>
  </si>
  <si>
    <t>naprawa KUKI przez DUR</t>
  </si>
  <si>
    <t>uzupełnienie śrub, płyt</t>
  </si>
  <si>
    <t>wlonczenie komputerow, linii</t>
  </si>
  <si>
    <t>zawieszenie na śrubie 1 OMPx160</t>
  </si>
  <si>
    <t>zawieszenie monitora, restart. Zawieszenie korpusa przy zaprasowaniu teflona</t>
  </si>
  <si>
    <t>32 szt NOK otpadli na dren</t>
  </si>
  <si>
    <t>dokladanie szrub</t>
  </si>
  <si>
    <t>dokladanie plyt</t>
  </si>
  <si>
    <t>Nacisnienty grzyb</t>
  </si>
  <si>
    <t>nie krenczyl sie walek w st gidraulicznej . Clear error</t>
  </si>
  <si>
    <t>dokladanie srub</t>
  </si>
  <si>
    <t>brak gear setu</t>
  </si>
  <si>
    <t>wymiana filtra  HQ 001,praca tehnologa</t>
  </si>
  <si>
    <t>wymiana filtra  HQ 001</t>
  </si>
  <si>
    <t>awaria st.cell 1,2,naprawa  przez tehnologa,motory dalej odpadajom</t>
  </si>
  <si>
    <t>zablokowany przewodnik   56755227</t>
  </si>
  <si>
    <t>zle zaprasówanie  lożyska  na st.20 motory OMPWx100, linija zostala zatrzimana, oczekowanije na tehnologa.</t>
  </si>
  <si>
    <t>motory z lożyskem  odpadajom na kerunek,praca  tehnologa</t>
  </si>
  <si>
    <t>problem z kumunikacją z magazynierem Sylwestrem.</t>
  </si>
  <si>
    <t>zawieszenie na śrubie 7 OMRx80</t>
  </si>
  <si>
    <t>zawieszenie monitora na st.20.Restart</t>
  </si>
  <si>
    <t>zawieszenie na śrubie 5 OMPx200</t>
  </si>
  <si>
    <t>odpad na dren, end cover 151-1459</t>
  </si>
  <si>
    <t>odpad na dren, motory OMP, end cover 151-1459</t>
  </si>
  <si>
    <t>na dren</t>
  </si>
  <si>
    <t>nie bierze motory z lonii i st napraw, robimy clear error</t>
  </si>
  <si>
    <t>Hg020</t>
  </si>
  <si>
    <t>pod czas zrobienia clear error,  wybilo blend ... Rotary table detected collision, oczekiwanie na DUR</t>
  </si>
  <si>
    <t>zle korpusy, dziury, nie mozliwo wkrenczyc szrube</t>
  </si>
  <si>
    <t>duzy odpad na dreny (OMPx50)</t>
  </si>
  <si>
    <t>1 operator szkolenie na warianta</t>
  </si>
  <si>
    <t xml:space="preserve">komputer na st. 20 </t>
  </si>
  <si>
    <t>szkolenie 1 operatorana wozkach od  14.00 do 16</t>
  </si>
  <si>
    <t>pusczanie testerow</t>
  </si>
  <si>
    <t>naprawa KUKI PRZEZ TEHNOLOGA  I DUR</t>
  </si>
  <si>
    <t>KALI BRACIJA CELL 1 I CELL2</t>
  </si>
  <si>
    <t xml:space="preserve">KALIBRACIJA </t>
  </si>
  <si>
    <t>KUKA wytągnela motor ze st.hudrawlicznej razem z adapterom,naprawa przez DUR</t>
  </si>
  <si>
    <t>czyszenie błądów,zablokowany motor w st.hudrawlicznej</t>
  </si>
  <si>
    <t>awaria cell2,praca na 1 st. Od god.6-00</t>
  </si>
  <si>
    <t>stacja potrzebuję kalibracji,została wyłączona przez DUR  i oczekuję na technologa.Praca tylko na 1 stację.</t>
  </si>
  <si>
    <t>robot odłożył motor z adapterem na st.70. Oczekiwanie na DUR</t>
  </si>
  <si>
    <t>brak śrub 681x0186</t>
  </si>
  <si>
    <t>zawieszenie korpusa przy zaprasowaniu teflonu od 2:50</t>
  </si>
  <si>
    <t>zawieszenie korpusa przy zaprasowaniu teflonu i zawieszenie monitora na st.20. Robiony restart</t>
  </si>
  <si>
    <t>o 21.50 wszystka zmiana idzie na przerwe</t>
  </si>
  <si>
    <t>dikladanie plyt</t>
  </si>
  <si>
    <t>zawieszila sie , walek woszed na polowe w korpus i nie moge jego wyciagnoc</t>
  </si>
  <si>
    <t>po oczekiwaniu na gear set</t>
  </si>
  <si>
    <t>brak  gear-setu, oczekiwanie na material</t>
  </si>
  <si>
    <t>pusczanie testera</t>
  </si>
  <si>
    <t>szkolenie DUR na linii</t>
  </si>
  <si>
    <t xml:space="preserve">naprawa stacji </t>
  </si>
  <si>
    <t>oczekuwanie na DUR</t>
  </si>
  <si>
    <t>KUKA wytągnela motor z cell 2 razem z adapterom,oczekuwanie na DUR</t>
  </si>
  <si>
    <t>wymiana adaptera na cell 2</t>
  </si>
  <si>
    <t>praca na 1 celle od god.8-00,brak adaptera na cell2</t>
  </si>
  <si>
    <t>KUKA wytągnela motor z cell 2 razem z adapterom,naprawa przez DUR</t>
  </si>
  <si>
    <t>brak wałków i wklad ow   dla st.napraw</t>
  </si>
  <si>
    <t>Podczas uruchmiania testerów robot który zmienia adaptery, dostał sie do adaotera, który był w cell2 i zawiesił się</t>
  </si>
  <si>
    <t xml:space="preserve">duzy odpad na dreny 56754042 (OMR x80) </t>
  </si>
  <si>
    <t>zawiszanie st. 41 (OMPx100)</t>
  </si>
  <si>
    <t>duzy odpad na dreny 56754005 (OMP x80) 2 godziny</t>
  </si>
  <si>
    <t>rozgrzewanie stacij po dolewu olei</t>
  </si>
  <si>
    <t>uzupełnianie śrub,płyt, oringów, drenów</t>
  </si>
  <si>
    <t>wymiana cofer filma st.40</t>
  </si>
  <si>
    <t xml:space="preserve">problem ze smarem , za duzo leje </t>
  </si>
  <si>
    <t>oczekiwanie na DURU</t>
  </si>
  <si>
    <t>z pary sztuk poszlo i znow, spad motor, oczekiwanie na DURU</t>
  </si>
  <si>
    <t xml:space="preserve">spad motor z lapki na dol </t>
  </si>
  <si>
    <t>zawieszila sie przy zabieraniu motora z linii</t>
  </si>
  <si>
    <t>nie idzie smar</t>
  </si>
  <si>
    <t>na cała zmieny przedłużony  test na czystość OMR</t>
  </si>
  <si>
    <t>awaria test CEII2,awaria st.50,zawieszenie HOLEK</t>
  </si>
  <si>
    <t>awaria st.41</t>
  </si>
  <si>
    <t>awaria CELL2</t>
  </si>
  <si>
    <t>puscili nowe zlecenie 56752952, tez otada na moment oborotu</t>
  </si>
  <si>
    <t>clear error,  motor ktoryj przeszedl test, byl na zielono, kuku  nie odlozyl motor</t>
  </si>
  <si>
    <t>otpad motorow ,moment obotoru ,zlecenie 56752951</t>
  </si>
  <si>
    <t>robilismy clear eror, otpada na moment oborotu, nie odklada na naprawe motory</t>
  </si>
  <si>
    <t xml:space="preserve">znow zawieszenie motora </t>
  </si>
  <si>
    <t>zawieszenie motora na st 20, poprzedniej zmiany</t>
  </si>
  <si>
    <t>korpus zostal zablokowany na mocowaniu praski,oczekiwanie  na DUR</t>
  </si>
  <si>
    <t>motory  ord.56748255 ,dalej odpadąm na obroty,nie udany rework</t>
  </si>
  <si>
    <t>wydłużony test na szczelność przez całą zmiane</t>
  </si>
  <si>
    <t xml:space="preserve"> Oczekiwanie na Houghton i wymiana HQ020 i HQ001</t>
  </si>
  <si>
    <t>zakorkowana st.napraw</t>
  </si>
  <si>
    <t>na st.70, szczelność od 12 do 13 godz.</t>
  </si>
  <si>
    <t>8 szt.</t>
  </si>
  <si>
    <t>praca IT od 11:20</t>
  </si>
  <si>
    <t>uzupełnienie oringów, płyt</t>
  </si>
  <si>
    <t>uzupełnianie śrub</t>
  </si>
  <si>
    <t>praca na 1 st. Od 3:45</t>
  </si>
  <si>
    <t>przedluzoni testy</t>
  </si>
  <si>
    <t>naprawa CELL1 ,CELL2 przez DUR  i Houghton</t>
  </si>
  <si>
    <t>komunikat trigger HQ002 i HQ020</t>
  </si>
  <si>
    <t>komunikat o wymianie filtrów HQ002 i HQ020</t>
  </si>
  <si>
    <t xml:space="preserve">po wymianie filtra motory dalej odpada na czystosc </t>
  </si>
  <si>
    <t>wymiana filtru HQ002</t>
  </si>
  <si>
    <t>przerwa dwóh operatirow</t>
  </si>
  <si>
    <t>NAPRAWA   KUKI</t>
  </si>
  <si>
    <t>zawieszenie Kuki,oczekiwanie na DUR</t>
  </si>
  <si>
    <t>przedłużony test na czystość +cell 2</t>
  </si>
  <si>
    <t>przedłużony test na czystośći +cell 2</t>
  </si>
  <si>
    <t>nie dziala winda na zmiany pozucji śrub,oczekiwanie na DUR</t>
  </si>
  <si>
    <t>zabranie motora z linii do kontroli jakośći</t>
  </si>
  <si>
    <t>płyty,dreny,śruby,oringy</t>
  </si>
  <si>
    <t>do 13:45</t>
  </si>
  <si>
    <t>motor odłożony z adapterem</t>
  </si>
  <si>
    <t>zawieszenie monitora</t>
  </si>
  <si>
    <t>przedłużony test na szczelność + cell 2</t>
  </si>
  <si>
    <t>HQ020. Oczekiwanie na Houghton i czyszczenie błędów</t>
  </si>
  <si>
    <t>zawieszenie st 10, pisze tylko serijny nomer motoru , oczekiwanie na DURU!</t>
  </si>
  <si>
    <t>nie dziala winda,oczekiwanie na DURU</t>
  </si>
  <si>
    <t>spadli paletki z windy st 55</t>
  </si>
  <si>
    <t>pusczanie tastera</t>
  </si>
  <si>
    <t>praca houqhtona z wymiany filtrów</t>
  </si>
  <si>
    <t>duży odpad motorów na test czystośći,praca na 1 celle od god.19-45</t>
  </si>
  <si>
    <t>praca na 2 st. Od god.18-10</t>
  </si>
  <si>
    <t>praca na 1 CELLe,przedłużony test na czystość</t>
  </si>
  <si>
    <t>praca na 1st.od god.14-00</t>
  </si>
  <si>
    <t>każdy motor na cell 1 odpada na czystość na st.napraw. Koordynator i technolog zostali poinformowani</t>
  </si>
  <si>
    <t>przedłużony test na czystość</t>
  </si>
  <si>
    <t>GQ1 air conditioner.czyszczenie błędów</t>
  </si>
  <si>
    <t>odnalezienie statusu i puszczenie dwóch reworków motorów bez numeru serijnego</t>
  </si>
  <si>
    <t>narzedziownia zabrała wszystkie roboczę torpedy do szlifowania</t>
  </si>
  <si>
    <t>kierunek nie ustawiony po włączeniu linii po nocnej zmianie</t>
  </si>
  <si>
    <t>naprawa drukarki i innych stancij</t>
  </si>
  <si>
    <t>przy naprawianiu adeq wyloczyli linie</t>
  </si>
  <si>
    <t>nagrzewanie st gidraulicznej</t>
  </si>
  <si>
    <t>adeq swieci na czerwono</t>
  </si>
  <si>
    <t>nie dziala</t>
  </si>
  <si>
    <t>nie dziala st 50</t>
  </si>
  <si>
    <t>nie dziala drukarka</t>
  </si>
  <si>
    <t>nie dziala st 20</t>
  </si>
  <si>
    <t>wlonczenie kompoterow</t>
  </si>
  <si>
    <t>od 1.23 do 02.39 linia zgubila polonczenie z serwerom</t>
  </si>
  <si>
    <t>zawieszenie wszystkich stancij</t>
  </si>
  <si>
    <t>wylonczenie calej linii , nie zapisal sie jedox</t>
  </si>
  <si>
    <t xml:space="preserve">16 reworkow </t>
  </si>
  <si>
    <t>HG002</t>
  </si>
  <si>
    <t>od 22 do 22.26 ocekiwanie na material</t>
  </si>
  <si>
    <t>WYLONCZYLI Z TYLU LINIE PRZEZ TO NIE ZAPISAL SIE JEDOX</t>
  </si>
  <si>
    <t>rework 16 motorow</t>
  </si>
  <si>
    <t>naprawa praski przez DuR</t>
  </si>
  <si>
    <t>zle zaprasowanie teflony,duży odpad</t>
  </si>
  <si>
    <t>3 operatora na linii</t>
  </si>
  <si>
    <t>sciagnięcie dwóch prewodników z linii 56748226 i 56748255     Kod motoru: 11242307 i 11185636</t>
  </si>
  <si>
    <t>dla dwóch operatorów od 13:40</t>
  </si>
  <si>
    <t>naprawa oświetłenia</t>
  </si>
  <si>
    <t>Mikos P.</t>
  </si>
  <si>
    <t>praca na jedną cele</t>
  </si>
  <si>
    <t xml:space="preserve">zawieszenie monitora </t>
  </si>
  <si>
    <t xml:space="preserve">praca na 1 cell do konca zmiany </t>
  </si>
  <si>
    <t>zawieszenie KUKY z motorem na st.70, adapter z stancji 1 został na motorze,  oczekiwanie na DUR</t>
  </si>
  <si>
    <t>zawieszenie KUKY z motorem na st.70, adapter z stancji 1 został na motorze, oczekiwanie na DUR</t>
  </si>
  <si>
    <t>wadłiwe wałki 11183554</t>
  </si>
  <si>
    <t xml:space="preserve"> z interwencja DUR</t>
  </si>
  <si>
    <t>Burek W.</t>
  </si>
  <si>
    <t>zawieszenie KUKY z motorem na st.80, adapter z stancji 2 został na motorze</t>
  </si>
  <si>
    <t>od 14:50</t>
  </si>
  <si>
    <t>zawieszenie KUKY z motorem na st.80, adapter z stancji 1 został na motorze</t>
  </si>
  <si>
    <t>sciąganie motorów z całej linii 11185636</t>
  </si>
  <si>
    <t>wymiana budowy filtrow</t>
  </si>
  <si>
    <t>stancja wydawala nezrozumialy dziwny dzwiek</t>
  </si>
  <si>
    <t>4 sztuki</t>
  </si>
  <si>
    <t>wymiana uszkodzonego filtru i nacisnenty grzyb</t>
  </si>
  <si>
    <t>otpada na czystosc</t>
  </si>
  <si>
    <t>kalibracja cell 1</t>
  </si>
  <si>
    <t>zablokowany motor na st 50, w systemie jego widzi jak zrobiony tylko na st 41, sciaganie z linii i pusczanie reworku 3 szt</t>
  </si>
  <si>
    <t>nie dziala cell 1 i uszkodzony jeden adapter , praca tylko na cell2</t>
  </si>
  <si>
    <t xml:space="preserve">pusczane testera tylko na cell 2 </t>
  </si>
  <si>
    <t>zawieszenie KUKY z motorem na st.70, adapter z stancji 1 został na motore, oczekiwanie na DUR</t>
  </si>
  <si>
    <t>zablokowany motor, czyszczenie błędów</t>
  </si>
  <si>
    <t>Duży odpad motorów OMRx200 na dren od 22:00 do 23:00</t>
  </si>
  <si>
    <t>uzupełnienie śrub, płyt,oringów, drenów</t>
  </si>
  <si>
    <t>st1 odpad  motorów na czystość + przedlużony test</t>
  </si>
  <si>
    <t>wymiane  HQ020 i HQ003</t>
  </si>
  <si>
    <t>Motory odpadają na czystość. Oczekiwanie na Houghton i wymiane  HQ020 i HQ003</t>
  </si>
  <si>
    <t>zawieszenie motora w stancji z gear setom 151-1186, czyszczenie błędów</t>
  </si>
  <si>
    <t>kalibracja stacjaod 15:45 do16:10</t>
  </si>
  <si>
    <t>kalibracja stacja, zablokowany motor z gear setom 151-1193</t>
  </si>
  <si>
    <t>czyszczenie błędów,zawieszenie aplikacji</t>
  </si>
  <si>
    <t>2 osoby poszli na dodatkowom pzserwe</t>
  </si>
  <si>
    <t>st50 test szczelnosci otwarcie wysokiego cisnenia do przylacza bocznego, B202a not OFF</t>
  </si>
  <si>
    <t>uzuełnienie śrub, plyt, oringów, drenów</t>
  </si>
  <si>
    <t>dla 2 operatorów od 21:40 do 22:00</t>
  </si>
  <si>
    <t>zabłokowany motor w stacji.Kawałek wałka zostało w adapterze.</t>
  </si>
  <si>
    <t>blokada drzwi st.hydrauicznej.Czyszczenie błędów</t>
  </si>
  <si>
    <t>zabłokowany motor w stacji. Czyszczenie błędów</t>
  </si>
  <si>
    <t>test na jednej stacij, puszczenie reworka 11185582</t>
  </si>
  <si>
    <t>uzupełnienie śrub, plyt</t>
  </si>
  <si>
    <t>puszczenie reworka 11185582</t>
  </si>
  <si>
    <t>DUR zabrał adapter z cell 1</t>
  </si>
  <si>
    <t>blokuje motory 11185582, test na jednej stacij</t>
  </si>
  <si>
    <t>drukowanie poprawkowej etykiety po st 30</t>
  </si>
  <si>
    <t>nie skręca motora</t>
  </si>
  <si>
    <t>nie dziala przytisk zeby zrobic zdecia</t>
  </si>
  <si>
    <t>nie pokazuje serijny nomer, bład sterownika łapki</t>
  </si>
  <si>
    <t>zawieszenie monitoru</t>
  </si>
  <si>
    <t>dren 7/ kierunek 2</t>
  </si>
  <si>
    <t>przerwa jednego operatora od 21:40 do 22:00</t>
  </si>
  <si>
    <t>zawieszenie od 18:30 na motore OMPx50 Oczekiwanie na DUR</t>
  </si>
  <si>
    <t>dokrencanie szrub na filtrie hg003</t>
  </si>
  <si>
    <t>zaczeli prace od 10.50</t>
  </si>
  <si>
    <t>zawieszenie KUKA do 22:00</t>
  </si>
  <si>
    <t>wyciąganie motorów z linii poprzez duży odpad na st.70 i zablokowanie w st. Hydraulicznij, przewodnik 56748251</t>
  </si>
  <si>
    <t>zawieszenie w cell 2, interwencja DUR</t>
  </si>
  <si>
    <t>filtr HQ003</t>
  </si>
  <si>
    <t xml:space="preserve">nadgodyny </t>
  </si>
  <si>
    <t>zawiszanie st.20</t>
  </si>
  <si>
    <t>caly czas zawiesza st20</t>
  </si>
  <si>
    <t>oczekiwanie na wymiane filtrow</t>
  </si>
  <si>
    <t xml:space="preserve">przeszbroenie </t>
  </si>
  <si>
    <t>brak 1 operatora</t>
  </si>
  <si>
    <t>zawieszenie st 41 na drenie</t>
  </si>
  <si>
    <t>oczekiwanie na szruby</t>
  </si>
  <si>
    <t>dokladanie plit</t>
  </si>
  <si>
    <t>caly czas zawiesza st41</t>
  </si>
  <si>
    <t>pusczenie testera</t>
  </si>
  <si>
    <t>pokrywa z zerwanym gwintem zawieszenie na st.41</t>
  </si>
  <si>
    <t>zawieszenie motora</t>
  </si>
  <si>
    <t>zawieszenie na śrubie 3 i 7 OMRx315</t>
  </si>
  <si>
    <t>zabłokowany motor w stacji.Czyszczenie błędów</t>
  </si>
  <si>
    <t>zawieszenie na śrubie 4 i 7 OMPx160, na śrubie 3 i 7  OMRx160</t>
  </si>
  <si>
    <t>brakujący komponent śruby 681x0181</t>
  </si>
  <si>
    <t>caly czas zawiesza st 41</t>
  </si>
  <si>
    <t>zawisla stancja , nie biewzre motory</t>
  </si>
  <si>
    <t>żaby</t>
  </si>
  <si>
    <t xml:space="preserve">test zab </t>
  </si>
  <si>
    <t>motor zostal w cell 2. Error log.</t>
  </si>
  <si>
    <t xml:space="preserve">zawieszenie wkrentaka  7-8god </t>
  </si>
  <si>
    <t>uzupełnianie płyt, śrub, oringów,dreny</t>
  </si>
  <si>
    <t>17 reworkow OMP x 200 z drugiej zmiany (problem z gear set 151-1185, co spowodowało awarie dzisiaj na drugiej zmiane i 01.03.22 na 3 zmianie) od 23:00 do 00:00</t>
  </si>
  <si>
    <t>uszkodzony adapter do walka 11183554 od drugiej zmiany, oczekiwanie na DUR, praca na 1 cell</t>
  </si>
  <si>
    <t>wszystka zmiana zostaje na nadgodzinny</t>
  </si>
  <si>
    <t>nie testuje ,wybia blond</t>
  </si>
  <si>
    <t>zapelnenie linii po awarii</t>
  </si>
  <si>
    <t>nie testuje , wybia blond ... Scionganie z linii , pusczanie nowego przewodnika</t>
  </si>
  <si>
    <t>nie krenczy walek , wybia blond</t>
  </si>
  <si>
    <t>brak szrub, scionganie z linii ipusczanie nowego przewodnika</t>
  </si>
  <si>
    <t>nagrzewaniie stanji</t>
  </si>
  <si>
    <t>praca tehnologa oraz DUR  do god.14</t>
  </si>
  <si>
    <t>awaria st.20,naprawa przez DUR</t>
  </si>
  <si>
    <t>awaria st.20,oczekiwanie na DUR</t>
  </si>
  <si>
    <t>uzupełnienie śrub, płyt, oringów</t>
  </si>
  <si>
    <t xml:space="preserve"> wymiana i kalibracja wydruku  etykiet</t>
  </si>
  <si>
    <t>oczekiwanie i interwencja DUR</t>
  </si>
  <si>
    <t>awaria drzwi,oczekiwanie na DUR</t>
  </si>
  <si>
    <t>zablokowany motor w cell 1</t>
  </si>
  <si>
    <t>zawieszenie st 41 , nie do konca zakrenca dren i krenczy na jednym miejscu</t>
  </si>
  <si>
    <t>godzinu po przerwie st 41 pracowala normalnie, od 19 znow zaczalo zawieszac</t>
  </si>
  <si>
    <t>Zawueazenie szrobokreta na st 41</t>
  </si>
  <si>
    <t xml:space="preserve">nie zmieniaja sie godziny pracy w jedox </t>
  </si>
  <si>
    <t>nagrzewanie stancii gidraulicznom</t>
  </si>
  <si>
    <t>oczekiwanie na material od 14 do 15. 45</t>
  </si>
  <si>
    <t>kalibracja st.41</t>
  </si>
  <si>
    <t>problem z dokręcaniem śrub OMP 160</t>
  </si>
  <si>
    <t>zawieszenie na śrubie 1, 4, 7 OMPx160</t>
  </si>
  <si>
    <t>zawieszenie na śrubie 4 i 7 OMPx200</t>
  </si>
  <si>
    <t>uszkodzony adapter, praca na 1 cell</t>
  </si>
  <si>
    <t>zapelnenie linii , dokladanie komponentow, szprontanie</t>
  </si>
  <si>
    <t>Wszystka zmiana zostaje na nadgodziny , mamy dodatkowom przerwe</t>
  </si>
  <si>
    <t>PRZEZ CALE 7 GODZIN ZAWIESZALA SIE ST 41, NA JEDNYM MOTORIE PO 2 I 3 RAZY, STARALISCZE ZROBIC HOCZABY NORME GODZINOWOM</t>
  </si>
  <si>
    <t>na st 41 nie dokrenczylo 1 szrube i motor pojechal na st napraw</t>
  </si>
  <si>
    <t>PSZEZ  TO ZE ZAWIESZA ST 41 JEDEM MOTOR MOZE ZAKRENCAC PO 3 MIN I WIENCEJ</t>
  </si>
  <si>
    <t xml:space="preserve">na 1 motorie zawoeza po 2 srubie </t>
  </si>
  <si>
    <t>od 18 do 18.53 byl spokuj ,ale znow zaczalo zawieszac</t>
  </si>
  <si>
    <t>DROGIE NASZE TECHNOLODZY PROSZE ZRUBCIE CIS ZE ST 41, TO JEST NE MOZLIWE CALY CZAS ..KAZDOM SZTUKE ROBIC MANUAL RESET AUTO</t>
  </si>
  <si>
    <t>caly czas zawiesza st 41 nawet z innymi ger setami</t>
  </si>
  <si>
    <t>zawiezenie szrubokreta , restart glownego komputera</t>
  </si>
  <si>
    <t>kazda sztuka zawiesza i na drenie i na szrubie</t>
  </si>
  <si>
    <t>dokladanie oringow</t>
  </si>
  <si>
    <t xml:space="preserve">szrubokret nie mog zakrenczyc dren i zaczal jego zabiac </t>
  </si>
  <si>
    <t>caly czas zawesza st 41!!!!</t>
  </si>
  <si>
    <t>problem z testem vizijnum,oczekiwanie na tehnologa</t>
  </si>
  <si>
    <t>nie dziala test vizijny</t>
  </si>
  <si>
    <t>błędny pomiar cardana 11184811</t>
  </si>
  <si>
    <t>uzupełnienie płyt</t>
  </si>
  <si>
    <t>błędny pomiar cardana 11184832</t>
  </si>
  <si>
    <t>po interwencji DUR na poprzedniej zmianie,praca robota została spowolniona</t>
  </si>
  <si>
    <t>motor z adapterami w stancji</t>
  </si>
  <si>
    <t>pomeliony ger sety, oczekiwanie na material</t>
  </si>
  <si>
    <t>2 reworki</t>
  </si>
  <si>
    <t>oczekiwanie na material</t>
  </si>
  <si>
    <t>wymiana filtrow HG003</t>
  </si>
  <si>
    <t>puszanie testerow</t>
  </si>
  <si>
    <t>problem z docręceniem śrub  NUMER 1,7, OMR200</t>
  </si>
  <si>
    <t>AWARIA st.60 ŚTÓŁ OBROTOWY NIE OBRACA SIĘ NA CELLE 1 nie można zrobić czyszczenie przez *cleaning error*</t>
  </si>
  <si>
    <t>zawieszenie na śrubie 3 i 7 OMRx250</t>
  </si>
  <si>
    <t>2 motory do rework</t>
  </si>
  <si>
    <t>brak statusów w motorach</t>
  </si>
  <si>
    <t>czyszczenie błedów i stacij hydraulicznych</t>
  </si>
  <si>
    <t>pomelony kod walka,dużo reworku</t>
  </si>
  <si>
    <t>naprawa KUKI</t>
  </si>
  <si>
    <t>przerwa od god.17-40 do 18-00</t>
  </si>
  <si>
    <t>oczekiwanie na DUR,awaria st.60 ,zawieszenie KUKI</t>
  </si>
  <si>
    <t>zawieszenie KUKI od god.17-30</t>
  </si>
  <si>
    <t>wymina filtra HQ 020</t>
  </si>
  <si>
    <t>sprzątanie linii</t>
  </si>
  <si>
    <t>sruby,dreny,podkładki</t>
  </si>
  <si>
    <t>uzupełnienie płyt, oringów</t>
  </si>
  <si>
    <t>blędnyj pomiar cardana 11184906</t>
  </si>
  <si>
    <t>zawieszenie motoru na trzpieniu</t>
  </si>
  <si>
    <t>znalezienie zgubionego numeru serijnego motoru i puszczenie reworkiem</t>
  </si>
  <si>
    <t>zawieszenie korpusu na trzpieniu</t>
  </si>
  <si>
    <t>problem z docręcaniem śruby numer 7 ,4 .OMP 125</t>
  </si>
  <si>
    <t>przerwa operatora st.70</t>
  </si>
  <si>
    <t>PRZERWA</t>
  </si>
  <si>
    <t>naprawa przez tehnologa Mikos P.</t>
  </si>
  <si>
    <t>puszczenie ISIR  i powa</t>
  </si>
  <si>
    <t>probłematyczny pomiar cardana 11184190</t>
  </si>
  <si>
    <t>AWARIA st.41 od god.16-30 do konca zmieny.DUR  nie może tego naprawić</t>
  </si>
  <si>
    <t>naprawa st.41,paletka zatrzymuje się między st.40 i st.41 ,</t>
  </si>
  <si>
    <t>przerwa</t>
  </si>
  <si>
    <t>zawieszenie st.41,czekanie na DUR</t>
  </si>
  <si>
    <t>Nie dziala test wizijny,czekanie na DUR</t>
  </si>
  <si>
    <t>nie dziala test wizijny,czekanie na DUR</t>
  </si>
  <si>
    <t>Zawieszenie Kuki,naprawa przes tehnologa</t>
  </si>
  <si>
    <t>problematyczny pomiar cardana 11184809 11:46</t>
  </si>
  <si>
    <t>zawieszenie robota + szkolenie DUR 11:45</t>
  </si>
  <si>
    <t>śruby+o-ringi</t>
  </si>
  <si>
    <t>problem z licenziej EXCEL 11:15</t>
  </si>
  <si>
    <t xml:space="preserve"> w 10:32</t>
  </si>
  <si>
    <t>od 10:00-14:00 po 10 min w godzine</t>
  </si>
  <si>
    <t xml:space="preserve"> PRZERWA 9:40-10:00</t>
  </si>
  <si>
    <t>Wymiana etykiet i kalibracja, dostosowanie wydruku 09:00:00</t>
  </si>
  <si>
    <t>selekcja+uzupelnienie plut 9:00</t>
  </si>
  <si>
    <t>uzupelnienie śrub 8:31</t>
  </si>
  <si>
    <t>uzupelnienie śrub 7:00</t>
  </si>
  <si>
    <t>przeglad dur, nie idzie SMAR st 20</t>
  </si>
  <si>
    <t>wymiana filtru hg003</t>
  </si>
  <si>
    <t>puszanie testera</t>
  </si>
  <si>
    <t>KUKA upuśćila kolejny motor ze st. Napraw na podłodze</t>
  </si>
  <si>
    <t>przerwa od 17-40 do 18-00</t>
  </si>
  <si>
    <t>KUKA UPUŚĆIŁA  MOTOR na podłodze</t>
  </si>
  <si>
    <t>opóźnienie autobusu</t>
  </si>
  <si>
    <t>DUR na linii,trwa naprawa</t>
  </si>
  <si>
    <t>uzupełnienie plyt, oringów</t>
  </si>
  <si>
    <t>przeddłużony test szczelności od 100 -160 sekund</t>
  </si>
  <si>
    <t>brak szczelnych adapterów na stacji napraw M22 do korpusów11183826</t>
  </si>
  <si>
    <t>przeddłużony test szczelności od 100 -147 sekund</t>
  </si>
  <si>
    <t>problem z testem wizijnym na cover film. 11185636</t>
  </si>
  <si>
    <t>2 osoby na pakowaniu, 2 osoby przekleanie etykiet</t>
  </si>
  <si>
    <t>12 szt motory z pakowania pusczone na test</t>
  </si>
  <si>
    <t>praca na 1 st.</t>
  </si>
  <si>
    <t>cel</t>
  </si>
  <si>
    <t>OK</t>
  </si>
  <si>
    <t>NOK</t>
  </si>
  <si>
    <t>od celu</t>
  </si>
  <si>
    <t>0600-0700</t>
  </si>
  <si>
    <t>(B)Nextgen, standard z zaworem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</si>
  <si>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</si>
  <si>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</si>
  <si>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</si>
  <si>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</si>
  <si>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</si>
  <si>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</si>
  <si>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</si>
  <si>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</si>
  <si>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(A)Bez zaworu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</si>
  <si>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</si>
  <si>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</si>
  <si>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</si>
  <si>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</si>
  <si>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</si>
  <si>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</si>
  <si>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</si>
  <si>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</si>
  <si>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0000-0100</t>
  </si>
  <si>
    <t>0100-0200</t>
  </si>
  <si>
    <t>0200-0300</t>
  </si>
  <si>
    <t>0300-0400</t>
  </si>
  <si>
    <t>0400-0500</t>
  </si>
  <si>
    <t>0500-0600</t>
  </si>
  <si>
    <t>(C)Nextgen, z łożyskiem</t>
  </si>
  <si>
    <t>(E)Żaby</t>
  </si>
  <si>
    <t>Nextgen, standard</t>
  </si>
  <si>
    <t>Speedsensor - podmontaż</t>
  </si>
  <si>
    <t>Nextgen, z łożyskiem</t>
  </si>
  <si>
    <t xml:space="preserve">selekcjC21260183 wgniotki w korpusach do </t>
  </si>
  <si>
    <t>przerwa dlC2operatora</t>
  </si>
  <si>
    <t>Invalid Time</t>
  </si>
  <si>
    <t>Grupa_bledu</t>
  </si>
  <si>
    <t>Podgrupa_bledu</t>
  </si>
  <si>
    <t>FPY</t>
  </si>
  <si>
    <t>Lp</t>
  </si>
  <si>
    <t>Dzien_zmiana</t>
  </si>
  <si>
    <t>problemy IT</t>
  </si>
  <si>
    <t>Problemy Jakość</t>
  </si>
  <si>
    <t>Ogólne linia</t>
  </si>
  <si>
    <t>Procent Jakości</t>
  </si>
  <si>
    <t>Procent Ogólny</t>
  </si>
  <si>
    <t>szkolenia</t>
  </si>
  <si>
    <t>Procent awari</t>
  </si>
  <si>
    <t>Procent IT</t>
  </si>
  <si>
    <t>Procent szkolenia</t>
  </si>
  <si>
    <t>Suma stracenego czasu</t>
  </si>
  <si>
    <t>IT</t>
  </si>
  <si>
    <t>Awarie</t>
  </si>
  <si>
    <t>Ogólne</t>
  </si>
  <si>
    <t>Szkolenia</t>
  </si>
  <si>
    <t>Suma celu</t>
  </si>
  <si>
    <t>Suma OK</t>
  </si>
  <si>
    <t>Suma NOK</t>
  </si>
  <si>
    <t>Suma wszystkich zmontowanych</t>
  </si>
  <si>
    <t>Wszystkie zmontowane / CEL</t>
  </si>
  <si>
    <t>Suma czasu awari</t>
  </si>
  <si>
    <t>Czas na zmianę</t>
  </si>
  <si>
    <t>% czasu przestoju</t>
  </si>
  <si>
    <t>Połączone data z godziną</t>
  </si>
  <si>
    <t>25.05.2017 3</t>
  </si>
  <si>
    <t>25.05.2017 2</t>
  </si>
  <si>
    <t>25.05.2017 1</t>
  </si>
  <si>
    <t>24.05.2017 3</t>
  </si>
  <si>
    <t>24.05.2017 2</t>
  </si>
  <si>
    <t>24.05.2017 1</t>
  </si>
  <si>
    <t>23.05.2017 3</t>
  </si>
  <si>
    <t>23.05.2017 2</t>
  </si>
  <si>
    <t>23.05.2017 1</t>
  </si>
  <si>
    <t>22.05.2017 3</t>
  </si>
  <si>
    <t>22.05.2017 2</t>
  </si>
  <si>
    <t>22.05.2017 1</t>
  </si>
  <si>
    <t>21.05.2017 3</t>
  </si>
  <si>
    <t>21.05.2017 2</t>
  </si>
  <si>
    <t>21.05.2017 1</t>
  </si>
  <si>
    <t>20.05.2017 3</t>
  </si>
  <si>
    <t>20.05.2017 2</t>
  </si>
  <si>
    <t>20.05.2017 1</t>
  </si>
  <si>
    <t>19.05.2017 3</t>
  </si>
  <si>
    <t>19.05.2017 2</t>
  </si>
  <si>
    <t>19.05.2017 1</t>
  </si>
  <si>
    <t>Górna część Nolka podciąga motory 
do góry.OMPW.Awaria nie została 
usunięta z 12.09.2016 Oczekiwanie na 
DUR</t>
  </si>
  <si>
    <t>Górna część Nolka podciąga motory do góry.OMPW.Awaria nie została usunięta z 12.09.2016 Oczekiwanie na DUR</t>
  </si>
  <si>
    <t>BRAK MOŻLIWOSĆI PODTWIERDANIA PRZEWODNIKÓW W SAP!!!!!Od 09.09.2016</t>
  </si>
  <si>
    <t>BRAK MOŻLOWOŚĆI PODTWIEDZANIA PRZEWODNIKÓW W *SAP* NA STANOWISKU PRACY OD 9.09.2016</t>
  </si>
  <si>
    <t>12.05.2016 na drugiej zmianie nie zapewnili karte kontrolne ze st hydraulicznych</t>
  </si>
  <si>
    <t>Wszystkie</t>
  </si>
  <si>
    <t>21.02.2016 -1</t>
  </si>
  <si>
    <t>21.02.2016 -2</t>
  </si>
  <si>
    <t>21.02.2016 -3</t>
  </si>
  <si>
    <t>22.02.2016 -1</t>
  </si>
  <si>
    <t>22.02.2016 -2</t>
  </si>
  <si>
    <t>22.02.2016 -3</t>
  </si>
  <si>
    <t>23.02.2016 -1</t>
  </si>
  <si>
    <t>23.02.2016 -2</t>
  </si>
  <si>
    <t>23.02.2016 -3</t>
  </si>
  <si>
    <t>24.02.2016 -1</t>
  </si>
  <si>
    <t>24.02.2016 -2</t>
  </si>
  <si>
    <t>24.02.2016 -3</t>
  </si>
  <si>
    <t>25.02.2016 -1</t>
  </si>
  <si>
    <t>25.02.2016 -2</t>
  </si>
  <si>
    <t>25.02.2016 -3</t>
  </si>
  <si>
    <t>26.02.2016 -1</t>
  </si>
  <si>
    <t>26.02.2016 -2</t>
  </si>
  <si>
    <t>26.02.2016 -3</t>
  </si>
  <si>
    <t>27.02.2016 -1</t>
  </si>
  <si>
    <t>27.02.2016 -2</t>
  </si>
  <si>
    <t>27.02.2016 -3</t>
  </si>
  <si>
    <t>Suma całego czasu straconego na przestoje w ciągu tygodnia 21.2.2016 - 28.02.2016</t>
  </si>
  <si>
    <t>Suma całego czasu straconego na przestoje DUR (Awaria + przegląd_Serwis) w ciągu tygodnia21.2.2016 - 28.02.2016</t>
  </si>
  <si>
    <t>21.02.2026 1</t>
  </si>
  <si>
    <t>21.02.2026 2</t>
  </si>
  <si>
    <t>21.02.2026 3</t>
  </si>
  <si>
    <t>22.02.2026 1</t>
  </si>
  <si>
    <t>22.02.2026 2</t>
  </si>
  <si>
    <t>22.02.2026 3</t>
  </si>
  <si>
    <t>23.02.2026 1</t>
  </si>
  <si>
    <t>23.02.2026 2</t>
  </si>
  <si>
    <t>23.02.2026 3</t>
  </si>
  <si>
    <t>24.02.2026 1</t>
  </si>
  <si>
    <t>24.02.2026 2</t>
  </si>
  <si>
    <t>24.02.2026 3</t>
  </si>
  <si>
    <t>25.02.2026 1</t>
  </si>
  <si>
    <t>25.02.2026 2</t>
  </si>
  <si>
    <t>25.02.2026 3</t>
  </si>
  <si>
    <t>26.05.2017 1</t>
  </si>
  <si>
    <t>26.05.2017 2</t>
  </si>
  <si>
    <t>26.05.2017 3</t>
  </si>
  <si>
    <t>27.05.2017 1</t>
  </si>
  <si>
    <t>27.05.2017 2</t>
  </si>
  <si>
    <t>27.05.2017 3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</si>
</sst>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3">
    <font>
      <sz val="11"/>
      <color theme="1"/>
      <name val="Calibri"/>
      <family val="2"/>
      <scheme val="minor"/>
    </font>
    <font>
      <sz val="11"/>
      <color theme="1"/>
      <name val="Minion Pro"/>
      <family val="2"/>
      <charset val="238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2" fontId="1" fillId="0" borderId="1" xfId="1" applyNumberFormat="1" applyBorder="1"/>
    <xf numFmtId="0" fontId="1" fillId="0" borderId="2" xfId="1" applyBorder="1"/>
    <xf numFmtId="0" fontId="1" fillId="0" borderId="3" xfId="1" applyBorder="1"/>
    <xf numFmtId="22" fontId="1" fillId="0" borderId="4" xfId="1" applyNumberFormat="1" applyBorder="1"/>
    <xf numFmtId="0" fontId="1" fillId="0" borderId="5" xfId="1" applyBorder="1"/>
    <xf numFmtId="0" fontId="1" fillId="2" borderId="6" xfId="1" applyFill="1" applyBorder="1"/>
    <xf numFmtId="0" fontId="1" fillId="2" borderId="7" xfId="1" applyFill="1" applyBorder="1"/>
    <xf numFmtId="22" fontId="1" fillId="0" borderId="8" xfId="1" applyNumberFormat="1" applyBorder="1"/>
    <xf numFmtId="0" fontId="1" fillId="0" borderId="9" xfId="1" applyBorder="1"/>
    <xf numFmtId="0" fontId="1" fillId="2" borderId="10" xfId="1" applyFill="1" applyBorder="1"/>
    <xf numFmtId="0" fontId="1" fillId="2" borderId="11" xfId="1" applyFill="1" applyBorder="1"/>
    <xf numFmtId="22" fontId="1" fillId="0" borderId="12" xfId="1" applyNumberFormat="1" applyBorder="1"/>
    <xf numFmtId="0" fontId="1" fillId="0" borderId="13" xfId="1" applyBorder="1"/>
    <xf numFmtId="0" fontId="1" fillId="2" borderId="14" xfId="1" applyFill="1" applyBorder="1"/>
    <xf numFmtId="0" fontId="1" fillId="2" borderId="15" xfId="1" applyFill="1" applyBorder="1"/>
    <xf numFmtId="0" fontId="1" fillId="0" borderId="0" xfId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16" xfId="1" applyBorder="1"/>
    <xf numFmtId="165" fontId="0" fillId="0" borderId="0" xfId="0" applyNumberFormat="1"/>
    <xf numFmtId="2" fontId="0" fillId="0" borderId="0" xfId="0" applyNumberFormat="1"/>
    <xf numFmtId="0" fontId="0" fillId="0" borderId="17" xfId="0" applyBorder="1"/>
    <xf numFmtId="22" fontId="0" fillId="0" borderId="18" xfId="0" applyNumberFormat="1" applyBorder="1"/>
    <xf numFmtId="164" fontId="0" fillId="0" borderId="18" xfId="0" applyNumberFormat="1" applyBorder="1"/>
    <xf numFmtId="21" fontId="0" fillId="0" borderId="18" xfId="0" applyNumberFormat="1" applyBorder="1"/>
    <xf numFmtId="0" fontId="0" fillId="0" borderId="18" xfId="0" applyBorder="1"/>
    <xf numFmtId="0" fontId="1" fillId="0" borderId="0" xfId="1" applyAlignment="1">
      <alignment wrapText="1"/>
    </xf>
    <xf numFmtId="0" fontId="1" fillId="3" borderId="13" xfId="1" applyFill="1" applyBorder="1"/>
    <xf numFmtId="0" fontId="1" fillId="3" borderId="5" xfId="1" applyFill="1" applyBorder="1"/>
    <xf numFmtId="0" fontId="1" fillId="3" borderId="14" xfId="1" applyFill="1" applyBorder="1"/>
    <xf numFmtId="0" fontId="1" fillId="3" borderId="15" xfId="1" applyFill="1" applyBorder="1"/>
    <xf numFmtId="0" fontId="0" fillId="3" borderId="0" xfId="0" applyFill="1"/>
    <xf numFmtId="0" fontId="1" fillId="3" borderId="6" xfId="1" applyFill="1" applyBorder="1"/>
    <xf numFmtId="0" fontId="1" fillId="3" borderId="7" xfId="1" applyFill="1" applyBorder="1"/>
    <xf numFmtId="0" fontId="0" fillId="4" borderId="0" xfId="0" applyFill="1"/>
    <xf numFmtId="22" fontId="1" fillId="4" borderId="4" xfId="1" applyNumberFormat="1" applyFill="1" applyBorder="1"/>
    <xf numFmtId="0" fontId="1" fillId="4" borderId="5" xfId="1" applyFill="1" applyBorder="1"/>
    <xf numFmtId="0" fontId="1" fillId="4" borderId="6" xfId="1" applyFill="1" applyBorder="1"/>
    <xf numFmtId="0" fontId="1" fillId="4" borderId="7" xfId="1" applyFill="1" applyBorder="1"/>
    <xf numFmtId="22" fontId="1" fillId="4" borderId="8" xfId="1" applyNumberFormat="1" applyFill="1" applyBorder="1"/>
    <xf numFmtId="0" fontId="1" fillId="4" borderId="9" xfId="1" applyFill="1" applyBorder="1"/>
    <xf numFmtId="0" fontId="1" fillId="4" borderId="10" xfId="1" applyFill="1" applyBorder="1"/>
    <xf numFmtId="0" fontId="1" fillId="4" borderId="11" xfId="1" applyFill="1" applyBorder="1"/>
    <xf numFmtId="22" fontId="1" fillId="4" borderId="12" xfId="1" applyNumberFormat="1" applyFill="1" applyBorder="1"/>
    <xf numFmtId="0" fontId="1" fillId="4" borderId="13" xfId="1" applyFill="1" applyBorder="1"/>
    <xf numFmtId="0" fontId="1" fillId="4" borderId="14" xfId="1" applyFill="1" applyBorder="1"/>
    <xf numFmtId="0" fontId="1" fillId="4" borderId="15" xfId="1" applyFill="1" applyBorder="1"/>
    <xf numFmtId="0" fontId="0" fillId="5" borderId="0" xfId="0" applyFill="1"/>
    <xf numFmtId="22" fontId="1" fillId="5" borderId="4" xfId="1" applyNumberFormat="1" applyFill="1" applyBorder="1"/>
    <xf numFmtId="0" fontId="1" fillId="5" borderId="5" xfId="1" applyFill="1" applyBorder="1"/>
    <xf numFmtId="0" fontId="1" fillId="5" borderId="6" xfId="1" applyFill="1" applyBorder="1"/>
    <xf numFmtId="0" fontId="1" fillId="5" borderId="7" xfId="1" applyFill="1" applyBorder="1"/>
    <xf numFmtId="22" fontId="1" fillId="5" borderId="8" xfId="1" applyNumberFormat="1" applyFill="1" applyBorder="1"/>
    <xf numFmtId="0" fontId="1" fillId="5" borderId="9" xfId="1" applyFill="1" applyBorder="1"/>
    <xf numFmtId="0" fontId="1" fillId="5" borderId="10" xfId="1" applyFill="1" applyBorder="1"/>
    <xf numFmtId="0" fontId="1" fillId="5" borderId="11" xfId="1" applyFill="1" applyBorder="1"/>
    <xf numFmtId="22" fontId="1" fillId="5" borderId="12" xfId="1" applyNumberFormat="1" applyFill="1" applyBorder="1"/>
    <xf numFmtId="0" fontId="1" fillId="5" borderId="13" xfId="1" applyFill="1" applyBorder="1"/>
    <xf numFmtId="0" fontId="1" fillId="5" borderId="14" xfId="1" applyFill="1" applyBorder="1"/>
    <xf numFmtId="0" fontId="1" fillId="5" borderId="15" xfId="1" applyFill="1" applyBorder="1"/>
    <xf numFmtId="22" fontId="1" fillId="3" borderId="12" xfId="1" applyNumberFormat="1" applyFill="1" applyBorder="1"/>
    <xf numFmtId="22" fontId="1" fillId="3" borderId="4" xfId="1" applyNumberFormat="1" applyFill="1" applyBorder="1"/>
    <xf numFmtId="14" fontId="0" fillId="0" borderId="18" xfId="0" applyNumberFormat="1" applyBorder="1"/>
    <xf numFmtId="0" fontId="0" fillId="6" borderId="0" xfId="0" applyFill="1"/>
    <xf numFmtId="22" fontId="0" fillId="3" borderId="0" xfId="0" applyNumberFormat="1" applyFill="1"/>
    <xf numFmtId="14" fontId="0" fillId="3" borderId="0" xfId="0" applyNumberFormat="1" applyFill="1"/>
    <xf numFmtId="164" fontId="0" fillId="3" borderId="0" xfId="0" applyNumberFormat="1" applyFill="1"/>
    <xf numFmtId="21" fontId="0" fillId="3" borderId="0" xfId="0" applyNumberFormat="1" applyFill="1"/>
    <xf numFmtId="14" fontId="0" fillId="6" borderId="0" xfId="0" applyNumberFormat="1" applyFill="1"/>
    <xf numFmtId="164" fontId="0" fillId="6" borderId="0" xfId="0" applyNumberFormat="1" applyFill="1"/>
    <xf numFmtId="21" fontId="0" fillId="6" borderId="0" xfId="0" applyNumberFormat="1" applyFill="1"/>
    <xf numFmtId="22" fontId="0" fillId="6" borderId="0" xfId="0" applyNumberFormat="1" applyFill="1"/>
    <xf numFmtId="22" fontId="0" fillId="0" borderId="0" xfId="0" applyNumberFormat="1" applyBorder="1"/>
    <xf numFmtId="14" fontId="0" fillId="0" borderId="0" xfId="0" applyNumberFormat="1" applyBorder="1"/>
    <xf numFmtId="164" fontId="0" fillId="0" borderId="0" xfId="0" applyNumberFormat="1" applyBorder="1"/>
    <xf numFmtId="21" fontId="0" fillId="0" borderId="0" xfId="0" applyNumberFormat="1" applyBorder="1"/>
    <xf numFmtId="0" fontId="0" fillId="0" borderId="0" xfId="0" applyBorder="1"/>
  </cellXfs>
  <cellStyles count="2">
    <cellStyle name="Normal 2" xfId="1" xr:uid="{8D8BEE34-8B79-4A57-BCC3-8DB760565E49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'zejscia WORK 2'!$P$1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'zejscia WORK 2'!$M$2:$M$22</c:f>
              <c:strCache>
                <c:ptCount val="21"/>
                <c:pt idx="0">
                  <c:v>21.02.2016 -1</c:v>
                </c:pt>
                <c:pt idx="1">
                  <c:v>21.02.2016 -2</c:v>
                </c:pt>
                <c:pt idx="2">
                  <c:v>21.02.2016 -3</c:v>
                </c:pt>
                <c:pt idx="3">
                  <c:v>22.02.2016 -1</c:v>
                </c:pt>
                <c:pt idx="4">
                  <c:v>22.02.2016 -2</c:v>
                </c:pt>
                <c:pt idx="5">
                  <c:v>22.02.2016 -3</c:v>
                </c:pt>
                <c:pt idx="6">
                  <c:v>23.02.2016 -1</c:v>
                </c:pt>
                <c:pt idx="7">
                  <c:v>23.02.2016 -2</c:v>
                </c:pt>
                <c:pt idx="8">
                  <c:v>23.02.2016 -3</c:v>
                </c:pt>
                <c:pt idx="9">
                  <c:v>24.02.2016 -1</c:v>
                </c:pt>
                <c:pt idx="10">
                  <c:v>24.02.2016 -2</c:v>
                </c:pt>
                <c:pt idx="11">
                  <c:v>24.02.2016 -3</c:v>
                </c:pt>
                <c:pt idx="12">
                  <c:v>25.02.2016 -1</c:v>
                </c:pt>
                <c:pt idx="13">
                  <c:v>25.02.2016 -2</c:v>
                </c:pt>
                <c:pt idx="14">
                  <c:v>25.02.2016 -3</c:v>
                </c:pt>
                <c:pt idx="15">
                  <c:v>26.02.2016 -1</c:v>
                </c:pt>
                <c:pt idx="16">
                  <c:v>26.02.2016 -2</c:v>
                </c:pt>
                <c:pt idx="17">
                  <c:v>26.02.2016 -3</c:v>
                </c:pt>
                <c:pt idx="18">
                  <c:v>27.02.2016 -1</c:v>
                </c:pt>
                <c:pt idx="19">
                  <c:v>27.02.2016 -2</c:v>
                </c:pt>
                <c:pt idx="20">
                  <c:v>27.02.2016 -3</c:v>
                </c:pt>
              </c:strCache>
            </c:strRef>
          </c:cat>
          <c:val>
            <c:numRef>
              <c:f>'zejscia WORK 2'!$P$2:$P$22</c:f>
              <c:numCache>
                <c:formatCode>0.00</c:formatCode>
                <c:ptCount val="21"/>
                <c:pt idx="0">
                  <c:v>92.700729927007302</c:v>
                </c:pt>
                <c:pt idx="1">
                  <c:v>92.543859649122808</c:v>
                </c:pt>
                <c:pt idx="2">
                  <c:v>93.388429752066116</c:v>
                </c:pt>
                <c:pt idx="3">
                  <c:v>91.880341880341874</c:v>
                </c:pt>
                <c:pt idx="4">
                  <c:v>95.121951219512198</c:v>
                </c:pt>
                <c:pt idx="5">
                  <c:v>94.623655913978496</c:v>
                </c:pt>
                <c:pt idx="6">
                  <c:v>94.360902255639104</c:v>
                </c:pt>
                <c:pt idx="7">
                  <c:v>93.488372093023258</c:v>
                </c:pt>
                <c:pt idx="8">
                  <c:v>88.571428571428569</c:v>
                </c:pt>
                <c:pt idx="9">
                  <c:v>92.405063291139243</c:v>
                </c:pt>
                <c:pt idx="10">
                  <c:v>90.526315789473685</c:v>
                </c:pt>
                <c:pt idx="11">
                  <c:v>95.020746887966794</c:v>
                </c:pt>
                <c:pt idx="12">
                  <c:v>94.977168949771681</c:v>
                </c:pt>
                <c:pt idx="13">
                  <c:v>92.712550607287454</c:v>
                </c:pt>
                <c:pt idx="14">
                  <c:v>94.711538461538453</c:v>
                </c:pt>
                <c:pt idx="15">
                  <c:v>93.95348837209302</c:v>
                </c:pt>
                <c:pt idx="16">
                  <c:v>93.600000000000009</c:v>
                </c:pt>
                <c:pt idx="17">
                  <c:v>91.699604743083</c:v>
                </c:pt>
                <c:pt idx="18">
                  <c:v>90.714285714285708</c:v>
                </c:pt>
                <c:pt idx="19">
                  <c:v>95.360824742268051</c:v>
                </c:pt>
                <c:pt idx="20">
                  <c:v>91.803278688524586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8-46D7-8924-4AF797A817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4278064"/>
        <c:axId val="734278424"/>
      </c:lineChart>
      <c:catAx>
        <c:axId val="7342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78424"/>
        <c:crosses val="autoZero"/>
        <c:auto val="1"/>
        <c:lblAlgn val="ctr"/>
        <c:lblOffset val="100"/>
        <c:noMultiLvlLbl val="0"/>
      </c:catAx>
      <c:valAx>
        <c:axId val="734278424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 czasu straconego na przestoje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5-49BB-AF72-E9E835BB46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5-49BB-AF72-E9E835BB46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5-49BB-AF72-E9E835BB46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E5-49BB-AF72-E9E835BB46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E5-49BB-AF72-E9E835BB46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WORK2'!$Q$1:$U$1</c:f>
              <c:strCache>
                <c:ptCount val="5"/>
                <c:pt idx="0">
                  <c:v>Procent awari</c:v>
                </c:pt>
                <c:pt idx="1">
                  <c:v>Procent IT</c:v>
                </c:pt>
                <c:pt idx="2">
                  <c:v>Procent Jakości</c:v>
                </c:pt>
                <c:pt idx="3">
                  <c:v>Procent Ogólny</c:v>
                </c:pt>
                <c:pt idx="4">
                  <c:v>Procent szkolenia</c:v>
                </c:pt>
              </c:strCache>
            </c:strRef>
          </c:cat>
          <c:val>
            <c:numRef>
              <c:f>'Awarie WORK2'!$Q$2:$U$2</c:f>
              <c:numCache>
                <c:formatCode>0.00</c:formatCode>
                <c:ptCount val="5"/>
                <c:pt idx="0">
                  <c:v>53.887399463806972</c:v>
                </c:pt>
                <c:pt idx="1">
                  <c:v>0.53619302949061665</c:v>
                </c:pt>
                <c:pt idx="2">
                  <c:v>0.26809651474530832</c:v>
                </c:pt>
                <c:pt idx="3">
                  <c:v>17.372654155495979</c:v>
                </c:pt>
                <c:pt idx="4">
                  <c:v>4.0214477211796247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658-B547-6CFE5056BF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stracony na przestoje [h]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F-4154-B6F9-C629C97395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B-46FC-9C57-88E2A1AA57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B-46FC-9C57-88E2A1AA57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B-46FC-9C57-88E2A1AA57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5B-46FC-9C57-88E2A1AA57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WORK2'!$L$3:$P$3</c:f>
              <c:strCache>
                <c:ptCount val="5"/>
                <c:pt idx="0">
                  <c:v>Awarie</c:v>
                </c:pt>
                <c:pt idx="1">
                  <c:v>IT</c:v>
                </c:pt>
                <c:pt idx="2">
                  <c:v>Jakość</c:v>
                </c:pt>
                <c:pt idx="3">
                  <c:v>Ogólne</c:v>
                </c:pt>
                <c:pt idx="4">
                  <c:v>Szkolenia</c:v>
                </c:pt>
              </c:strCache>
            </c:strRef>
          </c:cat>
          <c:val>
            <c:numRef>
              <c:f>'Awarie WORK2'!$L$4:$P$4</c:f>
              <c:numCache>
                <c:formatCode>General</c:formatCode>
                <c:ptCount val="5"/>
                <c:pt idx="0" formatCode="0.00">
                  <c:v>16.75</c:v>
                </c:pt>
                <c:pt idx="1">
                  <c:v>0.16666666666666666</c:v>
                </c:pt>
                <c:pt idx="2" formatCode="0.00">
                  <c:v>8.3333333333333329E-2</c:v>
                </c:pt>
                <c:pt idx="3" formatCode="0.00">
                  <c:v>5.4</c:v>
                </c:pt>
                <c:pt idx="4" formatCode="0.0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F-4154-B6F9-C629C97395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33942581133805"/>
          <c:y val="0.28430122056412938"/>
          <c:w val="0.12114151792731898"/>
          <c:h val="0.4642336774196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 czasu straconego na przestoje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8DF-40CB-962A-2C06F3E2B3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F-4E50-A2A1-3AE7AC3F9A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BF-4E50-A2A1-3AE7AC3F9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BF-4E50-A2A1-3AE7AC3F9A7C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DF-40CB-962A-2C06F3E2B351}"/>
              </c:ext>
            </c:extLst>
          </c:dPt>
          <c:dLbls>
            <c:dLbl>
              <c:idx val="0"/>
              <c:layout>
                <c:manualLayout>
                  <c:x val="-0.16173225717116518"/>
                  <c:y val="-0.18353376144134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DF-40CB-962A-2C06F3E2B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WORK2'!$Q$1:$U$1</c:f>
              <c:strCache>
                <c:ptCount val="5"/>
                <c:pt idx="0">
                  <c:v>Procent awari</c:v>
                </c:pt>
                <c:pt idx="1">
                  <c:v>Procent IT</c:v>
                </c:pt>
                <c:pt idx="2">
                  <c:v>Procent Jakości</c:v>
                </c:pt>
                <c:pt idx="3">
                  <c:v>Procent Ogólny</c:v>
                </c:pt>
                <c:pt idx="4">
                  <c:v>Procent szkolenia</c:v>
                </c:pt>
              </c:strCache>
            </c:strRef>
          </c:cat>
          <c:val>
            <c:numRef>
              <c:f>'Awarie WORK2'!$Q$2:$U$2</c:f>
              <c:numCache>
                <c:formatCode>0.00</c:formatCode>
                <c:ptCount val="5"/>
                <c:pt idx="0">
                  <c:v>53.887399463806972</c:v>
                </c:pt>
                <c:pt idx="1">
                  <c:v>0.53619302949061665</c:v>
                </c:pt>
                <c:pt idx="2">
                  <c:v>0.26809651474530832</c:v>
                </c:pt>
                <c:pt idx="3">
                  <c:v>17.372654155495979</c:v>
                </c:pt>
                <c:pt idx="4">
                  <c:v>4.0214477211796247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7B-4DF8-ADDC-02890C514D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3914873384408"/>
          <c:y val="0.22557719883730915"/>
          <c:w val="0.19017754219174704"/>
          <c:h val="0.46939251246230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Porównanie wskaźników wydajności linii OrbitalX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3241842858615E-2"/>
          <c:y val="5.360120660972157E-2"/>
          <c:w val="0.93557091030700135"/>
          <c:h val="0.77243869600850024"/>
        </c:manualLayout>
      </c:layout>
      <c:lineChart>
        <c:grouping val="standard"/>
        <c:varyColors val="0"/>
        <c:ser>
          <c:idx val="0"/>
          <c:order val="0"/>
          <c:tx>
            <c:strRef>
              <c:f>dashboards!$C$64</c:f>
              <c:strCache>
                <c:ptCount val="1"/>
                <c:pt idx="0">
                  <c:v>% czasu przestoju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0946942414636533E-2"/>
                  <c:y val="1.667473576036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AE-4BDF-920B-E0D6A14D63DF}"/>
                </c:ext>
              </c:extLst>
            </c:dLbl>
            <c:dLbl>
              <c:idx val="9"/>
              <c:layout>
                <c:manualLayout>
                  <c:x val="-5.945199823182379E-3"/>
                  <c:y val="3.1398513060802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AE-4BDF-920B-E0D6A14D63DF}"/>
                </c:ext>
              </c:extLst>
            </c:dLbl>
            <c:dLbl>
              <c:idx val="16"/>
              <c:layout>
                <c:manualLayout>
                  <c:x val="-1.5968635853107326E-2"/>
                  <c:y val="3.8760401711018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E-4BDF-920B-E0D6A14D63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dashboards!$C$65:$C$85</c:f>
              <c:numCache>
                <c:formatCode>0.0</c:formatCode>
                <c:ptCount val="21"/>
                <c:pt idx="0">
                  <c:v>50</c:v>
                </c:pt>
                <c:pt idx="1">
                  <c:v>17.333333333333336</c:v>
                </c:pt>
                <c:pt idx="2">
                  <c:v>4.4444444444444446</c:v>
                </c:pt>
                <c:pt idx="3">
                  <c:v>0</c:v>
                </c:pt>
                <c:pt idx="4">
                  <c:v>0</c:v>
                </c:pt>
                <c:pt idx="5">
                  <c:v>34.222222222222221</c:v>
                </c:pt>
                <c:pt idx="6">
                  <c:v>0</c:v>
                </c:pt>
                <c:pt idx="7">
                  <c:v>0</c:v>
                </c:pt>
                <c:pt idx="8">
                  <c:v>13.333333333333334</c:v>
                </c:pt>
                <c:pt idx="9">
                  <c:v>63.111111111111107</c:v>
                </c:pt>
                <c:pt idx="10">
                  <c:v>58.888888888888893</c:v>
                </c:pt>
                <c:pt idx="11">
                  <c:v>13.555555555555557</c:v>
                </c:pt>
                <c:pt idx="12">
                  <c:v>7.5555555555555554</c:v>
                </c:pt>
                <c:pt idx="13">
                  <c:v>23.555555555555554</c:v>
                </c:pt>
                <c:pt idx="14">
                  <c:v>13.333333333333334</c:v>
                </c:pt>
                <c:pt idx="15">
                  <c:v>6.666666666666667</c:v>
                </c:pt>
                <c:pt idx="16">
                  <c:v>34.444444444444443</c:v>
                </c:pt>
                <c:pt idx="17">
                  <c:v>1.1111111111111112</c:v>
                </c:pt>
                <c:pt idx="18">
                  <c:v>12</c:v>
                </c:pt>
                <c:pt idx="19">
                  <c:v>12.222222222222221</c:v>
                </c:pt>
                <c:pt idx="20">
                  <c:v>10.888888888888888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E-4BDF-920B-E0D6A14D63DF}"/>
            </c:ext>
          </c:extLst>
        </c:ser>
        <c:ser>
          <c:idx val="1"/>
          <c:order val="1"/>
          <c:tx>
            <c:strRef>
              <c:f>dashboards!$D$64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dashboards!$D$65:$D$85</c:f>
              <c:numCache>
                <c:formatCode>0.00</c:formatCode>
                <c:ptCount val="21"/>
                <c:pt idx="0">
                  <c:v>76.890756302521012</c:v>
                </c:pt>
                <c:pt idx="1">
                  <c:v>91.428571428571431</c:v>
                </c:pt>
                <c:pt idx="2">
                  <c:v>96.529284164858993</c:v>
                </c:pt>
                <c:pt idx="3">
                  <c:v>97.552447552447546</c:v>
                </c:pt>
                <c:pt idx="4">
                  <c:v>93.686868686868678</c:v>
                </c:pt>
                <c:pt idx="5">
                  <c:v>91.153846153846146</c:v>
                </c:pt>
                <c:pt idx="6">
                  <c:v>93.872549019607845</c:v>
                </c:pt>
                <c:pt idx="7">
                  <c:v>95.882352941176478</c:v>
                </c:pt>
                <c:pt idx="8">
                  <c:v>92.757660167130922</c:v>
                </c:pt>
                <c:pt idx="9">
                  <c:v>97.002724795640333</c:v>
                </c:pt>
                <c:pt idx="10">
                  <c:v>98.730158730158735</c:v>
                </c:pt>
                <c:pt idx="11">
                  <c:v>99.120879120879124</c:v>
                </c:pt>
                <c:pt idx="12">
                  <c:v>96.498905908096276</c:v>
                </c:pt>
                <c:pt idx="13">
                  <c:v>94.308943089430898</c:v>
                </c:pt>
                <c:pt idx="14">
                  <c:v>92.533936651583716</c:v>
                </c:pt>
                <c:pt idx="15">
                  <c:v>95.964125560538122</c:v>
                </c:pt>
                <c:pt idx="16">
                  <c:v>90.163934426229503</c:v>
                </c:pt>
                <c:pt idx="17">
                  <c:v>94.279176201372991</c:v>
                </c:pt>
                <c:pt idx="18">
                  <c:v>92.643678160919535</c:v>
                </c:pt>
                <c:pt idx="19">
                  <c:v>98.205128205128204</c:v>
                </c:pt>
                <c:pt idx="20">
                  <c:v>94.878048780487802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E-4BDF-920B-E0D6A14D63DF}"/>
            </c:ext>
          </c:extLst>
        </c:ser>
        <c:ser>
          <c:idx val="2"/>
          <c:order val="2"/>
          <c:tx>
            <c:strRef>
              <c:f>dashboards!$E$64</c:f>
              <c:strCache>
                <c:ptCount val="1"/>
                <c:pt idx="0">
                  <c:v>Wszystkie zmontowane / CEL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dashboards!$E$65:$E$85</c:f>
              <c:numCache>
                <c:formatCode>0.0</c:formatCode>
                <c:ptCount val="21"/>
                <c:pt idx="0">
                  <c:v>50.773333333333341</c:v>
                </c:pt>
                <c:pt idx="1">
                  <c:v>61.707988980716252</c:v>
                </c:pt>
                <c:pt idx="2">
                  <c:v>98.346666666666664</c:v>
                </c:pt>
                <c:pt idx="3">
                  <c:v>61.013333333333328</c:v>
                </c:pt>
                <c:pt idx="4">
                  <c:v>84.48</c:v>
                </c:pt>
                <c:pt idx="5">
                  <c:v>75.090252707581229</c:v>
                </c:pt>
                <c:pt idx="6">
                  <c:v>90.165745856353595</c:v>
                </c:pt>
                <c:pt idx="7">
                  <c:v>45.033112582781456</c:v>
                </c:pt>
                <c:pt idx="8">
                  <c:v>76.586666666666673</c:v>
                </c:pt>
                <c:pt idx="9">
                  <c:v>78.293333333333337</c:v>
                </c:pt>
                <c:pt idx="10">
                  <c:v>67.2</c:v>
                </c:pt>
                <c:pt idx="11">
                  <c:v>97.066666666666663</c:v>
                </c:pt>
                <c:pt idx="12">
                  <c:v>97.493333333333325</c:v>
                </c:pt>
                <c:pt idx="13">
                  <c:v>78.72</c:v>
                </c:pt>
                <c:pt idx="14">
                  <c:v>94.293333333333322</c:v>
                </c:pt>
                <c:pt idx="15">
                  <c:v>95.146666666666675</c:v>
                </c:pt>
                <c:pt idx="16">
                  <c:v>78.08</c:v>
                </c:pt>
                <c:pt idx="17">
                  <c:v>93.226666666666674</c:v>
                </c:pt>
                <c:pt idx="18">
                  <c:v>92.800000000000011</c:v>
                </c:pt>
                <c:pt idx="19">
                  <c:v>83.2</c:v>
                </c:pt>
                <c:pt idx="20">
                  <c:v>87.466666666666669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E-4BDF-920B-E0D6A14D63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4565552"/>
        <c:axId val="764565912"/>
      </c:lineChart>
      <c:catAx>
        <c:axId val="7645655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65912"/>
        <c:crosses val="autoZero"/>
        <c:auto val="1"/>
        <c:lblAlgn val="ctr"/>
        <c:lblOffset val="100"/>
        <c:noMultiLvlLbl val="0"/>
      </c:catAx>
      <c:valAx>
        <c:axId val="76456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Wartość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6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224661</xdr:colOff>
      <xdr:row>23</xdr:row>
      <xdr:rowOff>153889</xdr:rowOff>
    </xdr:from>
    <xdr:to>
      <xdr:col>23</xdr:col>
      <xdr:colOff>781065</xdr:colOff>
      <xdr:row>47</xdr:row>
      <xdr:rowOff>18298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71755-17D0-E601-B947-85645F51C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458834</xdr:colOff>
      <xdr:row>6</xdr:row>
      <xdr:rowOff>4489</xdr:rowOff>
    </xdr:from>
    <xdr:to>
      <xdr:col>14</xdr:col>
      <xdr:colOff>939166</xdr:colOff>
      <xdr:row>21</xdr:row>
      <xdr:rowOff>36874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AF52E-C86A-5BE0-0F8B-50F72D679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23677</xdr:colOff>
      <xdr:row>6</xdr:row>
      <xdr:rowOff>56197</xdr:rowOff>
    </xdr:from>
    <xdr:to>
      <xdr:col>22</xdr:col>
      <xdr:colOff>326027</xdr:colOff>
      <xdr:row>27</xdr:row>
      <xdr:rowOff>10069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AE0CE-F38F-487D-6B57-8EA272894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563840</xdr:colOff>
      <xdr:row>1</xdr:row>
      <xdr:rowOff>163523</xdr:rowOff>
    </xdr:from>
    <xdr:to>
      <xdr:col>36</xdr:col>
      <xdr:colOff>189216</xdr:colOff>
      <xdr:row>31</xdr:row>
      <xdr:rowOff>150637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DF91E-1077-423D-AD10-4933BBAFB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133348</xdr:rowOff>
    </xdr:from>
    <xdr:to>
      <xdr:col>23</xdr:col>
      <xdr:colOff>203368</xdr:colOff>
      <xdr:row>52</xdr:row>
      <xdr:rowOff>93517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82575-9346-2B1A-1450-5F702DCDD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7395-167F-4494-9963-5FD68699F15C}">
  <dimension ref="A1:AG7073"/>
  <sheetViews>
    <sheetView zoomScale="85" zoomScaleNormal="85" workbookViewId="0">
      <selection activeCell="M2" sqref="M2:M22"/>
    </sheetView>
  </sheetViews>
  <sheetFormatPr defaultRowHeight="14.4"/>
  <cols>
    <col min="2" max="2" width="26.109375" customWidth="1"/>
    <col min="6" max="8" width="17.6640625" style="67" customWidth="1"/>
    <col min="9" max="9" width="16.5546875" style="67" customWidth="1"/>
    <col min="10" max="10" width="8.88671875" style="67"/>
    <col min="12" max="13" width="13.77734375" customWidth="1"/>
    <col min="15" max="16" width="15.109375" customWidth="1"/>
    <col min="17" max="17" width="19" customWidth="1"/>
    <col min="18" max="19" width="15.109375" customWidth="1"/>
    <col min="20" max="20" width="27.109375" customWidth="1"/>
    <col min="21" max="21" width="13.44140625" customWidth="1"/>
    <col min="22" max="22" width="17.5546875" customWidth="1"/>
    <col min="24" max="27" width="16.6640625" customWidth="1"/>
    <col min="28" max="28" width="17" customWidth="1"/>
    <col min="29" max="29" width="26.6640625" customWidth="1"/>
    <col min="30" max="30" width="37.5546875" customWidth="1"/>
    <col min="31" max="32" width="30.88671875" customWidth="1"/>
    <col min="33" max="33" width="15.5546875" customWidth="1"/>
  </cols>
  <sheetData>
    <row r="1" spans="1:33" ht="34.799999999999997" customHeight="1" thickBot="1">
      <c r="A1" t="s">
        <v>3067</v>
      </c>
      <c r="B1" s="3" t="s">
        <v>3091</v>
      </c>
      <c r="C1" s="4"/>
      <c r="D1" s="5"/>
      <c r="E1" s="5"/>
      <c r="F1" t="s">
        <v>3027</v>
      </c>
      <c r="G1" t="s">
        <v>3028</v>
      </c>
      <c r="H1" t="s">
        <v>3029</v>
      </c>
      <c r="I1" t="s">
        <v>3118</v>
      </c>
      <c r="J1" t="s">
        <v>3030</v>
      </c>
      <c r="K1" s="22"/>
      <c r="L1" s="18"/>
      <c r="M1" s="18"/>
      <c r="N1" s="18"/>
      <c r="O1" s="18" t="s">
        <v>3068</v>
      </c>
      <c r="P1" s="18" t="s">
        <v>3066</v>
      </c>
      <c r="Q1" s="30" t="s">
        <v>3087</v>
      </c>
      <c r="R1" s="18"/>
      <c r="S1" s="18" t="s">
        <v>3083</v>
      </c>
      <c r="T1" s="18" t="s">
        <v>3084</v>
      </c>
      <c r="U1" s="18" t="s">
        <v>3085</v>
      </c>
      <c r="V1" s="30" t="s">
        <v>3086</v>
      </c>
      <c r="AA1" s="18"/>
      <c r="AB1" s="18"/>
      <c r="AG1" s="18"/>
    </row>
    <row r="2" spans="1:33">
      <c r="A2">
        <v>1</v>
      </c>
      <c r="B2" s="6">
        <v>42421</v>
      </c>
      <c r="C2" s="7">
        <v>0</v>
      </c>
      <c r="D2" s="8">
        <v>4</v>
      </c>
      <c r="E2" s="9" t="s">
        <v>3032</v>
      </c>
      <c r="F2">
        <f>40*0.75</f>
        <v>30</v>
      </c>
      <c r="G2">
        <v>27</v>
      </c>
      <c r="H2">
        <v>2</v>
      </c>
      <c r="I2">
        <v>29</v>
      </c>
      <c r="J2" s="67">
        <v>3</v>
      </c>
      <c r="L2" s="19"/>
      <c r="M2" s="19" t="s">
        <v>3119</v>
      </c>
      <c r="N2">
        <v>1</v>
      </c>
      <c r="P2" s="24">
        <f ca="1">(T2/V2)*100</f>
        <v>92.700729927007302</v>
      </c>
      <c r="Q2" s="24">
        <f ca="1">(V2/S2)*100</f>
        <v>57.083333333333329</v>
      </c>
      <c r="R2" s="24"/>
      <c r="S2" s="24">
        <f ca="1">SUM(OFFSET('zejscia WORK 2'!$F$2, (ROW()-2)*8, 0, 8, 1))</f>
        <v>240</v>
      </c>
      <c r="T2">
        <f ca="1">SUM(OFFSET('zejscia WORK 2'!$G$2, (ROW()-2)*8, 0, 8, 1))</f>
        <v>127</v>
      </c>
      <c r="U2">
        <f ca="1">SUM(OFFSET('zejscia WORK 2'!$H$2, (ROW()-2)*8, 0, 8, 1))</f>
        <v>10</v>
      </c>
      <c r="V2">
        <f ca="1">SUM(OFFSET('zejscia WORK 2'!$I$2, (ROW()-2)*8, 0, 8, 1))</f>
        <v>137</v>
      </c>
      <c r="AB2" s="24"/>
      <c r="AG2" s="23"/>
    </row>
    <row r="3" spans="1:33">
      <c r="A3">
        <v>2</v>
      </c>
      <c r="B3" s="10">
        <v>42421</v>
      </c>
      <c r="C3" s="11">
        <v>0</v>
      </c>
      <c r="D3" s="12">
        <v>4</v>
      </c>
      <c r="E3" s="13" t="s">
        <v>3032</v>
      </c>
      <c r="F3">
        <f t="shared" ref="F3:F66" si="0">40*0.75</f>
        <v>30</v>
      </c>
      <c r="G3">
        <v>21</v>
      </c>
      <c r="H3">
        <v>1</v>
      </c>
      <c r="I3">
        <v>22</v>
      </c>
      <c r="J3" s="67">
        <v>9</v>
      </c>
      <c r="L3" s="19"/>
      <c r="M3" s="19" t="s">
        <v>3120</v>
      </c>
      <c r="N3">
        <v>2</v>
      </c>
      <c r="P3" s="24">
        <f t="shared" ref="P3:P22" ca="1" si="1">(T3/V3)*100</f>
        <v>92.543859649122808</v>
      </c>
      <c r="Q3" s="24">
        <f t="shared" ref="Q3:Q22" ca="1" si="2">(V3/S3)*100</f>
        <v>95</v>
      </c>
      <c r="R3" s="24"/>
      <c r="S3" s="24">
        <f ca="1">SUM(OFFSET('zejscia WORK 2'!$F$2, (ROW()-2)*8, 0, 8, 1))</f>
        <v>240</v>
      </c>
      <c r="T3">
        <f ca="1">SUM(OFFSET('zejscia WORK 2'!$G$2, (ROW()-2)*8, 0, 8, 1))</f>
        <v>211</v>
      </c>
      <c r="U3">
        <f ca="1">SUM(OFFSET('zejscia WORK 2'!$H$2, (ROW()-2)*8, 0, 8, 1))</f>
        <v>17</v>
      </c>
      <c r="V3">
        <f ca="1">SUM(OFFSET('zejscia WORK 2'!$I$2, (ROW()-2)*8, 0, 8, 1))</f>
        <v>228</v>
      </c>
      <c r="AB3" s="24"/>
      <c r="AG3" s="23"/>
    </row>
    <row r="4" spans="1:33">
      <c r="A4">
        <v>3</v>
      </c>
      <c r="B4" s="10">
        <v>42421</v>
      </c>
      <c r="C4" s="11">
        <v>0</v>
      </c>
      <c r="D4" s="12">
        <v>4</v>
      </c>
      <c r="E4" s="13" t="s">
        <v>3032</v>
      </c>
      <c r="F4">
        <f t="shared" si="0"/>
        <v>30</v>
      </c>
      <c r="G4">
        <v>15</v>
      </c>
      <c r="H4">
        <v>2</v>
      </c>
      <c r="I4">
        <v>17</v>
      </c>
      <c r="J4" s="67">
        <v>15</v>
      </c>
      <c r="L4" s="19"/>
      <c r="M4" s="19" t="s">
        <v>3121</v>
      </c>
      <c r="N4">
        <v>3</v>
      </c>
      <c r="P4" s="24">
        <f t="shared" ca="1" si="1"/>
        <v>93.388429752066116</v>
      </c>
      <c r="Q4" s="24">
        <f t="shared" ca="1" si="2"/>
        <v>100.83333333333333</v>
      </c>
      <c r="R4" s="24"/>
      <c r="S4" s="24">
        <f ca="1">SUM(OFFSET('zejscia WORK 2'!$F$2, (ROW()-2)*8, 0, 8, 1))</f>
        <v>240</v>
      </c>
      <c r="T4">
        <f ca="1">SUM(OFFSET('zejscia WORK 2'!$G$2, (ROW()-2)*8, 0, 8, 1))</f>
        <v>226</v>
      </c>
      <c r="U4">
        <f ca="1">SUM(OFFSET('zejscia WORK 2'!$H$2, (ROW()-2)*8, 0, 8, 1))</f>
        <v>16</v>
      </c>
      <c r="V4">
        <f ca="1">SUM(OFFSET('zejscia WORK 2'!$I$2, (ROW()-2)*8, 0, 8, 1))</f>
        <v>242</v>
      </c>
      <c r="AB4" s="24"/>
      <c r="AG4" s="23"/>
    </row>
    <row r="5" spans="1:33">
      <c r="A5">
        <v>4</v>
      </c>
      <c r="B5" s="10">
        <v>42421</v>
      </c>
      <c r="C5" s="11">
        <v>0</v>
      </c>
      <c r="D5" s="12">
        <v>4</v>
      </c>
      <c r="E5" s="13" t="s">
        <v>3032</v>
      </c>
      <c r="F5">
        <f t="shared" si="0"/>
        <v>30</v>
      </c>
      <c r="G5">
        <v>7</v>
      </c>
      <c r="H5">
        <v>2</v>
      </c>
      <c r="I5">
        <v>9</v>
      </c>
      <c r="J5" s="67">
        <v>23</v>
      </c>
      <c r="L5" s="19"/>
      <c r="M5" s="19" t="s">
        <v>3122</v>
      </c>
      <c r="N5">
        <v>1</v>
      </c>
      <c r="P5" s="24">
        <f t="shared" ca="1" si="1"/>
        <v>91.880341880341874</v>
      </c>
      <c r="Q5" s="24">
        <f t="shared" ca="1" si="2"/>
        <v>97.5</v>
      </c>
      <c r="R5" s="24"/>
      <c r="S5" s="24">
        <f ca="1">SUM(OFFSET('zejscia WORK 2'!$F$2, (ROW()-2)*8, 0, 8, 1))</f>
        <v>240</v>
      </c>
      <c r="T5">
        <f ca="1">SUM(OFFSET('zejscia WORK 2'!$G$2, (ROW()-2)*8, 0, 8, 1))</f>
        <v>215</v>
      </c>
      <c r="U5">
        <f ca="1">SUM(OFFSET('zejscia WORK 2'!$H$2, (ROW()-2)*8, 0, 8, 1))</f>
        <v>19</v>
      </c>
      <c r="V5">
        <f ca="1">SUM(OFFSET('zejscia WORK 2'!$I$2, (ROW()-2)*8, 0, 8, 1))</f>
        <v>234</v>
      </c>
      <c r="AB5" s="24"/>
      <c r="AG5" s="23"/>
    </row>
    <row r="6" spans="1:33">
      <c r="A6">
        <v>5</v>
      </c>
      <c r="B6" s="10">
        <v>42421</v>
      </c>
      <c r="C6" s="11">
        <v>0</v>
      </c>
      <c r="D6" s="12">
        <v>4</v>
      </c>
      <c r="E6" s="13" t="s">
        <v>3032</v>
      </c>
      <c r="F6">
        <f t="shared" si="0"/>
        <v>30</v>
      </c>
      <c r="G6">
        <v>15</v>
      </c>
      <c r="H6">
        <v>1</v>
      </c>
      <c r="I6">
        <v>16</v>
      </c>
      <c r="J6" s="67">
        <v>15</v>
      </c>
      <c r="L6" s="19"/>
      <c r="M6" s="19" t="s">
        <v>3123</v>
      </c>
      <c r="N6">
        <v>2</v>
      </c>
      <c r="P6" s="24">
        <f t="shared" ca="1" si="1"/>
        <v>95.121951219512198</v>
      </c>
      <c r="Q6" s="24">
        <f t="shared" ca="1" si="2"/>
        <v>17.083333333333332</v>
      </c>
      <c r="R6" s="24"/>
      <c r="S6" s="24">
        <f ca="1">SUM(OFFSET('zejscia WORK 2'!$F$2, (ROW()-2)*8, 0, 8, 1))</f>
        <v>240</v>
      </c>
      <c r="T6">
        <f ca="1">SUM(OFFSET('zejscia WORK 2'!$G$2, (ROW()-2)*8, 0, 8, 1))</f>
        <v>39</v>
      </c>
      <c r="U6">
        <f ca="1">SUM(OFFSET('zejscia WORK 2'!$H$2, (ROW()-2)*8, 0, 8, 1))</f>
        <v>2</v>
      </c>
      <c r="V6">
        <f ca="1">SUM(OFFSET('zejscia WORK 2'!$I$2, (ROW()-2)*8, 0, 8, 1))</f>
        <v>41</v>
      </c>
      <c r="AB6" s="24"/>
      <c r="AG6" s="23"/>
    </row>
    <row r="7" spans="1:33">
      <c r="A7">
        <v>6</v>
      </c>
      <c r="B7" s="10">
        <v>42421</v>
      </c>
      <c r="C7" s="11">
        <v>0</v>
      </c>
      <c r="D7" s="12">
        <v>4</v>
      </c>
      <c r="E7" s="13" t="s">
        <v>3032</v>
      </c>
      <c r="F7">
        <f t="shared" si="0"/>
        <v>30</v>
      </c>
      <c r="G7">
        <v>8</v>
      </c>
      <c r="H7">
        <v>0</v>
      </c>
      <c r="I7">
        <v>8</v>
      </c>
      <c r="J7" s="67">
        <v>22</v>
      </c>
      <c r="L7" s="19"/>
      <c r="M7" s="19" t="s">
        <v>3124</v>
      </c>
      <c r="N7">
        <v>3</v>
      </c>
      <c r="P7" s="24">
        <f t="shared" ca="1" si="1"/>
        <v>94.623655913978496</v>
      </c>
      <c r="Q7" s="24">
        <f t="shared" ca="1" si="2"/>
        <v>38.75</v>
      </c>
      <c r="R7" s="24"/>
      <c r="S7" s="24">
        <f ca="1">SUM(OFFSET('zejscia WORK 2'!$F$2, (ROW()-2)*8, 0, 8, 1))</f>
        <v>240</v>
      </c>
      <c r="T7">
        <f ca="1">SUM(OFFSET('zejscia WORK 2'!$G$2, (ROW()-2)*8, 0, 8, 1))</f>
        <v>88</v>
      </c>
      <c r="U7">
        <f ca="1">SUM(OFFSET('zejscia WORK 2'!$H$2, (ROW()-2)*8, 0, 8, 1))</f>
        <v>5</v>
      </c>
      <c r="V7">
        <f ca="1">SUM(OFFSET('zejscia WORK 2'!$I$2, (ROW()-2)*8, 0, 8, 1))</f>
        <v>93</v>
      </c>
      <c r="AB7" s="24"/>
      <c r="AG7" s="23"/>
    </row>
    <row r="8" spans="1:33">
      <c r="A8">
        <v>7</v>
      </c>
      <c r="B8" s="10">
        <v>42421</v>
      </c>
      <c r="C8" s="11">
        <v>0</v>
      </c>
      <c r="D8" s="12">
        <v>4</v>
      </c>
      <c r="E8" s="13" t="s">
        <v>3032</v>
      </c>
      <c r="F8">
        <f t="shared" si="0"/>
        <v>30</v>
      </c>
      <c r="G8">
        <v>11</v>
      </c>
      <c r="H8">
        <v>0</v>
      </c>
      <c r="I8">
        <v>11</v>
      </c>
      <c r="J8" s="67">
        <v>19</v>
      </c>
      <c r="L8" s="19"/>
      <c r="M8" s="19" t="s">
        <v>3125</v>
      </c>
      <c r="N8">
        <v>1</v>
      </c>
      <c r="P8" s="24">
        <f t="shared" ca="1" si="1"/>
        <v>94.360902255639104</v>
      </c>
      <c r="Q8" s="24">
        <f t="shared" ca="1" si="2"/>
        <v>110.83333333333334</v>
      </c>
      <c r="R8" s="24"/>
      <c r="S8" s="24">
        <f ca="1">SUM(OFFSET('zejscia WORK 2'!$F$2, (ROW()-2)*8, 0, 8, 1))</f>
        <v>240</v>
      </c>
      <c r="T8">
        <f ca="1">SUM(OFFSET('zejscia WORK 2'!$G$2, (ROW()-2)*8, 0, 8, 1))</f>
        <v>251</v>
      </c>
      <c r="U8">
        <f ca="1">SUM(OFFSET('zejscia WORK 2'!$H$2, (ROW()-2)*8, 0, 8, 1))</f>
        <v>15</v>
      </c>
      <c r="V8">
        <f ca="1">SUM(OFFSET('zejscia WORK 2'!$I$2, (ROW()-2)*8, 0, 8, 1))</f>
        <v>266</v>
      </c>
      <c r="AB8" s="24"/>
      <c r="AG8" s="23"/>
    </row>
    <row r="9" spans="1:33" ht="15" thickBot="1">
      <c r="A9">
        <v>8</v>
      </c>
      <c r="B9" s="14">
        <v>42421</v>
      </c>
      <c r="C9" s="15">
        <v>0</v>
      </c>
      <c r="D9" s="16">
        <v>4</v>
      </c>
      <c r="E9" s="17" t="s">
        <v>3032</v>
      </c>
      <c r="F9">
        <f t="shared" si="0"/>
        <v>30</v>
      </c>
      <c r="G9">
        <v>23</v>
      </c>
      <c r="H9">
        <v>2</v>
      </c>
      <c r="I9">
        <v>25</v>
      </c>
      <c r="J9" s="67">
        <v>7</v>
      </c>
      <c r="L9" s="19"/>
      <c r="M9" s="19" t="s">
        <v>3126</v>
      </c>
      <c r="N9">
        <v>2</v>
      </c>
      <c r="P9" s="24">
        <f t="shared" ca="1" si="1"/>
        <v>93.488372093023258</v>
      </c>
      <c r="Q9" s="24">
        <f t="shared" ca="1" si="2"/>
        <v>89.583333333333343</v>
      </c>
      <c r="R9" s="24"/>
      <c r="S9" s="24">
        <f ca="1">SUM(OFFSET('zejscia WORK 2'!$F$2, (ROW()-2)*8, 0, 8, 1))</f>
        <v>240</v>
      </c>
      <c r="T9">
        <f ca="1">SUM(OFFSET('zejscia WORK 2'!$G$2, (ROW()-2)*8, 0, 8, 1))</f>
        <v>201</v>
      </c>
      <c r="U9">
        <f ca="1">SUM(OFFSET('zejscia WORK 2'!$H$2, (ROW()-2)*8, 0, 8, 1))</f>
        <v>14</v>
      </c>
      <c r="V9">
        <f ca="1">SUM(OFFSET('zejscia WORK 2'!$I$2, (ROW()-2)*8, 0, 8, 1))</f>
        <v>215</v>
      </c>
      <c r="AB9" s="24"/>
      <c r="AG9" s="23"/>
    </row>
    <row r="10" spans="1:33">
      <c r="A10">
        <v>9</v>
      </c>
      <c r="B10" s="6">
        <v>42421.62</v>
      </c>
      <c r="C10" s="7">
        <v>0.62</v>
      </c>
      <c r="D10" s="8">
        <v>4</v>
      </c>
      <c r="E10" s="9" t="s">
        <v>3041</v>
      </c>
      <c r="F10">
        <f t="shared" si="0"/>
        <v>30</v>
      </c>
      <c r="G10">
        <v>21</v>
      </c>
      <c r="H10">
        <v>2</v>
      </c>
      <c r="I10">
        <v>23</v>
      </c>
      <c r="J10" s="67">
        <v>9</v>
      </c>
      <c r="L10" s="19"/>
      <c r="M10" s="19" t="s">
        <v>3127</v>
      </c>
      <c r="N10">
        <v>3</v>
      </c>
      <c r="P10" s="24">
        <f t="shared" ca="1" si="1"/>
        <v>88.571428571428569</v>
      </c>
      <c r="Q10" s="24">
        <f t="shared" ca="1" si="2"/>
        <v>72.916666666666657</v>
      </c>
      <c r="R10" s="24"/>
      <c r="S10" s="24">
        <f ca="1">SUM(OFFSET('zejscia WORK 2'!$F$2, (ROW()-2)*8, 0, 8, 1))</f>
        <v>240</v>
      </c>
      <c r="T10">
        <f ca="1">SUM(OFFSET('zejscia WORK 2'!$G$2, (ROW()-2)*8, 0, 8, 1))</f>
        <v>155</v>
      </c>
      <c r="U10">
        <f ca="1">SUM(OFFSET('zejscia WORK 2'!$H$2, (ROW()-2)*8, 0, 8, 1))</f>
        <v>20</v>
      </c>
      <c r="V10">
        <f ca="1">SUM(OFFSET('zejscia WORK 2'!$I$2, (ROW()-2)*8, 0, 8, 1))</f>
        <v>175</v>
      </c>
      <c r="AB10" s="24"/>
      <c r="AG10" s="23"/>
    </row>
    <row r="11" spans="1:33">
      <c r="A11">
        <v>10</v>
      </c>
      <c r="B11" s="10">
        <v>42421.608877314815</v>
      </c>
      <c r="C11" s="11">
        <v>0.60887731481481477</v>
      </c>
      <c r="D11" s="12">
        <v>4</v>
      </c>
      <c r="E11" s="13" t="s">
        <v>3041</v>
      </c>
      <c r="F11">
        <f t="shared" si="0"/>
        <v>30</v>
      </c>
      <c r="G11">
        <v>36</v>
      </c>
      <c r="H11">
        <v>2</v>
      </c>
      <c r="I11">
        <v>38</v>
      </c>
      <c r="J11" s="67">
        <v>-6</v>
      </c>
      <c r="L11" s="19"/>
      <c r="M11" s="19" t="s">
        <v>3128</v>
      </c>
      <c r="N11">
        <v>1</v>
      </c>
      <c r="P11" s="24">
        <f t="shared" ca="1" si="1"/>
        <v>92.405063291139243</v>
      </c>
      <c r="Q11" s="24">
        <f t="shared" ca="1" si="2"/>
        <v>98.75</v>
      </c>
      <c r="R11" s="24"/>
      <c r="S11" s="24">
        <f ca="1">SUM(OFFSET('zejscia WORK 2'!$F$2, (ROW()-2)*8, 0, 8, 1))</f>
        <v>240</v>
      </c>
      <c r="T11">
        <f ca="1">SUM(OFFSET('zejscia WORK 2'!$G$2, (ROW()-2)*8, 0, 8, 1))</f>
        <v>219</v>
      </c>
      <c r="U11">
        <f ca="1">SUM(OFFSET('zejscia WORK 2'!$H$2, (ROW()-2)*8, 0, 8, 1))</f>
        <v>18</v>
      </c>
      <c r="V11">
        <f ca="1">SUM(OFFSET('zejscia WORK 2'!$I$2, (ROW()-2)*8, 0, 8, 1))</f>
        <v>237</v>
      </c>
      <c r="AB11" s="24"/>
      <c r="AG11" s="23"/>
    </row>
    <row r="12" spans="1:33">
      <c r="A12">
        <v>11</v>
      </c>
      <c r="B12" s="10">
        <v>42421.625011574077</v>
      </c>
      <c r="C12" s="11">
        <v>0.62501157407407404</v>
      </c>
      <c r="D12" s="12">
        <v>4</v>
      </c>
      <c r="E12" s="13" t="s">
        <v>3041</v>
      </c>
      <c r="F12">
        <f t="shared" si="0"/>
        <v>30</v>
      </c>
      <c r="G12">
        <v>21</v>
      </c>
      <c r="H12">
        <v>4</v>
      </c>
      <c r="I12">
        <v>25</v>
      </c>
      <c r="J12" s="67">
        <v>9</v>
      </c>
      <c r="L12" s="19"/>
      <c r="M12" s="19" t="s">
        <v>3129</v>
      </c>
      <c r="N12">
        <v>2</v>
      </c>
      <c r="P12" s="24">
        <f t="shared" ca="1" si="1"/>
        <v>90.526315789473685</v>
      </c>
      <c r="Q12" s="24">
        <f t="shared" ca="1" si="2"/>
        <v>39.583333333333329</v>
      </c>
      <c r="R12" s="24"/>
      <c r="S12" s="24">
        <f ca="1">SUM(OFFSET('zejscia WORK 2'!$F$2, (ROW()-2)*8, 0, 8, 1))</f>
        <v>240</v>
      </c>
      <c r="T12">
        <f ca="1">SUM(OFFSET('zejscia WORK 2'!$G$2, (ROW()-2)*8, 0, 8, 1))</f>
        <v>86</v>
      </c>
      <c r="U12">
        <f ca="1">SUM(OFFSET('zejscia WORK 2'!$H$2, (ROW()-2)*8, 0, 8, 1))</f>
        <v>9</v>
      </c>
      <c r="V12">
        <f ca="1">SUM(OFFSET('zejscia WORK 2'!$I$2, (ROW()-2)*8, 0, 8, 1))</f>
        <v>95</v>
      </c>
      <c r="AB12" s="24"/>
      <c r="AG12" s="23"/>
    </row>
    <row r="13" spans="1:33">
      <c r="A13">
        <v>12</v>
      </c>
      <c r="B13" s="10">
        <v>42421.645729166667</v>
      </c>
      <c r="C13" s="11">
        <v>0.64572916666666669</v>
      </c>
      <c r="D13" s="12">
        <v>4</v>
      </c>
      <c r="E13" s="13" t="s">
        <v>3041</v>
      </c>
      <c r="F13">
        <f t="shared" si="0"/>
        <v>30</v>
      </c>
      <c r="G13">
        <v>13</v>
      </c>
      <c r="H13">
        <v>3</v>
      </c>
      <c r="I13">
        <v>16</v>
      </c>
      <c r="J13" s="67">
        <v>17</v>
      </c>
      <c r="L13" s="19"/>
      <c r="M13" s="19" t="s">
        <v>3130</v>
      </c>
      <c r="N13">
        <v>3</v>
      </c>
      <c r="P13" s="24">
        <f t="shared" ca="1" si="1"/>
        <v>95.020746887966794</v>
      </c>
      <c r="Q13" s="24">
        <f t="shared" ca="1" si="2"/>
        <v>100.41666666666667</v>
      </c>
      <c r="R13" s="24"/>
      <c r="S13" s="24">
        <f ca="1">SUM(OFFSET('zejscia WORK 2'!$F$2, (ROW()-2)*8, 0, 8, 1))</f>
        <v>240</v>
      </c>
      <c r="T13">
        <f ca="1">SUM(OFFSET('zejscia WORK 2'!$G$2, (ROW()-2)*8, 0, 8, 1))</f>
        <v>229</v>
      </c>
      <c r="U13">
        <f ca="1">SUM(OFFSET('zejscia WORK 2'!$H$2, (ROW()-2)*8, 0, 8, 1))</f>
        <v>12</v>
      </c>
      <c r="V13">
        <f ca="1">SUM(OFFSET('zejscia WORK 2'!$I$2, (ROW()-2)*8, 0, 8, 1))</f>
        <v>241</v>
      </c>
      <c r="AB13" s="24"/>
      <c r="AG13" s="23"/>
    </row>
    <row r="14" spans="1:33">
      <c r="A14">
        <v>13</v>
      </c>
      <c r="B14" s="10">
        <v>42421.617372685185</v>
      </c>
      <c r="C14" s="11">
        <v>0.61737268518518518</v>
      </c>
      <c r="D14" s="12">
        <v>4</v>
      </c>
      <c r="E14" s="13" t="s">
        <v>3041</v>
      </c>
      <c r="F14">
        <f t="shared" si="0"/>
        <v>30</v>
      </c>
      <c r="G14">
        <v>25</v>
      </c>
      <c r="H14">
        <v>2</v>
      </c>
      <c r="I14">
        <v>27</v>
      </c>
      <c r="J14" s="67">
        <v>5</v>
      </c>
      <c r="L14" s="19"/>
      <c r="M14" s="19" t="s">
        <v>3131</v>
      </c>
      <c r="N14">
        <v>1</v>
      </c>
      <c r="P14" s="24">
        <f t="shared" ca="1" si="1"/>
        <v>94.977168949771681</v>
      </c>
      <c r="Q14" s="24">
        <f t="shared" ca="1" si="2"/>
        <v>91.25</v>
      </c>
      <c r="R14" s="24"/>
      <c r="S14" s="24">
        <f ca="1">SUM(OFFSET('zejscia WORK 2'!$F$2, (ROW()-2)*8, 0, 8, 1))</f>
        <v>240</v>
      </c>
      <c r="T14">
        <f ca="1">SUM(OFFSET('zejscia WORK 2'!$G$2, (ROW()-2)*8, 0, 8, 1))</f>
        <v>208</v>
      </c>
      <c r="U14">
        <f ca="1">SUM(OFFSET('zejscia WORK 2'!$H$2, (ROW()-2)*8, 0, 8, 1))</f>
        <v>11</v>
      </c>
      <c r="V14">
        <f ca="1">SUM(OFFSET('zejscia WORK 2'!$I$2, (ROW()-2)*8, 0, 8, 1))</f>
        <v>219</v>
      </c>
      <c r="AB14" s="24"/>
      <c r="AG14" s="23"/>
    </row>
    <row r="15" spans="1:33">
      <c r="A15">
        <v>14</v>
      </c>
      <c r="B15" s="10">
        <v>42421.617326388892</v>
      </c>
      <c r="C15" s="11">
        <v>0.61732638888888891</v>
      </c>
      <c r="D15" s="12">
        <v>4</v>
      </c>
      <c r="E15" s="13" t="s">
        <v>3041</v>
      </c>
      <c r="F15">
        <f t="shared" si="0"/>
        <v>30</v>
      </c>
      <c r="G15">
        <v>35</v>
      </c>
      <c r="H15">
        <v>2</v>
      </c>
      <c r="I15">
        <v>37</v>
      </c>
      <c r="J15" s="67">
        <v>-5</v>
      </c>
      <c r="L15" s="19"/>
      <c r="M15" s="19" t="s">
        <v>3132</v>
      </c>
      <c r="N15">
        <v>2</v>
      </c>
      <c r="P15" s="24">
        <f t="shared" ca="1" si="1"/>
        <v>92.712550607287454</v>
      </c>
      <c r="Q15" s="24">
        <f t="shared" ca="1" si="2"/>
        <v>102.91666666666666</v>
      </c>
      <c r="R15" s="24"/>
      <c r="S15" s="24">
        <f ca="1">SUM(OFFSET('zejscia WORK 2'!$F$2, (ROW()-2)*8, 0, 8, 1))</f>
        <v>240</v>
      </c>
      <c r="T15">
        <f ca="1">SUM(OFFSET('zejscia WORK 2'!$G$2, (ROW()-2)*8, 0, 8, 1))</f>
        <v>229</v>
      </c>
      <c r="U15">
        <f ca="1">SUM(OFFSET('zejscia WORK 2'!$H$2, (ROW()-2)*8, 0, 8, 1))</f>
        <v>18</v>
      </c>
      <c r="V15">
        <f ca="1">SUM(OFFSET('zejscia WORK 2'!$I$2, (ROW()-2)*8, 0, 8, 1))</f>
        <v>247</v>
      </c>
      <c r="AB15" s="24"/>
      <c r="AG15" s="23"/>
    </row>
    <row r="16" spans="1:33">
      <c r="A16">
        <v>15</v>
      </c>
      <c r="B16" s="10">
        <v>42421</v>
      </c>
      <c r="C16" s="11">
        <v>0</v>
      </c>
      <c r="D16" s="12">
        <v>4</v>
      </c>
      <c r="E16" s="13" t="s">
        <v>3041</v>
      </c>
      <c r="F16">
        <f t="shared" si="0"/>
        <v>30</v>
      </c>
      <c r="G16">
        <v>34</v>
      </c>
      <c r="H16">
        <v>0</v>
      </c>
      <c r="I16">
        <v>34</v>
      </c>
      <c r="J16" s="67">
        <v>-4</v>
      </c>
      <c r="L16" s="19"/>
      <c r="M16" s="19" t="s">
        <v>3133</v>
      </c>
      <c r="N16">
        <v>3</v>
      </c>
      <c r="P16" s="24">
        <f t="shared" ca="1" si="1"/>
        <v>94.711538461538453</v>
      </c>
      <c r="Q16" s="24">
        <f t="shared" ca="1" si="2"/>
        <v>86.666666666666671</v>
      </c>
      <c r="R16" s="24"/>
      <c r="S16" s="24">
        <f ca="1">SUM(OFFSET('zejscia WORK 2'!$F$2, (ROW()-2)*8, 0, 8, 1))</f>
        <v>240</v>
      </c>
      <c r="T16">
        <f ca="1">SUM(OFFSET('zejscia WORK 2'!$G$2, (ROW()-2)*8, 0, 8, 1))</f>
        <v>197</v>
      </c>
      <c r="U16">
        <f ca="1">SUM(OFFSET('zejscia WORK 2'!$H$2, (ROW()-2)*8, 0, 8, 1))</f>
        <v>11</v>
      </c>
      <c r="V16">
        <f ca="1">SUM(OFFSET('zejscia WORK 2'!$I$2, (ROW()-2)*8, 0, 8, 1))</f>
        <v>208</v>
      </c>
      <c r="AB16" s="24"/>
      <c r="AG16" s="23"/>
    </row>
    <row r="17" spans="1:33" ht="15" thickBot="1">
      <c r="A17">
        <v>16</v>
      </c>
      <c r="B17" s="14">
        <v>42421</v>
      </c>
      <c r="C17" s="15">
        <v>0</v>
      </c>
      <c r="D17" s="16">
        <v>4</v>
      </c>
      <c r="E17" s="17" t="s">
        <v>3041</v>
      </c>
      <c r="F17">
        <f t="shared" si="0"/>
        <v>30</v>
      </c>
      <c r="G17">
        <v>26</v>
      </c>
      <c r="H17">
        <v>2</v>
      </c>
      <c r="I17">
        <v>28</v>
      </c>
      <c r="J17" s="67">
        <v>4</v>
      </c>
      <c r="L17" s="19"/>
      <c r="M17" s="19" t="s">
        <v>3134</v>
      </c>
      <c r="N17">
        <v>1</v>
      </c>
      <c r="P17" s="24">
        <f t="shared" ca="1" si="1"/>
        <v>93.95348837209302</v>
      </c>
      <c r="Q17" s="24">
        <f t="shared" ca="1" si="2"/>
        <v>89.583333333333343</v>
      </c>
      <c r="R17" s="24"/>
      <c r="S17" s="24">
        <f ca="1">SUM(OFFSET('zejscia WORK 2'!$F$2, (ROW()-2)*8, 0, 8, 1))</f>
        <v>240</v>
      </c>
      <c r="T17">
        <f ca="1">SUM(OFFSET('zejscia WORK 2'!$G$2, (ROW()-2)*8, 0, 8, 1))</f>
        <v>202</v>
      </c>
      <c r="U17">
        <f ca="1">SUM(OFFSET('zejscia WORK 2'!$H$2, (ROW()-2)*8, 0, 8, 1))</f>
        <v>13</v>
      </c>
      <c r="V17">
        <f ca="1">SUM(OFFSET('zejscia WORK 2'!$I$2, (ROW()-2)*8, 0, 8, 1))</f>
        <v>215</v>
      </c>
      <c r="AB17" s="24"/>
      <c r="AG17" s="23"/>
    </row>
    <row r="18" spans="1:33">
      <c r="A18">
        <v>17</v>
      </c>
      <c r="B18" s="6">
        <v>42421.919988425929</v>
      </c>
      <c r="C18" s="7">
        <v>0.91998842592592589</v>
      </c>
      <c r="D18" s="8">
        <v>4</v>
      </c>
      <c r="E18" s="9" t="s">
        <v>3041</v>
      </c>
      <c r="F18">
        <f t="shared" si="0"/>
        <v>30</v>
      </c>
      <c r="G18">
        <v>19</v>
      </c>
      <c r="H18">
        <v>3</v>
      </c>
      <c r="I18">
        <v>22</v>
      </c>
      <c r="J18" s="67">
        <v>11</v>
      </c>
      <c r="L18" s="19"/>
      <c r="M18" s="19" t="s">
        <v>3135</v>
      </c>
      <c r="N18">
        <v>2</v>
      </c>
      <c r="P18" s="24">
        <f t="shared" ca="1" si="1"/>
        <v>93.600000000000009</v>
      </c>
      <c r="Q18" s="24">
        <f t="shared" ca="1" si="2"/>
        <v>104.16666666666667</v>
      </c>
      <c r="R18" s="24"/>
      <c r="S18" s="24">
        <f ca="1">SUM(OFFSET('zejscia WORK 2'!$F$2, (ROW()-2)*8, 0, 8, 1))</f>
        <v>240</v>
      </c>
      <c r="T18">
        <f ca="1">SUM(OFFSET('zejscia WORK 2'!$G$2, (ROW()-2)*8, 0, 8, 1))</f>
        <v>234</v>
      </c>
      <c r="U18">
        <f ca="1">SUM(OFFSET('zejscia WORK 2'!$H$2, (ROW()-2)*8, 0, 8, 1))</f>
        <v>16</v>
      </c>
      <c r="V18">
        <f ca="1">SUM(OFFSET('zejscia WORK 2'!$I$2, (ROW()-2)*8, 0, 8, 1))</f>
        <v>250</v>
      </c>
      <c r="AB18" s="24"/>
      <c r="AG18" s="23"/>
    </row>
    <row r="19" spans="1:33">
      <c r="A19">
        <v>18</v>
      </c>
      <c r="B19" s="10">
        <v>42421.919999999998</v>
      </c>
      <c r="C19" s="11">
        <v>0.92</v>
      </c>
      <c r="D19" s="12">
        <v>4</v>
      </c>
      <c r="E19" s="13" t="s">
        <v>3041</v>
      </c>
      <c r="F19">
        <f t="shared" si="0"/>
        <v>30</v>
      </c>
      <c r="G19">
        <v>25</v>
      </c>
      <c r="H19">
        <v>5</v>
      </c>
      <c r="I19">
        <v>30</v>
      </c>
      <c r="J19" s="67">
        <v>5</v>
      </c>
      <c r="L19" s="19"/>
      <c r="M19" s="19" t="s">
        <v>3136</v>
      </c>
      <c r="N19">
        <v>3</v>
      </c>
      <c r="P19" s="24">
        <f t="shared" ca="1" si="1"/>
        <v>91.699604743083</v>
      </c>
      <c r="Q19" s="24">
        <f t="shared" ca="1" si="2"/>
        <v>105.41666666666667</v>
      </c>
      <c r="R19" s="24"/>
      <c r="S19" s="24">
        <f ca="1">SUM(OFFSET('zejscia WORK 2'!$F$2, (ROW()-2)*8, 0, 8, 1))</f>
        <v>240</v>
      </c>
      <c r="T19">
        <f ca="1">SUM(OFFSET('zejscia WORK 2'!$G$2, (ROW()-2)*8, 0, 8, 1))</f>
        <v>232</v>
      </c>
      <c r="U19">
        <f ca="1">SUM(OFFSET('zejscia WORK 2'!$H$2, (ROW()-2)*8, 0, 8, 1))</f>
        <v>21</v>
      </c>
      <c r="V19">
        <f ca="1">SUM(OFFSET('zejscia WORK 2'!$I$2, (ROW()-2)*8, 0, 8, 1))</f>
        <v>253</v>
      </c>
      <c r="AB19" s="24"/>
      <c r="AG19" s="23"/>
    </row>
    <row r="20" spans="1:33">
      <c r="A20">
        <v>19</v>
      </c>
      <c r="B20" s="10">
        <v>42421.920555555553</v>
      </c>
      <c r="C20" s="11">
        <v>0.92055555555555557</v>
      </c>
      <c r="D20" s="12">
        <v>4</v>
      </c>
      <c r="E20" s="13" t="s">
        <v>3041</v>
      </c>
      <c r="F20">
        <f t="shared" si="0"/>
        <v>30</v>
      </c>
      <c r="G20">
        <v>32</v>
      </c>
      <c r="H20">
        <v>2</v>
      </c>
      <c r="I20">
        <v>34</v>
      </c>
      <c r="J20" s="67">
        <v>-2</v>
      </c>
      <c r="L20" s="19"/>
      <c r="M20" s="19" t="s">
        <v>3137</v>
      </c>
      <c r="N20">
        <v>1</v>
      </c>
      <c r="P20" s="24">
        <f t="shared" ca="1" si="1"/>
        <v>90.714285714285708</v>
      </c>
      <c r="Q20" s="24">
        <f t="shared" ca="1" si="2"/>
        <v>58.333333333333336</v>
      </c>
      <c r="R20" s="24"/>
      <c r="S20" s="24">
        <f ca="1">SUM(OFFSET('zejscia WORK 2'!$F$2, (ROW()-2)*8, 0, 8, 1))</f>
        <v>240</v>
      </c>
      <c r="T20">
        <f ca="1">SUM(OFFSET('zejscia WORK 2'!$G$2, (ROW()-2)*8, 0, 8, 1))</f>
        <v>127</v>
      </c>
      <c r="U20">
        <f ca="1">SUM(OFFSET('zejscia WORK 2'!$H$2, (ROW()-2)*8, 0, 8, 1))</f>
        <v>13</v>
      </c>
      <c r="V20">
        <f ca="1">SUM(OFFSET('zejscia WORK 2'!$I$2, (ROW()-2)*8, 0, 8, 1))</f>
        <v>140</v>
      </c>
      <c r="AB20" s="24"/>
      <c r="AG20" s="23"/>
    </row>
    <row r="21" spans="1:33">
      <c r="A21">
        <v>20</v>
      </c>
      <c r="B21" s="10">
        <v>42421.920567129629</v>
      </c>
      <c r="C21" s="11">
        <v>0.92056712962962961</v>
      </c>
      <c r="D21" s="12">
        <v>4</v>
      </c>
      <c r="E21" s="13" t="s">
        <v>3041</v>
      </c>
      <c r="F21">
        <f t="shared" si="0"/>
        <v>30</v>
      </c>
      <c r="G21">
        <v>15</v>
      </c>
      <c r="H21">
        <v>2</v>
      </c>
      <c r="I21">
        <v>17</v>
      </c>
      <c r="J21" s="67">
        <v>15</v>
      </c>
      <c r="L21" s="19"/>
      <c r="M21" s="19" t="s">
        <v>3138</v>
      </c>
      <c r="N21">
        <v>2</v>
      </c>
      <c r="P21" s="24">
        <f t="shared" ca="1" si="1"/>
        <v>95.360824742268051</v>
      </c>
      <c r="Q21" s="24">
        <f t="shared" ca="1" si="2"/>
        <v>80.833333333333329</v>
      </c>
      <c r="R21" s="24"/>
      <c r="S21" s="24">
        <f ca="1">SUM(OFFSET('zejscia WORK 2'!$F$2, (ROW()-2)*8, 0, 8, 1))</f>
        <v>240</v>
      </c>
      <c r="T21">
        <f ca="1">SUM(OFFSET('zejscia WORK 2'!$G$2, (ROW()-2)*8, 0, 8, 1))</f>
        <v>185</v>
      </c>
      <c r="U21">
        <f ca="1">SUM(OFFSET('zejscia WORK 2'!$H$2, (ROW()-2)*8, 0, 8, 1))</f>
        <v>9</v>
      </c>
      <c r="V21">
        <f ca="1">SUM(OFFSET('zejscia WORK 2'!$I$2, (ROW()-2)*8, 0, 8, 1))</f>
        <v>194</v>
      </c>
      <c r="AB21" s="24"/>
      <c r="AG21" s="23"/>
    </row>
    <row r="22" spans="1:33">
      <c r="A22">
        <v>21</v>
      </c>
      <c r="B22" s="10">
        <v>42421.920578703706</v>
      </c>
      <c r="C22" s="11">
        <v>0.92057870370370365</v>
      </c>
      <c r="D22" s="12">
        <v>4</v>
      </c>
      <c r="E22" s="13" t="s">
        <v>3041</v>
      </c>
      <c r="F22">
        <f t="shared" si="0"/>
        <v>30</v>
      </c>
      <c r="G22">
        <v>32</v>
      </c>
      <c r="H22">
        <v>2</v>
      </c>
      <c r="I22">
        <v>34</v>
      </c>
      <c r="J22" s="67">
        <v>-2</v>
      </c>
      <c r="L22" s="19"/>
      <c r="M22" s="19" t="s">
        <v>3139</v>
      </c>
      <c r="N22">
        <v>3</v>
      </c>
      <c r="P22" s="24">
        <f t="shared" ca="1" si="1"/>
        <v>91.803278688524586</v>
      </c>
      <c r="Q22" s="24">
        <f t="shared" ca="1" si="2"/>
        <v>25.416666666666664</v>
      </c>
      <c r="R22" s="24"/>
      <c r="S22" s="24">
        <f ca="1">SUM(OFFSET('zejscia WORK 2'!$F$2, (ROW()-2)*8, 0, 8, 1))</f>
        <v>240</v>
      </c>
      <c r="T22">
        <f ca="1">SUM(OFFSET('zejscia WORK 2'!$G$2, (ROW()-2)*8, 0, 8, 1))</f>
        <v>56</v>
      </c>
      <c r="U22">
        <f ca="1">SUM(OFFSET('zejscia WORK 2'!$H$2, (ROW()-2)*8, 0, 8, 1))</f>
        <v>5</v>
      </c>
      <c r="V22">
        <f ca="1">SUM(OFFSET('zejscia WORK 2'!$I$2, (ROW()-2)*8, 0, 8, 1))</f>
        <v>61</v>
      </c>
      <c r="AB22" s="24"/>
      <c r="AG22" s="18"/>
    </row>
    <row r="23" spans="1:33">
      <c r="A23">
        <v>22</v>
      </c>
      <c r="B23" s="10">
        <v>42421.920624999999</v>
      </c>
      <c r="C23" s="11">
        <v>0.92062500000000003</v>
      </c>
      <c r="D23" s="12">
        <v>4</v>
      </c>
      <c r="E23" s="13" t="s">
        <v>3041</v>
      </c>
      <c r="F23">
        <f t="shared" si="0"/>
        <v>30</v>
      </c>
      <c r="G23">
        <v>35</v>
      </c>
      <c r="H23">
        <v>0</v>
      </c>
      <c r="I23">
        <v>35</v>
      </c>
      <c r="J23" s="67">
        <v>-5</v>
      </c>
      <c r="AG23" s="23"/>
    </row>
    <row r="24" spans="1:33">
      <c r="A24">
        <v>23</v>
      </c>
      <c r="B24" s="10">
        <v>42421.920659722222</v>
      </c>
      <c r="C24" s="11">
        <v>0.92065972222222225</v>
      </c>
      <c r="D24" s="12">
        <v>4</v>
      </c>
      <c r="E24" s="13" t="s">
        <v>3041</v>
      </c>
      <c r="F24">
        <f t="shared" si="0"/>
        <v>30</v>
      </c>
      <c r="G24">
        <v>38</v>
      </c>
      <c r="H24">
        <v>1</v>
      </c>
      <c r="I24">
        <v>39</v>
      </c>
      <c r="J24" s="67">
        <v>-8</v>
      </c>
    </row>
    <row r="25" spans="1:33" ht="15" thickBot="1">
      <c r="A25">
        <v>24</v>
      </c>
      <c r="B25" s="14">
        <v>42421.920671296299</v>
      </c>
      <c r="C25" s="15">
        <v>0.92067129629629629</v>
      </c>
      <c r="D25" s="16">
        <v>4</v>
      </c>
      <c r="E25" s="17" t="s">
        <v>3041</v>
      </c>
      <c r="F25">
        <f t="shared" si="0"/>
        <v>30</v>
      </c>
      <c r="G25">
        <v>30</v>
      </c>
      <c r="H25">
        <v>1</v>
      </c>
      <c r="I25">
        <v>31</v>
      </c>
      <c r="J25" s="67">
        <v>0</v>
      </c>
    </row>
    <row r="26" spans="1:33">
      <c r="A26">
        <v>25</v>
      </c>
      <c r="B26" s="6">
        <v>42422.537488425929</v>
      </c>
      <c r="C26" s="7">
        <v>0.53748842592592594</v>
      </c>
      <c r="D26" s="8">
        <v>4</v>
      </c>
      <c r="E26" s="9" t="s">
        <v>3032</v>
      </c>
      <c r="F26">
        <f t="shared" si="0"/>
        <v>30</v>
      </c>
      <c r="G26">
        <v>29</v>
      </c>
      <c r="H26">
        <v>5</v>
      </c>
      <c r="I26">
        <v>34</v>
      </c>
      <c r="J26" s="67">
        <v>1</v>
      </c>
    </row>
    <row r="27" spans="1:33">
      <c r="A27">
        <v>26</v>
      </c>
      <c r="B27" s="10">
        <v>42422.537511574075</v>
      </c>
      <c r="C27" s="11">
        <v>0.53751157407407413</v>
      </c>
      <c r="D27" s="12">
        <v>4</v>
      </c>
      <c r="E27" s="13" t="s">
        <v>3032</v>
      </c>
      <c r="F27">
        <f t="shared" si="0"/>
        <v>30</v>
      </c>
      <c r="G27">
        <v>38</v>
      </c>
      <c r="H27">
        <v>2</v>
      </c>
      <c r="I27">
        <v>40</v>
      </c>
      <c r="J27" s="67">
        <v>-8</v>
      </c>
    </row>
    <row r="28" spans="1:33">
      <c r="A28">
        <v>27</v>
      </c>
      <c r="B28" s="10">
        <v>42422.537534722222</v>
      </c>
      <c r="C28" s="11">
        <v>0.53753472222222221</v>
      </c>
      <c r="D28" s="12">
        <v>4</v>
      </c>
      <c r="E28" s="13" t="s">
        <v>3032</v>
      </c>
      <c r="F28">
        <f t="shared" si="0"/>
        <v>30</v>
      </c>
      <c r="G28">
        <v>34</v>
      </c>
      <c r="H28">
        <v>2</v>
      </c>
      <c r="I28">
        <v>36</v>
      </c>
      <c r="J28" s="67">
        <v>-4</v>
      </c>
    </row>
    <row r="29" spans="1:33">
      <c r="A29">
        <v>28</v>
      </c>
      <c r="B29" s="10">
        <v>42422.537557870368</v>
      </c>
      <c r="C29" s="11">
        <v>0.53755787037037039</v>
      </c>
      <c r="D29" s="12">
        <v>4</v>
      </c>
      <c r="E29" s="13" t="s">
        <v>3032</v>
      </c>
      <c r="F29">
        <f t="shared" si="0"/>
        <v>30</v>
      </c>
      <c r="G29">
        <v>14</v>
      </c>
      <c r="H29">
        <v>1</v>
      </c>
      <c r="I29">
        <v>15</v>
      </c>
      <c r="J29" s="67">
        <v>16</v>
      </c>
    </row>
    <row r="30" spans="1:33">
      <c r="A30">
        <v>29</v>
      </c>
      <c r="B30" s="10">
        <v>42422.537581018521</v>
      </c>
      <c r="C30" s="11">
        <v>0.53758101851851847</v>
      </c>
      <c r="D30" s="12">
        <v>4</v>
      </c>
      <c r="E30" s="13" t="s">
        <v>3032</v>
      </c>
      <c r="F30">
        <f t="shared" si="0"/>
        <v>30</v>
      </c>
      <c r="G30">
        <v>29</v>
      </c>
      <c r="H30">
        <v>2</v>
      </c>
      <c r="I30">
        <v>31</v>
      </c>
      <c r="J30" s="67">
        <v>1</v>
      </c>
    </row>
    <row r="31" spans="1:33">
      <c r="A31">
        <v>30</v>
      </c>
      <c r="B31" s="10">
        <v>42422.537604166668</v>
      </c>
      <c r="C31" s="11">
        <v>0.53760416666666666</v>
      </c>
      <c r="D31" s="12">
        <v>4</v>
      </c>
      <c r="E31" s="13" t="s">
        <v>3032</v>
      </c>
      <c r="F31">
        <f t="shared" si="0"/>
        <v>30</v>
      </c>
      <c r="G31">
        <v>28</v>
      </c>
      <c r="H31">
        <v>3</v>
      </c>
      <c r="I31">
        <v>31</v>
      </c>
      <c r="J31" s="67">
        <v>2</v>
      </c>
    </row>
    <row r="32" spans="1:33">
      <c r="A32">
        <v>31</v>
      </c>
      <c r="B32" s="10">
        <v>42422.537627314814</v>
      </c>
      <c r="C32" s="11">
        <v>0.53762731481481485</v>
      </c>
      <c r="D32" s="12">
        <v>4</v>
      </c>
      <c r="E32" s="13" t="s">
        <v>3032</v>
      </c>
      <c r="F32">
        <f t="shared" si="0"/>
        <v>30</v>
      </c>
      <c r="G32">
        <v>29</v>
      </c>
      <c r="H32">
        <v>2</v>
      </c>
      <c r="I32">
        <v>31</v>
      </c>
      <c r="J32" s="67">
        <v>1</v>
      </c>
    </row>
    <row r="33" spans="1:10" ht="15" thickBot="1">
      <c r="A33">
        <v>32</v>
      </c>
      <c r="B33" s="14">
        <v>42422.53765046296</v>
      </c>
      <c r="C33" s="15">
        <v>0.53765046296296293</v>
      </c>
      <c r="D33" s="16">
        <v>4</v>
      </c>
      <c r="E33" s="17" t="s">
        <v>3032</v>
      </c>
      <c r="F33">
        <f t="shared" si="0"/>
        <v>30</v>
      </c>
      <c r="G33">
        <v>14</v>
      </c>
      <c r="H33">
        <v>2</v>
      </c>
      <c r="I33">
        <v>16</v>
      </c>
      <c r="J33" s="67">
        <v>16</v>
      </c>
    </row>
    <row r="34" spans="1:10">
      <c r="A34">
        <v>33</v>
      </c>
      <c r="B34" s="6">
        <v>42422.584178240744</v>
      </c>
      <c r="C34" s="7">
        <v>0.58417824074074076</v>
      </c>
      <c r="D34" s="8">
        <v>4</v>
      </c>
      <c r="E34" s="9" t="s">
        <v>3041</v>
      </c>
      <c r="F34">
        <f t="shared" si="0"/>
        <v>30</v>
      </c>
      <c r="G34">
        <v>15</v>
      </c>
      <c r="H34">
        <v>2</v>
      </c>
      <c r="I34">
        <v>17</v>
      </c>
      <c r="J34" s="67">
        <v>15</v>
      </c>
    </row>
    <row r="35" spans="1:10">
      <c r="A35">
        <v>34</v>
      </c>
      <c r="B35" s="10">
        <v>42422.58494212963</v>
      </c>
      <c r="C35" s="11">
        <v>0.58494212962962966</v>
      </c>
      <c r="D35" s="12">
        <v>4</v>
      </c>
      <c r="E35" s="13" t="s">
        <v>3041</v>
      </c>
      <c r="F35">
        <f t="shared" si="0"/>
        <v>30</v>
      </c>
      <c r="G35">
        <v>17</v>
      </c>
      <c r="H35">
        <v>0</v>
      </c>
      <c r="I35">
        <v>17</v>
      </c>
      <c r="J35" s="67">
        <v>13</v>
      </c>
    </row>
    <row r="36" spans="1:10">
      <c r="A36">
        <v>35</v>
      </c>
      <c r="B36" s="10">
        <v>42422.584965277776</v>
      </c>
      <c r="C36" s="11">
        <v>0.58496527777777774</v>
      </c>
      <c r="D36" s="12">
        <v>4</v>
      </c>
      <c r="E36" s="13" t="s">
        <v>3041</v>
      </c>
      <c r="F36">
        <f t="shared" si="0"/>
        <v>30</v>
      </c>
      <c r="G36">
        <v>7</v>
      </c>
      <c r="H36">
        <v>0</v>
      </c>
      <c r="I36">
        <v>7</v>
      </c>
      <c r="J36" s="67">
        <v>23</v>
      </c>
    </row>
    <row r="37" spans="1:10">
      <c r="A37">
        <v>36</v>
      </c>
      <c r="B37" s="10">
        <v>42422.584988425922</v>
      </c>
      <c r="C37" s="11">
        <v>0.58498842592592593</v>
      </c>
      <c r="D37" s="12">
        <v>4</v>
      </c>
      <c r="E37" s="13" t="s">
        <v>3041</v>
      </c>
      <c r="F37">
        <f t="shared" si="0"/>
        <v>30</v>
      </c>
      <c r="G37">
        <v>0</v>
      </c>
      <c r="H37">
        <v>0</v>
      </c>
      <c r="I37">
        <v>0</v>
      </c>
      <c r="J37" s="67">
        <v>30</v>
      </c>
    </row>
    <row r="38" spans="1:10">
      <c r="A38">
        <v>37</v>
      </c>
      <c r="B38" s="10">
        <v>42422.585011574076</v>
      </c>
      <c r="C38" s="11">
        <v>0.58501157407407411</v>
      </c>
      <c r="D38" s="12">
        <v>4</v>
      </c>
      <c r="E38" s="13" t="s">
        <v>3041</v>
      </c>
      <c r="F38">
        <f t="shared" si="0"/>
        <v>30</v>
      </c>
      <c r="G38">
        <v>0</v>
      </c>
      <c r="H38">
        <v>0</v>
      </c>
      <c r="I38">
        <v>0</v>
      </c>
      <c r="J38" s="67">
        <v>30</v>
      </c>
    </row>
    <row r="39" spans="1:10">
      <c r="A39">
        <v>38</v>
      </c>
      <c r="B39" s="10">
        <v>42422.585034722222</v>
      </c>
      <c r="C39" s="11">
        <v>0.58503472222222219</v>
      </c>
      <c r="D39" s="12">
        <v>4</v>
      </c>
      <c r="E39" s="13" t="s">
        <v>3041</v>
      </c>
      <c r="F39">
        <f t="shared" si="0"/>
        <v>30</v>
      </c>
      <c r="G39">
        <v>0</v>
      </c>
      <c r="H39">
        <v>0</v>
      </c>
      <c r="I39">
        <v>0</v>
      </c>
      <c r="J39" s="67">
        <v>30</v>
      </c>
    </row>
    <row r="40" spans="1:10">
      <c r="A40">
        <v>39</v>
      </c>
      <c r="B40" s="10">
        <v>42422.585069444445</v>
      </c>
      <c r="C40" s="11">
        <v>0.58506944444444442</v>
      </c>
      <c r="D40" s="12">
        <v>4</v>
      </c>
      <c r="E40" s="13" t="s">
        <v>3041</v>
      </c>
      <c r="F40">
        <f t="shared" si="0"/>
        <v>30</v>
      </c>
      <c r="G40">
        <v>0</v>
      </c>
      <c r="H40">
        <v>0</v>
      </c>
      <c r="I40">
        <v>0</v>
      </c>
      <c r="J40" s="67">
        <v>30</v>
      </c>
    </row>
    <row r="41" spans="1:10" ht="15" thickBot="1">
      <c r="A41">
        <v>40</v>
      </c>
      <c r="B41" s="14">
        <v>42422.585092592592</v>
      </c>
      <c r="C41" s="15">
        <v>0.58509259259259261</v>
      </c>
      <c r="D41" s="16">
        <v>4</v>
      </c>
      <c r="E41" s="17" t="s">
        <v>3041</v>
      </c>
      <c r="F41">
        <f t="shared" si="0"/>
        <v>30</v>
      </c>
      <c r="G41">
        <v>0</v>
      </c>
      <c r="H41">
        <v>0</v>
      </c>
      <c r="I41">
        <v>0</v>
      </c>
      <c r="J41" s="67">
        <v>30</v>
      </c>
    </row>
    <row r="42" spans="1:10">
      <c r="A42">
        <v>41</v>
      </c>
      <c r="B42" s="6">
        <v>42423.257037037038</v>
      </c>
      <c r="C42" s="7">
        <v>0.25703703703703706</v>
      </c>
      <c r="D42" s="8">
        <v>4</v>
      </c>
      <c r="E42" s="9" t="s">
        <v>3032</v>
      </c>
      <c r="F42">
        <f t="shared" si="0"/>
        <v>30</v>
      </c>
      <c r="G42">
        <v>11</v>
      </c>
      <c r="H42">
        <v>1</v>
      </c>
      <c r="I42">
        <v>12</v>
      </c>
      <c r="J42" s="67">
        <v>19</v>
      </c>
    </row>
    <row r="43" spans="1:10">
      <c r="A43">
        <v>42</v>
      </c>
      <c r="B43" s="10">
        <v>42423.257060185184</v>
      </c>
      <c r="C43" s="11">
        <v>0.2570601851851852</v>
      </c>
      <c r="D43" s="12">
        <v>4</v>
      </c>
      <c r="E43" s="13" t="s">
        <v>3032</v>
      </c>
      <c r="F43">
        <f t="shared" si="0"/>
        <v>30</v>
      </c>
      <c r="G43">
        <v>31</v>
      </c>
      <c r="H43">
        <v>2</v>
      </c>
      <c r="I43">
        <v>33</v>
      </c>
      <c r="J43" s="67">
        <v>-1</v>
      </c>
    </row>
    <row r="44" spans="1:10">
      <c r="A44">
        <v>43</v>
      </c>
      <c r="B44" s="10">
        <v>42423.25708333333</v>
      </c>
      <c r="C44" s="11">
        <v>0.25708333333333333</v>
      </c>
      <c r="D44" s="12">
        <v>4</v>
      </c>
      <c r="E44" s="13" t="s">
        <v>3032</v>
      </c>
      <c r="F44">
        <f t="shared" si="0"/>
        <v>30</v>
      </c>
      <c r="G44">
        <v>31</v>
      </c>
      <c r="H44">
        <v>2</v>
      </c>
      <c r="I44">
        <v>33</v>
      </c>
      <c r="J44" s="67">
        <v>-1</v>
      </c>
    </row>
    <row r="45" spans="1:10">
      <c r="A45">
        <v>44</v>
      </c>
      <c r="B45" s="10">
        <v>42423.257106481484</v>
      </c>
      <c r="C45" s="11">
        <v>0.25710648148148146</v>
      </c>
      <c r="D45" s="12">
        <v>4</v>
      </c>
      <c r="E45" s="13" t="s">
        <v>3032</v>
      </c>
      <c r="F45">
        <f t="shared" si="0"/>
        <v>30</v>
      </c>
      <c r="G45">
        <v>15</v>
      </c>
      <c r="H45">
        <v>0</v>
      </c>
      <c r="I45">
        <v>15</v>
      </c>
      <c r="J45" s="67">
        <v>15</v>
      </c>
    </row>
    <row r="46" spans="1:10">
      <c r="A46">
        <v>45</v>
      </c>
      <c r="B46" s="10">
        <v>42423.25712962963</v>
      </c>
      <c r="C46" s="11">
        <v>0.25712962962962965</v>
      </c>
      <c r="D46" s="12">
        <v>4</v>
      </c>
      <c r="E46" s="13" t="s">
        <v>3032</v>
      </c>
      <c r="F46">
        <f t="shared" si="0"/>
        <v>30</v>
      </c>
      <c r="G46">
        <v>0</v>
      </c>
      <c r="H46">
        <v>0</v>
      </c>
      <c r="I46">
        <v>0</v>
      </c>
      <c r="J46" s="67">
        <v>30</v>
      </c>
    </row>
    <row r="47" spans="1:10">
      <c r="A47">
        <v>46</v>
      </c>
      <c r="B47" s="10">
        <v>42423.257152777776</v>
      </c>
      <c r="C47" s="11">
        <v>0.25715277777777779</v>
      </c>
      <c r="D47" s="12">
        <v>4</v>
      </c>
      <c r="E47" s="13" t="s">
        <v>3032</v>
      </c>
      <c r="F47">
        <f t="shared" si="0"/>
        <v>30</v>
      </c>
      <c r="G47">
        <v>0</v>
      </c>
      <c r="H47">
        <v>0</v>
      </c>
      <c r="I47">
        <v>0</v>
      </c>
      <c r="J47" s="67">
        <v>30</v>
      </c>
    </row>
    <row r="48" spans="1:10">
      <c r="A48">
        <v>47</v>
      </c>
      <c r="B48" s="10">
        <v>42423.257164351853</v>
      </c>
      <c r="C48" s="11">
        <v>0.25716435185185182</v>
      </c>
      <c r="D48" s="12">
        <v>4</v>
      </c>
      <c r="E48" s="13" t="s">
        <v>3032</v>
      </c>
      <c r="F48">
        <f t="shared" si="0"/>
        <v>30</v>
      </c>
      <c r="G48">
        <v>0</v>
      </c>
      <c r="H48">
        <v>0</v>
      </c>
      <c r="I48">
        <v>0</v>
      </c>
      <c r="J48" s="67">
        <v>30</v>
      </c>
    </row>
    <row r="49" spans="1:10" ht="15" thickBot="1">
      <c r="A49">
        <v>48</v>
      </c>
      <c r="B49" s="14">
        <v>42423.257291666669</v>
      </c>
      <c r="C49" s="15">
        <v>0.25729166666666664</v>
      </c>
      <c r="D49" s="16">
        <v>4</v>
      </c>
      <c r="E49" s="17" t="s">
        <v>3032</v>
      </c>
      <c r="F49">
        <f t="shared" si="0"/>
        <v>30</v>
      </c>
      <c r="G49">
        <v>0</v>
      </c>
      <c r="H49">
        <v>0</v>
      </c>
      <c r="I49">
        <v>0</v>
      </c>
      <c r="J49" s="67">
        <v>30</v>
      </c>
    </row>
    <row r="50" spans="1:10">
      <c r="A50">
        <v>49</v>
      </c>
      <c r="B50" s="6">
        <v>42423.257037037038</v>
      </c>
      <c r="C50" s="7">
        <v>0.25703703703703706</v>
      </c>
      <c r="D50" s="8">
        <v>4</v>
      </c>
      <c r="E50" s="9" t="s">
        <v>3032</v>
      </c>
      <c r="F50">
        <f t="shared" si="0"/>
        <v>30</v>
      </c>
      <c r="G50">
        <v>33</v>
      </c>
      <c r="H50">
        <v>1</v>
      </c>
      <c r="I50">
        <v>34</v>
      </c>
      <c r="J50" s="67">
        <v>-3</v>
      </c>
    </row>
    <row r="51" spans="1:10">
      <c r="A51">
        <v>50</v>
      </c>
      <c r="B51" s="10">
        <v>42423.257060185184</v>
      </c>
      <c r="C51" s="11">
        <v>0.2570601851851852</v>
      </c>
      <c r="D51" s="12">
        <v>4</v>
      </c>
      <c r="E51" s="13" t="s">
        <v>3032</v>
      </c>
      <c r="F51">
        <f t="shared" si="0"/>
        <v>30</v>
      </c>
      <c r="G51">
        <v>35</v>
      </c>
      <c r="H51">
        <v>1</v>
      </c>
      <c r="I51">
        <v>36</v>
      </c>
      <c r="J51" s="67">
        <v>-5</v>
      </c>
    </row>
    <row r="52" spans="1:10">
      <c r="A52">
        <v>51</v>
      </c>
      <c r="B52" s="10">
        <v>42423.25708333333</v>
      </c>
      <c r="C52" s="11">
        <v>0.25708333333333333</v>
      </c>
      <c r="D52" s="12">
        <v>4</v>
      </c>
      <c r="E52" s="13" t="s">
        <v>3032</v>
      </c>
      <c r="F52">
        <f t="shared" si="0"/>
        <v>30</v>
      </c>
      <c r="G52">
        <v>35</v>
      </c>
      <c r="H52">
        <v>0</v>
      </c>
      <c r="I52">
        <v>35</v>
      </c>
      <c r="J52" s="67">
        <v>-5</v>
      </c>
    </row>
    <row r="53" spans="1:10">
      <c r="A53">
        <v>52</v>
      </c>
      <c r="B53" s="10">
        <v>42423.257106481484</v>
      </c>
      <c r="C53" s="11">
        <v>0.25710648148148146</v>
      </c>
      <c r="D53" s="12">
        <v>4</v>
      </c>
      <c r="E53" s="13" t="s">
        <v>3032</v>
      </c>
      <c r="F53">
        <f t="shared" si="0"/>
        <v>30</v>
      </c>
      <c r="G53">
        <v>20</v>
      </c>
      <c r="H53">
        <v>2</v>
      </c>
      <c r="I53">
        <v>22</v>
      </c>
      <c r="J53" s="67">
        <v>10</v>
      </c>
    </row>
    <row r="54" spans="1:10">
      <c r="A54">
        <v>53</v>
      </c>
      <c r="B54" s="10">
        <v>42423.25712962963</v>
      </c>
      <c r="C54" s="11">
        <v>0.25712962962962965</v>
      </c>
      <c r="D54" s="12">
        <v>4</v>
      </c>
      <c r="E54" s="13" t="s">
        <v>3032</v>
      </c>
      <c r="F54">
        <f t="shared" si="0"/>
        <v>30</v>
      </c>
      <c r="G54">
        <v>35</v>
      </c>
      <c r="H54">
        <v>2</v>
      </c>
      <c r="I54">
        <v>37</v>
      </c>
      <c r="J54" s="67">
        <v>-5</v>
      </c>
    </row>
    <row r="55" spans="1:10">
      <c r="A55">
        <v>54</v>
      </c>
      <c r="B55" s="10">
        <v>42423.257152777776</v>
      </c>
      <c r="C55" s="11">
        <v>0.25715277777777779</v>
      </c>
      <c r="D55" s="12">
        <v>4</v>
      </c>
      <c r="E55" s="13" t="s">
        <v>3032</v>
      </c>
      <c r="F55">
        <f t="shared" si="0"/>
        <v>30</v>
      </c>
      <c r="G55">
        <v>34</v>
      </c>
      <c r="H55">
        <v>5</v>
      </c>
      <c r="I55">
        <v>39</v>
      </c>
      <c r="J55" s="67">
        <v>-4</v>
      </c>
    </row>
    <row r="56" spans="1:10">
      <c r="A56">
        <v>55</v>
      </c>
      <c r="B56" s="10">
        <v>42423.257164351853</v>
      </c>
      <c r="C56" s="11">
        <v>0.25716435185185182</v>
      </c>
      <c r="D56" s="12">
        <v>4</v>
      </c>
      <c r="E56" s="13" t="s">
        <v>3032</v>
      </c>
      <c r="F56">
        <f t="shared" si="0"/>
        <v>30</v>
      </c>
      <c r="G56">
        <v>36</v>
      </c>
      <c r="H56">
        <v>2</v>
      </c>
      <c r="I56">
        <v>38</v>
      </c>
      <c r="J56" s="67">
        <v>-6</v>
      </c>
    </row>
    <row r="57" spans="1:10" ht="15" thickBot="1">
      <c r="A57">
        <v>56</v>
      </c>
      <c r="B57" s="14">
        <v>42423.257291666669</v>
      </c>
      <c r="C57" s="15">
        <v>0.25729166666666664</v>
      </c>
      <c r="D57" s="16">
        <v>4</v>
      </c>
      <c r="E57" s="17" t="s">
        <v>3032</v>
      </c>
      <c r="F57">
        <f t="shared" si="0"/>
        <v>30</v>
      </c>
      <c r="G57">
        <v>23</v>
      </c>
      <c r="H57">
        <v>2</v>
      </c>
      <c r="I57">
        <v>25</v>
      </c>
      <c r="J57" s="67">
        <v>7</v>
      </c>
    </row>
    <row r="58" spans="1:10">
      <c r="A58">
        <v>57</v>
      </c>
      <c r="B58" s="6">
        <v>42423.58421296296</v>
      </c>
      <c r="C58" s="7">
        <v>0.58421296296296299</v>
      </c>
      <c r="D58" s="8">
        <v>4</v>
      </c>
      <c r="E58" s="9" t="s">
        <v>3041</v>
      </c>
      <c r="F58">
        <f t="shared" si="0"/>
        <v>30</v>
      </c>
      <c r="G58">
        <v>30</v>
      </c>
      <c r="H58">
        <v>1</v>
      </c>
      <c r="I58">
        <v>31</v>
      </c>
      <c r="J58" s="67">
        <v>0</v>
      </c>
    </row>
    <row r="59" spans="1:10">
      <c r="A59">
        <v>58</v>
      </c>
      <c r="B59" s="10">
        <v>42423.584247685183</v>
      </c>
      <c r="C59" s="11">
        <v>0.58424768518518522</v>
      </c>
      <c r="D59" s="12">
        <v>4</v>
      </c>
      <c r="E59" s="13" t="s">
        <v>3041</v>
      </c>
      <c r="F59">
        <f t="shared" si="0"/>
        <v>30</v>
      </c>
      <c r="G59">
        <v>26</v>
      </c>
      <c r="H59">
        <v>2</v>
      </c>
      <c r="I59">
        <v>28</v>
      </c>
      <c r="J59" s="67">
        <v>4</v>
      </c>
    </row>
    <row r="60" spans="1:10">
      <c r="A60">
        <v>59</v>
      </c>
      <c r="B60" s="10">
        <v>42423.584270833337</v>
      </c>
      <c r="C60" s="11">
        <v>0.58427083333333329</v>
      </c>
      <c r="D60" s="12">
        <v>4</v>
      </c>
      <c r="E60" s="13" t="s">
        <v>3041</v>
      </c>
      <c r="F60">
        <f t="shared" si="0"/>
        <v>30</v>
      </c>
      <c r="G60">
        <v>16</v>
      </c>
      <c r="H60">
        <v>2</v>
      </c>
      <c r="I60">
        <v>18</v>
      </c>
      <c r="J60" s="67">
        <v>14</v>
      </c>
    </row>
    <row r="61" spans="1:10">
      <c r="A61">
        <v>60</v>
      </c>
      <c r="B61" s="10">
        <v>42423.584305555552</v>
      </c>
      <c r="C61" s="11">
        <v>0.58430555555555552</v>
      </c>
      <c r="D61" s="12">
        <v>4</v>
      </c>
      <c r="E61" s="13" t="s">
        <v>3041</v>
      </c>
      <c r="F61">
        <f t="shared" si="0"/>
        <v>30</v>
      </c>
      <c r="G61">
        <v>16</v>
      </c>
      <c r="H61">
        <v>1</v>
      </c>
      <c r="I61">
        <v>17</v>
      </c>
      <c r="J61" s="67">
        <v>14</v>
      </c>
    </row>
    <row r="62" spans="1:10">
      <c r="A62">
        <v>61</v>
      </c>
      <c r="B62" s="10">
        <v>42423.584340277775</v>
      </c>
      <c r="C62" s="11">
        <v>0.58434027777777775</v>
      </c>
      <c r="D62" s="12">
        <v>4</v>
      </c>
      <c r="E62" s="13" t="s">
        <v>3041</v>
      </c>
      <c r="F62">
        <f t="shared" si="0"/>
        <v>30</v>
      </c>
      <c r="G62">
        <v>34</v>
      </c>
      <c r="H62">
        <v>2</v>
      </c>
      <c r="I62">
        <v>36</v>
      </c>
      <c r="J62" s="67">
        <v>-4</v>
      </c>
    </row>
    <row r="63" spans="1:10">
      <c r="A63">
        <v>62</v>
      </c>
      <c r="B63" s="10">
        <v>42423.584363425929</v>
      </c>
      <c r="C63" s="11">
        <v>0.58436342592592594</v>
      </c>
      <c r="D63" s="12">
        <v>4</v>
      </c>
      <c r="E63" s="13" t="s">
        <v>3041</v>
      </c>
      <c r="F63">
        <f t="shared" si="0"/>
        <v>30</v>
      </c>
      <c r="G63">
        <v>28</v>
      </c>
      <c r="H63">
        <v>1</v>
      </c>
      <c r="I63">
        <v>29</v>
      </c>
      <c r="J63" s="67">
        <v>2</v>
      </c>
    </row>
    <row r="64" spans="1:10">
      <c r="A64">
        <v>63</v>
      </c>
      <c r="B64" s="10">
        <v>42423.584398148145</v>
      </c>
      <c r="C64" s="11">
        <v>0.58439814814814817</v>
      </c>
      <c r="D64" s="12">
        <v>4</v>
      </c>
      <c r="E64" s="13" t="s">
        <v>3041</v>
      </c>
      <c r="F64">
        <f t="shared" si="0"/>
        <v>30</v>
      </c>
      <c r="G64">
        <v>29</v>
      </c>
      <c r="H64">
        <v>3</v>
      </c>
      <c r="I64">
        <v>32</v>
      </c>
      <c r="J64" s="67">
        <v>1</v>
      </c>
    </row>
    <row r="65" spans="1:10" ht="15" thickBot="1">
      <c r="A65">
        <v>64</v>
      </c>
      <c r="B65" s="14">
        <v>42423.584421296298</v>
      </c>
      <c r="C65" s="15">
        <v>0.58442129629629624</v>
      </c>
      <c r="D65" s="16">
        <v>4</v>
      </c>
      <c r="E65" s="17" t="s">
        <v>3041</v>
      </c>
      <c r="F65">
        <f t="shared" si="0"/>
        <v>30</v>
      </c>
      <c r="G65">
        <v>22</v>
      </c>
      <c r="H65">
        <v>2</v>
      </c>
      <c r="I65">
        <v>24</v>
      </c>
      <c r="J65" s="67">
        <v>8</v>
      </c>
    </row>
    <row r="66" spans="1:10">
      <c r="A66">
        <v>65</v>
      </c>
      <c r="B66" s="6">
        <v>42424.254988425928</v>
      </c>
      <c r="C66" s="7">
        <v>0.25498842592592591</v>
      </c>
      <c r="D66" s="8">
        <v>4</v>
      </c>
      <c r="E66" s="9" t="s">
        <v>3041</v>
      </c>
      <c r="F66">
        <f t="shared" si="0"/>
        <v>30</v>
      </c>
      <c r="G66">
        <v>32</v>
      </c>
      <c r="H66">
        <v>4</v>
      </c>
      <c r="I66">
        <v>36</v>
      </c>
      <c r="J66" s="67">
        <v>-2</v>
      </c>
    </row>
    <row r="67" spans="1:10">
      <c r="A67">
        <v>66</v>
      </c>
      <c r="B67" s="10">
        <v>42424.255023148151</v>
      </c>
      <c r="C67" s="11">
        <v>0.25502314814814814</v>
      </c>
      <c r="D67" s="12">
        <v>4</v>
      </c>
      <c r="E67" s="13" t="s">
        <v>3041</v>
      </c>
      <c r="F67">
        <f t="shared" ref="F67:F130" si="3">40*0.75</f>
        <v>30</v>
      </c>
      <c r="G67">
        <v>32</v>
      </c>
      <c r="H67">
        <v>2</v>
      </c>
      <c r="I67">
        <v>34</v>
      </c>
      <c r="J67" s="67">
        <v>-2</v>
      </c>
    </row>
    <row r="68" spans="1:10">
      <c r="A68">
        <v>67</v>
      </c>
      <c r="B68" s="10">
        <v>42424.255173611113</v>
      </c>
      <c r="C68" s="11">
        <v>0.25517361111111109</v>
      </c>
      <c r="D68" s="12">
        <v>4</v>
      </c>
      <c r="E68" s="13" t="s">
        <v>3041</v>
      </c>
      <c r="F68">
        <f t="shared" si="3"/>
        <v>30</v>
      </c>
      <c r="G68">
        <v>28</v>
      </c>
      <c r="H68">
        <v>4</v>
      </c>
      <c r="I68">
        <v>32</v>
      </c>
      <c r="J68" s="67">
        <v>2</v>
      </c>
    </row>
    <row r="69" spans="1:10">
      <c r="A69">
        <v>68</v>
      </c>
      <c r="B69" s="10">
        <v>42424.255196759259</v>
      </c>
      <c r="C69" s="11">
        <v>0.25519675925925928</v>
      </c>
      <c r="D69" s="12">
        <v>4</v>
      </c>
      <c r="E69" s="13" t="s">
        <v>3041</v>
      </c>
      <c r="F69">
        <f t="shared" si="3"/>
        <v>30</v>
      </c>
      <c r="G69">
        <v>11</v>
      </c>
      <c r="H69">
        <v>2</v>
      </c>
      <c r="I69">
        <v>13</v>
      </c>
      <c r="J69" s="67">
        <v>19</v>
      </c>
    </row>
    <row r="70" spans="1:10">
      <c r="A70">
        <v>69</v>
      </c>
      <c r="B70" s="10">
        <v>42424.255219907405</v>
      </c>
      <c r="C70" s="11">
        <v>0.25521990740740741</v>
      </c>
      <c r="D70" s="12">
        <v>4</v>
      </c>
      <c r="E70" s="13" t="s">
        <v>3041</v>
      </c>
      <c r="F70">
        <f t="shared" si="3"/>
        <v>30</v>
      </c>
      <c r="G70">
        <v>0</v>
      </c>
      <c r="H70">
        <v>0</v>
      </c>
      <c r="I70">
        <v>0</v>
      </c>
      <c r="J70" s="67">
        <v>30</v>
      </c>
    </row>
    <row r="71" spans="1:10">
      <c r="A71">
        <v>70</v>
      </c>
      <c r="B71" s="10">
        <v>42424.255243055559</v>
      </c>
      <c r="C71" s="11">
        <v>0.25524305555555554</v>
      </c>
      <c r="D71" s="12">
        <v>4</v>
      </c>
      <c r="E71" s="13" t="s">
        <v>3041</v>
      </c>
      <c r="F71">
        <f t="shared" si="3"/>
        <v>30</v>
      </c>
      <c r="G71">
        <v>5</v>
      </c>
      <c r="H71">
        <v>2</v>
      </c>
      <c r="I71">
        <v>7</v>
      </c>
      <c r="J71" s="67">
        <v>25</v>
      </c>
    </row>
    <row r="72" spans="1:10">
      <c r="A72">
        <v>71</v>
      </c>
      <c r="B72" s="10">
        <v>42424.255266203705</v>
      </c>
      <c r="C72" s="11">
        <v>0.25526620370370373</v>
      </c>
      <c r="D72" s="12">
        <v>4</v>
      </c>
      <c r="E72" s="13" t="s">
        <v>3041</v>
      </c>
      <c r="F72">
        <f t="shared" si="3"/>
        <v>30</v>
      </c>
      <c r="G72">
        <v>32</v>
      </c>
      <c r="H72">
        <v>2</v>
      </c>
      <c r="I72">
        <v>34</v>
      </c>
      <c r="J72" s="67">
        <v>-2</v>
      </c>
    </row>
    <row r="73" spans="1:10" ht="15" thickBot="1">
      <c r="A73">
        <v>72</v>
      </c>
      <c r="B73" s="14">
        <v>42424.255289351851</v>
      </c>
      <c r="C73" s="15">
        <v>0.25528935185185186</v>
      </c>
      <c r="D73" s="16">
        <v>4</v>
      </c>
      <c r="E73" s="17" t="s">
        <v>3041</v>
      </c>
      <c r="F73">
        <f t="shared" si="3"/>
        <v>30</v>
      </c>
      <c r="G73">
        <v>15</v>
      </c>
      <c r="H73">
        <v>4</v>
      </c>
      <c r="I73">
        <v>19</v>
      </c>
      <c r="J73" s="67">
        <v>15</v>
      </c>
    </row>
    <row r="74" spans="1:10">
      <c r="A74">
        <v>73</v>
      </c>
      <c r="B74" s="6">
        <v>42424.583078703705</v>
      </c>
      <c r="C74" s="7">
        <v>0.58307870370370374</v>
      </c>
      <c r="D74" s="8">
        <v>4</v>
      </c>
      <c r="E74" s="9" t="s">
        <v>3041</v>
      </c>
      <c r="F74">
        <f t="shared" si="3"/>
        <v>30</v>
      </c>
      <c r="G74">
        <v>20</v>
      </c>
      <c r="H74">
        <v>2</v>
      </c>
      <c r="I74">
        <v>22</v>
      </c>
      <c r="J74" s="67">
        <v>10</v>
      </c>
    </row>
    <row r="75" spans="1:10">
      <c r="A75">
        <v>74</v>
      </c>
      <c r="B75" s="10">
        <v>42424.583124999997</v>
      </c>
      <c r="C75" s="11">
        <v>0.583125</v>
      </c>
      <c r="D75" s="12">
        <v>4</v>
      </c>
      <c r="E75" s="13" t="s">
        <v>3041</v>
      </c>
      <c r="F75">
        <f t="shared" si="3"/>
        <v>30</v>
      </c>
      <c r="G75">
        <v>35</v>
      </c>
      <c r="H75">
        <v>4</v>
      </c>
      <c r="I75">
        <v>39</v>
      </c>
      <c r="J75" s="67">
        <v>-5</v>
      </c>
    </row>
    <row r="76" spans="1:10">
      <c r="A76">
        <v>75</v>
      </c>
      <c r="B76" s="10">
        <v>42424.58315972222</v>
      </c>
      <c r="C76" s="11">
        <v>0.58315972222222223</v>
      </c>
      <c r="D76" s="12">
        <v>4</v>
      </c>
      <c r="E76" s="13" t="s">
        <v>3041</v>
      </c>
      <c r="F76">
        <f t="shared" si="3"/>
        <v>30</v>
      </c>
      <c r="G76">
        <v>31</v>
      </c>
      <c r="H76">
        <v>3</v>
      </c>
      <c r="I76">
        <v>34</v>
      </c>
      <c r="J76" s="67">
        <v>-1</v>
      </c>
    </row>
    <row r="77" spans="1:10">
      <c r="A77">
        <v>76</v>
      </c>
      <c r="B77" s="10">
        <v>42424.583182870374</v>
      </c>
      <c r="C77" s="11">
        <v>0.58318287037037042</v>
      </c>
      <c r="D77" s="12">
        <v>4</v>
      </c>
      <c r="E77" s="13" t="s">
        <v>3041</v>
      </c>
      <c r="F77">
        <f t="shared" si="3"/>
        <v>30</v>
      </c>
      <c r="G77">
        <v>19</v>
      </c>
      <c r="H77">
        <v>2</v>
      </c>
      <c r="I77">
        <v>21</v>
      </c>
      <c r="J77" s="67">
        <v>11</v>
      </c>
    </row>
    <row r="78" spans="1:10">
      <c r="A78">
        <v>77</v>
      </c>
      <c r="B78" s="10">
        <v>42424.58321759259</v>
      </c>
      <c r="C78" s="11">
        <v>0.58321759259259254</v>
      </c>
      <c r="D78" s="12">
        <v>4</v>
      </c>
      <c r="E78" s="13" t="s">
        <v>3041</v>
      </c>
      <c r="F78">
        <f t="shared" si="3"/>
        <v>30</v>
      </c>
      <c r="G78">
        <v>30</v>
      </c>
      <c r="H78">
        <v>2</v>
      </c>
      <c r="I78">
        <v>32</v>
      </c>
      <c r="J78" s="67">
        <v>0</v>
      </c>
    </row>
    <row r="79" spans="1:10">
      <c r="A79">
        <v>78</v>
      </c>
      <c r="B79" s="10">
        <v>42424.583252314813</v>
      </c>
      <c r="C79" s="11">
        <v>0.58325231481481477</v>
      </c>
      <c r="D79" s="12">
        <v>4</v>
      </c>
      <c r="E79" s="13" t="s">
        <v>3041</v>
      </c>
      <c r="F79">
        <f t="shared" si="3"/>
        <v>30</v>
      </c>
      <c r="G79">
        <v>29</v>
      </c>
      <c r="H79">
        <v>2</v>
      </c>
      <c r="I79">
        <v>31</v>
      </c>
      <c r="J79" s="67">
        <v>1</v>
      </c>
    </row>
    <row r="80" spans="1:10">
      <c r="A80">
        <v>79</v>
      </c>
      <c r="B80" s="10">
        <v>42424.583287037036</v>
      </c>
      <c r="C80" s="11">
        <v>0.58328703703703699</v>
      </c>
      <c r="D80" s="12">
        <v>4</v>
      </c>
      <c r="E80" s="13" t="s">
        <v>3041</v>
      </c>
      <c r="F80">
        <f t="shared" si="3"/>
        <v>30</v>
      </c>
      <c r="G80">
        <v>30</v>
      </c>
      <c r="H80">
        <v>2</v>
      </c>
      <c r="I80">
        <v>32</v>
      </c>
      <c r="J80" s="67">
        <v>0</v>
      </c>
    </row>
    <row r="81" spans="1:10" ht="15" thickBot="1">
      <c r="A81">
        <v>80</v>
      </c>
      <c r="B81" s="14">
        <v>42424.583310185182</v>
      </c>
      <c r="C81" s="15">
        <v>0.58331018518518518</v>
      </c>
      <c r="D81" s="16">
        <v>4</v>
      </c>
      <c r="E81" s="17" t="s">
        <v>3041</v>
      </c>
      <c r="F81">
        <f t="shared" si="3"/>
        <v>30</v>
      </c>
      <c r="G81">
        <v>25</v>
      </c>
      <c r="H81">
        <v>1</v>
      </c>
      <c r="I81">
        <v>26</v>
      </c>
      <c r="J81" s="67">
        <v>5</v>
      </c>
    </row>
    <row r="82" spans="1:10">
      <c r="A82">
        <v>81</v>
      </c>
      <c r="B82" s="6">
        <v>42425.256064814814</v>
      </c>
      <c r="C82" s="7">
        <v>0.2560648148148148</v>
      </c>
      <c r="D82" s="8">
        <v>4</v>
      </c>
      <c r="E82" s="9" t="s">
        <v>3041</v>
      </c>
      <c r="F82">
        <f t="shared" si="3"/>
        <v>30</v>
      </c>
      <c r="G82">
        <v>14</v>
      </c>
      <c r="H82">
        <v>2</v>
      </c>
      <c r="I82">
        <v>16</v>
      </c>
      <c r="J82" s="67">
        <v>16</v>
      </c>
    </row>
    <row r="83" spans="1:10">
      <c r="A83">
        <v>82</v>
      </c>
      <c r="B83" s="10">
        <v>42425.270370370374</v>
      </c>
      <c r="C83" s="11">
        <v>0.27037037037037037</v>
      </c>
      <c r="D83" s="12">
        <v>4</v>
      </c>
      <c r="E83" s="13" t="s">
        <v>3041</v>
      </c>
      <c r="F83">
        <f t="shared" si="3"/>
        <v>30</v>
      </c>
      <c r="G83">
        <v>30</v>
      </c>
      <c r="H83">
        <v>4</v>
      </c>
      <c r="I83">
        <v>34</v>
      </c>
      <c r="J83" s="67">
        <v>0</v>
      </c>
    </row>
    <row r="84" spans="1:10">
      <c r="A84">
        <v>83</v>
      </c>
      <c r="B84" s="10">
        <v>42425.27039351852</v>
      </c>
      <c r="C84" s="11">
        <v>0.27039351851851851</v>
      </c>
      <c r="D84" s="12">
        <v>4</v>
      </c>
      <c r="E84" s="13" t="s">
        <v>3041</v>
      </c>
      <c r="F84">
        <f t="shared" si="3"/>
        <v>30</v>
      </c>
      <c r="G84">
        <v>3</v>
      </c>
      <c r="H84">
        <v>0</v>
      </c>
      <c r="I84">
        <v>3</v>
      </c>
      <c r="J84" s="67">
        <v>27</v>
      </c>
    </row>
    <row r="85" spans="1:10">
      <c r="A85">
        <v>84</v>
      </c>
      <c r="B85" s="10">
        <v>42425.270405092589</v>
      </c>
      <c r="C85" s="11">
        <v>0.2704050925925926</v>
      </c>
      <c r="D85" s="12">
        <v>4</v>
      </c>
      <c r="E85" s="13" t="s">
        <v>3041</v>
      </c>
      <c r="F85">
        <f t="shared" si="3"/>
        <v>30</v>
      </c>
      <c r="G85">
        <v>0</v>
      </c>
      <c r="H85">
        <v>0</v>
      </c>
      <c r="I85">
        <v>0</v>
      </c>
      <c r="J85" s="67">
        <v>30</v>
      </c>
    </row>
    <row r="86" spans="1:10">
      <c r="A86">
        <v>85</v>
      </c>
      <c r="B86" s="10">
        <v>42425.270439814813</v>
      </c>
      <c r="C86" s="11">
        <v>0.27043981481481483</v>
      </c>
      <c r="D86" s="12">
        <v>4</v>
      </c>
      <c r="E86" s="13" t="s">
        <v>3041</v>
      </c>
      <c r="F86">
        <f t="shared" si="3"/>
        <v>30</v>
      </c>
      <c r="G86">
        <v>2</v>
      </c>
      <c r="H86">
        <v>0</v>
      </c>
      <c r="I86">
        <v>2</v>
      </c>
      <c r="J86" s="67">
        <v>28</v>
      </c>
    </row>
    <row r="87" spans="1:10">
      <c r="A87">
        <v>86</v>
      </c>
      <c r="B87" s="10">
        <v>42425.270462962966</v>
      </c>
      <c r="C87" s="11">
        <v>0.27046296296296296</v>
      </c>
      <c r="D87" s="12">
        <v>4</v>
      </c>
      <c r="E87" s="13" t="s">
        <v>3041</v>
      </c>
      <c r="F87">
        <f t="shared" si="3"/>
        <v>30</v>
      </c>
      <c r="G87">
        <v>0</v>
      </c>
      <c r="H87">
        <v>0</v>
      </c>
      <c r="I87">
        <v>0</v>
      </c>
      <c r="J87" s="67">
        <v>30</v>
      </c>
    </row>
    <row r="88" spans="1:10">
      <c r="A88">
        <v>87</v>
      </c>
      <c r="B88" s="10">
        <v>42425.270486111112</v>
      </c>
      <c r="C88" s="11">
        <v>0.27048611111111109</v>
      </c>
      <c r="D88" s="12">
        <v>4</v>
      </c>
      <c r="E88" s="13" t="s">
        <v>3041</v>
      </c>
      <c r="F88">
        <f t="shared" si="3"/>
        <v>30</v>
      </c>
      <c r="G88">
        <v>15</v>
      </c>
      <c r="H88">
        <v>3</v>
      </c>
      <c r="I88">
        <v>18</v>
      </c>
      <c r="J88" s="67">
        <v>15</v>
      </c>
    </row>
    <row r="89" spans="1:10" ht="15" thickBot="1">
      <c r="A89">
        <v>88</v>
      </c>
      <c r="B89" s="14">
        <v>42425.270509259259</v>
      </c>
      <c r="C89" s="15">
        <v>0.27050925925925928</v>
      </c>
      <c r="D89" s="16">
        <v>4</v>
      </c>
      <c r="E89" s="17" t="s">
        <v>3041</v>
      </c>
      <c r="F89">
        <f t="shared" si="3"/>
        <v>30</v>
      </c>
      <c r="G89">
        <v>22</v>
      </c>
      <c r="H89">
        <v>0</v>
      </c>
      <c r="I89">
        <v>22</v>
      </c>
      <c r="J89" s="67">
        <v>8</v>
      </c>
    </row>
    <row r="90" spans="1:10">
      <c r="A90">
        <v>89</v>
      </c>
      <c r="B90" s="6">
        <v>42425.582789351851</v>
      </c>
      <c r="C90" s="7">
        <v>0.58278935185185188</v>
      </c>
      <c r="D90" s="8">
        <v>4</v>
      </c>
      <c r="E90" s="9" t="s">
        <v>3041</v>
      </c>
      <c r="F90">
        <f t="shared" si="3"/>
        <v>30</v>
      </c>
      <c r="G90">
        <v>22</v>
      </c>
      <c r="H90">
        <v>2</v>
      </c>
      <c r="I90">
        <v>24</v>
      </c>
      <c r="J90" s="67">
        <v>8</v>
      </c>
    </row>
    <row r="91" spans="1:10">
      <c r="A91">
        <v>90</v>
      </c>
      <c r="B91" s="10">
        <v>42425.582824074074</v>
      </c>
      <c r="C91" s="11">
        <v>0.58282407407407411</v>
      </c>
      <c r="D91" s="12">
        <v>4</v>
      </c>
      <c r="E91" s="13" t="s">
        <v>3041</v>
      </c>
      <c r="F91">
        <f t="shared" si="3"/>
        <v>30</v>
      </c>
      <c r="G91">
        <v>32</v>
      </c>
      <c r="H91">
        <v>0</v>
      </c>
      <c r="I91">
        <v>32</v>
      </c>
      <c r="J91" s="67">
        <v>-2</v>
      </c>
    </row>
    <row r="92" spans="1:10">
      <c r="A92">
        <v>91</v>
      </c>
      <c r="B92" s="10">
        <v>42425.582858796297</v>
      </c>
      <c r="C92" s="11">
        <v>0.58285879629629633</v>
      </c>
      <c r="D92" s="12">
        <v>4</v>
      </c>
      <c r="E92" s="13" t="s">
        <v>3041</v>
      </c>
      <c r="F92">
        <f t="shared" si="3"/>
        <v>30</v>
      </c>
      <c r="G92">
        <v>32</v>
      </c>
      <c r="H92">
        <v>2</v>
      </c>
      <c r="I92">
        <v>34</v>
      </c>
      <c r="J92" s="67">
        <v>-2</v>
      </c>
    </row>
    <row r="93" spans="1:10">
      <c r="A93">
        <v>92</v>
      </c>
      <c r="B93" s="10">
        <v>42425.58289351852</v>
      </c>
      <c r="C93" s="11">
        <v>0.58289351851851856</v>
      </c>
      <c r="D93" s="12">
        <v>4</v>
      </c>
      <c r="E93" s="13" t="s">
        <v>3041</v>
      </c>
      <c r="F93">
        <f t="shared" si="3"/>
        <v>30</v>
      </c>
      <c r="G93">
        <v>23</v>
      </c>
      <c r="H93">
        <v>2</v>
      </c>
      <c r="I93">
        <v>25</v>
      </c>
      <c r="J93" s="67">
        <v>7</v>
      </c>
    </row>
    <row r="94" spans="1:10">
      <c r="A94">
        <v>93</v>
      </c>
      <c r="B94" s="10">
        <v>42425.582939814813</v>
      </c>
      <c r="C94" s="11">
        <v>0.58293981481481483</v>
      </c>
      <c r="D94" s="12">
        <v>4</v>
      </c>
      <c r="E94" s="13" t="s">
        <v>3041</v>
      </c>
      <c r="F94">
        <f t="shared" si="3"/>
        <v>30</v>
      </c>
      <c r="G94">
        <v>35</v>
      </c>
      <c r="H94">
        <v>2</v>
      </c>
      <c r="I94">
        <v>37</v>
      </c>
      <c r="J94" s="67">
        <v>-5</v>
      </c>
    </row>
    <row r="95" spans="1:10">
      <c r="A95">
        <v>94</v>
      </c>
      <c r="B95" s="10">
        <v>42425.582974537036</v>
      </c>
      <c r="C95" s="11">
        <v>0.58297453703703705</v>
      </c>
      <c r="D95" s="12">
        <v>4</v>
      </c>
      <c r="E95" s="13" t="s">
        <v>3041</v>
      </c>
      <c r="F95">
        <f t="shared" si="3"/>
        <v>30</v>
      </c>
      <c r="G95">
        <v>32</v>
      </c>
      <c r="H95">
        <v>2</v>
      </c>
      <c r="I95">
        <v>34</v>
      </c>
      <c r="J95" s="67">
        <v>-2</v>
      </c>
    </row>
    <row r="96" spans="1:10">
      <c r="A96">
        <v>95</v>
      </c>
      <c r="B96" s="10">
        <v>42425.583009259259</v>
      </c>
      <c r="C96" s="11">
        <v>0.58300925925925928</v>
      </c>
      <c r="D96" s="12">
        <v>4</v>
      </c>
      <c r="E96" s="13" t="s">
        <v>3041</v>
      </c>
      <c r="F96">
        <f t="shared" si="3"/>
        <v>30</v>
      </c>
      <c r="G96">
        <v>32</v>
      </c>
      <c r="H96">
        <v>2</v>
      </c>
      <c r="I96">
        <v>34</v>
      </c>
      <c r="J96" s="67">
        <v>-2</v>
      </c>
    </row>
    <row r="97" spans="1:10" ht="15" thickBot="1">
      <c r="A97">
        <v>96</v>
      </c>
      <c r="B97" s="14">
        <v>42425.583043981482</v>
      </c>
      <c r="C97" s="15">
        <v>0.58304398148148151</v>
      </c>
      <c r="D97" s="16">
        <v>4</v>
      </c>
      <c r="E97" s="17" t="s">
        <v>3041</v>
      </c>
      <c r="F97">
        <f t="shared" si="3"/>
        <v>30</v>
      </c>
      <c r="G97">
        <v>21</v>
      </c>
      <c r="H97">
        <v>0</v>
      </c>
      <c r="I97">
        <v>21</v>
      </c>
      <c r="J97" s="67">
        <v>9</v>
      </c>
    </row>
    <row r="98" spans="1:10">
      <c r="A98">
        <v>97</v>
      </c>
      <c r="B98" s="6">
        <v>42428.252997685187</v>
      </c>
      <c r="C98" s="7">
        <v>0.25299768518518517</v>
      </c>
      <c r="D98" s="8">
        <v>4</v>
      </c>
      <c r="E98" s="9" t="s">
        <v>3041</v>
      </c>
      <c r="F98">
        <f t="shared" si="3"/>
        <v>30</v>
      </c>
      <c r="G98">
        <v>19</v>
      </c>
      <c r="H98">
        <v>2</v>
      </c>
      <c r="I98">
        <v>21</v>
      </c>
      <c r="J98" s="67">
        <v>11</v>
      </c>
    </row>
    <row r="99" spans="1:10">
      <c r="A99">
        <v>98</v>
      </c>
      <c r="B99" s="10">
        <v>42428.253032407411</v>
      </c>
      <c r="C99" s="11">
        <v>0.2530324074074074</v>
      </c>
      <c r="D99" s="12">
        <v>4</v>
      </c>
      <c r="E99" s="13" t="s">
        <v>3041</v>
      </c>
      <c r="F99">
        <f t="shared" si="3"/>
        <v>30</v>
      </c>
      <c r="G99">
        <v>36</v>
      </c>
      <c r="H99">
        <v>1</v>
      </c>
      <c r="I99">
        <v>37</v>
      </c>
      <c r="J99" s="67">
        <v>-6</v>
      </c>
    </row>
    <row r="100" spans="1:10">
      <c r="A100">
        <v>99</v>
      </c>
      <c r="B100" s="10">
        <v>42428.253055555557</v>
      </c>
      <c r="C100" s="11">
        <v>0.25305555555555553</v>
      </c>
      <c r="D100" s="12">
        <v>4</v>
      </c>
      <c r="E100" s="13" t="s">
        <v>3041</v>
      </c>
      <c r="F100">
        <f t="shared" si="3"/>
        <v>30</v>
      </c>
      <c r="G100">
        <v>33</v>
      </c>
      <c r="H100">
        <v>1</v>
      </c>
      <c r="I100">
        <v>34</v>
      </c>
      <c r="J100" s="67">
        <v>-3</v>
      </c>
    </row>
    <row r="101" spans="1:10">
      <c r="A101">
        <v>100</v>
      </c>
      <c r="B101" s="10">
        <v>42428.25309027778</v>
      </c>
      <c r="C101" s="11">
        <v>0.25309027777777776</v>
      </c>
      <c r="D101" s="12">
        <v>4</v>
      </c>
      <c r="E101" s="13" t="s">
        <v>3041</v>
      </c>
      <c r="F101">
        <f t="shared" si="3"/>
        <v>30</v>
      </c>
      <c r="G101">
        <v>17</v>
      </c>
      <c r="H101">
        <v>1</v>
      </c>
      <c r="I101">
        <v>18</v>
      </c>
      <c r="J101" s="67">
        <v>13</v>
      </c>
    </row>
    <row r="102" spans="1:10">
      <c r="A102">
        <v>101</v>
      </c>
      <c r="B102" s="10">
        <v>42428.253113425926</v>
      </c>
      <c r="C102" s="11">
        <v>0.25311342592592595</v>
      </c>
      <c r="D102" s="12">
        <v>4</v>
      </c>
      <c r="E102" s="13" t="s">
        <v>3041</v>
      </c>
      <c r="F102">
        <f t="shared" si="3"/>
        <v>30</v>
      </c>
      <c r="G102">
        <v>32</v>
      </c>
      <c r="H102">
        <v>2</v>
      </c>
      <c r="I102">
        <v>34</v>
      </c>
      <c r="J102" s="67">
        <v>-2</v>
      </c>
    </row>
    <row r="103" spans="1:10">
      <c r="A103">
        <v>102</v>
      </c>
      <c r="B103" s="10">
        <v>42428.253148148149</v>
      </c>
      <c r="C103" s="11">
        <v>0.25314814814814812</v>
      </c>
      <c r="D103" s="12">
        <v>4</v>
      </c>
      <c r="E103" s="13" t="s">
        <v>3041</v>
      </c>
      <c r="F103">
        <f t="shared" si="3"/>
        <v>30</v>
      </c>
      <c r="G103">
        <v>30</v>
      </c>
      <c r="H103">
        <v>2</v>
      </c>
      <c r="I103">
        <v>32</v>
      </c>
      <c r="J103" s="67">
        <v>0</v>
      </c>
    </row>
    <row r="104" spans="1:10">
      <c r="A104">
        <v>103</v>
      </c>
      <c r="B104" s="10">
        <v>42428.253194444442</v>
      </c>
      <c r="C104" s="11">
        <v>0.25319444444444444</v>
      </c>
      <c r="D104" s="12">
        <v>4</v>
      </c>
      <c r="E104" s="13" t="s">
        <v>3041</v>
      </c>
      <c r="F104">
        <f t="shared" si="3"/>
        <v>30</v>
      </c>
      <c r="G104">
        <v>34</v>
      </c>
      <c r="H104">
        <v>1</v>
      </c>
      <c r="I104">
        <v>35</v>
      </c>
      <c r="J104" s="67">
        <v>-4</v>
      </c>
    </row>
    <row r="105" spans="1:10" ht="15" thickBot="1">
      <c r="A105">
        <v>104</v>
      </c>
      <c r="B105" s="14">
        <v>42428.253229166665</v>
      </c>
      <c r="C105" s="15">
        <v>0.25322916666666667</v>
      </c>
      <c r="D105" s="16">
        <v>4</v>
      </c>
      <c r="E105" s="17" t="s">
        <v>3041</v>
      </c>
      <c r="F105">
        <f t="shared" si="3"/>
        <v>30</v>
      </c>
      <c r="G105">
        <v>7</v>
      </c>
      <c r="H105">
        <v>1</v>
      </c>
      <c r="I105">
        <v>8</v>
      </c>
      <c r="J105" s="67">
        <v>23</v>
      </c>
    </row>
    <row r="106" spans="1:10">
      <c r="A106">
        <v>105</v>
      </c>
      <c r="B106" s="6">
        <v>42428.58252314815</v>
      </c>
      <c r="C106" s="7">
        <v>0.5825231481481481</v>
      </c>
      <c r="D106" s="8">
        <v>4</v>
      </c>
      <c r="E106" s="9" t="s">
        <v>3041</v>
      </c>
      <c r="F106">
        <f t="shared" si="3"/>
        <v>30</v>
      </c>
      <c r="G106">
        <v>29</v>
      </c>
      <c r="H106">
        <v>3</v>
      </c>
      <c r="I106">
        <v>32</v>
      </c>
      <c r="J106" s="67">
        <v>1</v>
      </c>
    </row>
    <row r="107" spans="1:10">
      <c r="A107">
        <v>106</v>
      </c>
      <c r="B107" s="10">
        <v>42428.582557870373</v>
      </c>
      <c r="C107" s="11">
        <v>0.58255787037037032</v>
      </c>
      <c r="D107" s="12">
        <v>4</v>
      </c>
      <c r="E107" s="13" t="s">
        <v>3041</v>
      </c>
      <c r="F107">
        <f t="shared" si="3"/>
        <v>30</v>
      </c>
      <c r="G107">
        <v>31</v>
      </c>
      <c r="H107">
        <v>2</v>
      </c>
      <c r="I107">
        <v>33</v>
      </c>
      <c r="J107" s="67">
        <v>-1</v>
      </c>
    </row>
    <row r="108" spans="1:10">
      <c r="A108">
        <v>107</v>
      </c>
      <c r="B108" s="10">
        <v>42428.582592592589</v>
      </c>
      <c r="C108" s="11">
        <v>0.58259259259259255</v>
      </c>
      <c r="D108" s="12">
        <v>4</v>
      </c>
      <c r="E108" s="13" t="s">
        <v>3041</v>
      </c>
      <c r="F108">
        <f t="shared" si="3"/>
        <v>30</v>
      </c>
      <c r="G108">
        <v>30</v>
      </c>
      <c r="H108">
        <v>4</v>
      </c>
      <c r="I108">
        <v>34</v>
      </c>
      <c r="J108" s="67">
        <v>0</v>
      </c>
    </row>
    <row r="109" spans="1:10">
      <c r="A109">
        <v>108</v>
      </c>
      <c r="B109" s="10">
        <v>42428.582638888889</v>
      </c>
      <c r="C109" s="11">
        <v>0.58263888888888893</v>
      </c>
      <c r="D109" s="12">
        <v>4</v>
      </c>
      <c r="E109" s="13" t="s">
        <v>3041</v>
      </c>
      <c r="F109">
        <f t="shared" si="3"/>
        <v>30</v>
      </c>
      <c r="G109">
        <v>20</v>
      </c>
      <c r="H109">
        <v>2</v>
      </c>
      <c r="I109">
        <v>22</v>
      </c>
      <c r="J109" s="67">
        <v>10</v>
      </c>
    </row>
    <row r="110" spans="1:10">
      <c r="A110">
        <v>109</v>
      </c>
      <c r="B110" s="10">
        <v>42428.582662037035</v>
      </c>
      <c r="C110" s="11">
        <v>0.58266203703703701</v>
      </c>
      <c r="D110" s="12">
        <v>4</v>
      </c>
      <c r="E110" s="13" t="s">
        <v>3041</v>
      </c>
      <c r="F110">
        <f t="shared" si="3"/>
        <v>30</v>
      </c>
      <c r="G110">
        <v>34</v>
      </c>
      <c r="H110">
        <v>2</v>
      </c>
      <c r="I110">
        <v>36</v>
      </c>
      <c r="J110" s="67">
        <v>-4</v>
      </c>
    </row>
    <row r="111" spans="1:10">
      <c r="A111">
        <v>110</v>
      </c>
      <c r="B111" s="10">
        <v>42428.582673611112</v>
      </c>
      <c r="C111" s="11">
        <v>0.58267361111111116</v>
      </c>
      <c r="D111" s="12">
        <v>4</v>
      </c>
      <c r="E111" s="13" t="s">
        <v>3041</v>
      </c>
      <c r="F111">
        <f t="shared" si="3"/>
        <v>30</v>
      </c>
      <c r="G111">
        <v>32</v>
      </c>
      <c r="H111">
        <v>1</v>
      </c>
      <c r="I111">
        <v>33</v>
      </c>
      <c r="J111" s="67">
        <v>-2</v>
      </c>
    </row>
    <row r="112" spans="1:10">
      <c r="A112">
        <v>111</v>
      </c>
      <c r="B112" s="10">
        <v>42428.582696759258</v>
      </c>
      <c r="C112" s="11">
        <v>0.58269675925925923</v>
      </c>
      <c r="D112" s="12">
        <v>4</v>
      </c>
      <c r="E112" s="13" t="s">
        <v>3041</v>
      </c>
      <c r="F112">
        <f t="shared" si="3"/>
        <v>30</v>
      </c>
      <c r="G112">
        <v>30</v>
      </c>
      <c r="H112">
        <v>2</v>
      </c>
      <c r="I112">
        <v>32</v>
      </c>
      <c r="J112" s="67">
        <v>0</v>
      </c>
    </row>
    <row r="113" spans="1:10" ht="15" thickBot="1">
      <c r="A113">
        <v>112</v>
      </c>
      <c r="B113" s="14">
        <v>42428.582754629628</v>
      </c>
      <c r="C113" s="15">
        <v>0.58275462962962965</v>
      </c>
      <c r="D113" s="16">
        <v>4</v>
      </c>
      <c r="E113" s="17" t="s">
        <v>3041</v>
      </c>
      <c r="F113">
        <f t="shared" si="3"/>
        <v>30</v>
      </c>
      <c r="G113">
        <v>23</v>
      </c>
      <c r="H113">
        <v>2</v>
      </c>
      <c r="I113">
        <v>25</v>
      </c>
      <c r="J113" s="67">
        <v>7</v>
      </c>
    </row>
    <row r="114" spans="1:10">
      <c r="A114">
        <v>113</v>
      </c>
      <c r="B114" s="6">
        <v>42428.916388888887</v>
      </c>
      <c r="C114" s="7">
        <v>0.91638888888888892</v>
      </c>
      <c r="D114" s="8">
        <v>4</v>
      </c>
      <c r="E114" s="9" t="s">
        <v>3041</v>
      </c>
      <c r="F114">
        <f t="shared" si="3"/>
        <v>30</v>
      </c>
      <c r="G114">
        <v>32</v>
      </c>
      <c r="H114">
        <v>2</v>
      </c>
      <c r="I114">
        <v>34</v>
      </c>
      <c r="J114" s="67">
        <v>-2</v>
      </c>
    </row>
    <row r="115" spans="1:10">
      <c r="A115">
        <v>114</v>
      </c>
      <c r="B115" s="10">
        <v>42428.919895833336</v>
      </c>
      <c r="C115" s="11">
        <v>0.91989583333333336</v>
      </c>
      <c r="D115" s="12">
        <v>4</v>
      </c>
      <c r="E115" s="13" t="s">
        <v>3041</v>
      </c>
      <c r="F115">
        <f t="shared" si="3"/>
        <v>30</v>
      </c>
      <c r="G115">
        <v>36</v>
      </c>
      <c r="H115">
        <v>0</v>
      </c>
      <c r="I115">
        <v>36</v>
      </c>
      <c r="J115" s="67">
        <v>-6</v>
      </c>
    </row>
    <row r="116" spans="1:10">
      <c r="A116">
        <v>115</v>
      </c>
      <c r="B116" s="10">
        <v>42428.919930555552</v>
      </c>
      <c r="C116" s="11">
        <v>0.91993055555555558</v>
      </c>
      <c r="D116" s="12">
        <v>4</v>
      </c>
      <c r="E116" s="13" t="s">
        <v>3041</v>
      </c>
      <c r="F116">
        <f t="shared" si="3"/>
        <v>30</v>
      </c>
      <c r="G116">
        <v>20</v>
      </c>
      <c r="H116">
        <v>1</v>
      </c>
      <c r="I116">
        <v>21</v>
      </c>
      <c r="J116" s="67">
        <v>10</v>
      </c>
    </row>
    <row r="117" spans="1:10">
      <c r="A117">
        <v>116</v>
      </c>
      <c r="B117" s="10">
        <v>42428.919953703706</v>
      </c>
      <c r="C117" s="11">
        <v>0.91995370370370366</v>
      </c>
      <c r="D117" s="12">
        <v>4</v>
      </c>
      <c r="E117" s="13" t="s">
        <v>3041</v>
      </c>
      <c r="F117">
        <f t="shared" si="3"/>
        <v>30</v>
      </c>
      <c r="G117">
        <v>4</v>
      </c>
      <c r="H117">
        <v>1</v>
      </c>
      <c r="I117">
        <v>5</v>
      </c>
      <c r="J117" s="67">
        <v>26</v>
      </c>
    </row>
    <row r="118" spans="1:10">
      <c r="A118">
        <v>117</v>
      </c>
      <c r="B118" s="10">
        <v>42428.919988425929</v>
      </c>
      <c r="C118" s="11">
        <v>0.91998842592592589</v>
      </c>
      <c r="D118" s="12">
        <v>4</v>
      </c>
      <c r="E118" s="13" t="s">
        <v>3041</v>
      </c>
      <c r="F118">
        <f t="shared" si="3"/>
        <v>30</v>
      </c>
      <c r="G118">
        <v>26</v>
      </c>
      <c r="H118">
        <v>4</v>
      </c>
      <c r="I118">
        <v>30</v>
      </c>
      <c r="J118" s="67">
        <v>4</v>
      </c>
    </row>
    <row r="119" spans="1:10">
      <c r="A119">
        <v>118</v>
      </c>
      <c r="B119" s="10">
        <v>42428.920011574075</v>
      </c>
      <c r="C119" s="11">
        <v>0.92001157407407408</v>
      </c>
      <c r="D119" s="12">
        <v>4</v>
      </c>
      <c r="E119" s="13" t="s">
        <v>3041</v>
      </c>
      <c r="F119">
        <f t="shared" si="3"/>
        <v>30</v>
      </c>
      <c r="G119">
        <v>30</v>
      </c>
      <c r="H119">
        <v>2</v>
      </c>
      <c r="I119">
        <v>32</v>
      </c>
      <c r="J119" s="67">
        <v>0</v>
      </c>
    </row>
    <row r="120" spans="1:10">
      <c r="A120">
        <v>119</v>
      </c>
      <c r="B120" s="10">
        <v>42428.920046296298</v>
      </c>
      <c r="C120" s="11">
        <v>0.92004629629629631</v>
      </c>
      <c r="D120" s="12">
        <v>4</v>
      </c>
      <c r="E120" s="13" t="s">
        <v>3041</v>
      </c>
      <c r="F120">
        <f t="shared" si="3"/>
        <v>30</v>
      </c>
      <c r="G120">
        <v>32</v>
      </c>
      <c r="H120">
        <v>1</v>
      </c>
      <c r="I120">
        <v>33</v>
      </c>
      <c r="J120" s="67">
        <v>-2</v>
      </c>
    </row>
    <row r="121" spans="1:10" ht="15" thickBot="1">
      <c r="A121">
        <v>120</v>
      </c>
      <c r="B121" s="14">
        <v>42428.920081018521</v>
      </c>
      <c r="C121" s="15">
        <v>0.92008101851851853</v>
      </c>
      <c r="D121" s="16">
        <v>4</v>
      </c>
      <c r="E121" s="17" t="s">
        <v>3041</v>
      </c>
      <c r="F121">
        <f t="shared" si="3"/>
        <v>30</v>
      </c>
      <c r="G121">
        <v>17</v>
      </c>
      <c r="H121">
        <v>0</v>
      </c>
      <c r="I121">
        <v>17</v>
      </c>
      <c r="J121" s="67">
        <v>13</v>
      </c>
    </row>
    <row r="122" spans="1:10" s="38" customFormat="1">
      <c r="A122" s="38">
        <v>121</v>
      </c>
      <c r="B122" s="39">
        <v>42430.249560185184</v>
      </c>
      <c r="C122" s="40">
        <v>0.24956018518518519</v>
      </c>
      <c r="D122" s="41">
        <v>4</v>
      </c>
      <c r="E122" s="42" t="s">
        <v>3041</v>
      </c>
      <c r="F122">
        <f t="shared" si="3"/>
        <v>30</v>
      </c>
      <c r="G122">
        <v>30</v>
      </c>
      <c r="H122">
        <v>3</v>
      </c>
      <c r="I122">
        <v>33</v>
      </c>
      <c r="J122" s="67">
        <v>0</v>
      </c>
    </row>
    <row r="123" spans="1:10" s="38" customFormat="1">
      <c r="A123" s="38">
        <v>122</v>
      </c>
      <c r="B123" s="43">
        <v>42430.249606481484</v>
      </c>
      <c r="C123" s="44">
        <v>0.24960648148148148</v>
      </c>
      <c r="D123" s="45">
        <v>4</v>
      </c>
      <c r="E123" s="46" t="s">
        <v>3041</v>
      </c>
      <c r="F123">
        <f t="shared" si="3"/>
        <v>30</v>
      </c>
      <c r="G123">
        <v>29</v>
      </c>
      <c r="H123">
        <v>2</v>
      </c>
      <c r="I123">
        <v>31</v>
      </c>
      <c r="J123" s="67">
        <v>1</v>
      </c>
    </row>
    <row r="124" spans="1:10" s="38" customFormat="1">
      <c r="A124" s="38">
        <v>123</v>
      </c>
      <c r="B124" s="43">
        <v>42430.307800925926</v>
      </c>
      <c r="C124" s="44">
        <v>0.30780092592592595</v>
      </c>
      <c r="D124" s="45">
        <v>4</v>
      </c>
      <c r="E124" s="46" t="s">
        <v>3056</v>
      </c>
      <c r="F124">
        <f t="shared" si="3"/>
        <v>30</v>
      </c>
      <c r="G124">
        <v>26</v>
      </c>
      <c r="H124">
        <v>2</v>
      </c>
      <c r="I124">
        <v>28</v>
      </c>
      <c r="J124" s="67">
        <v>4</v>
      </c>
    </row>
    <row r="125" spans="1:10" s="38" customFormat="1">
      <c r="A125" s="38">
        <v>124</v>
      </c>
      <c r="B125" s="43">
        <v>42430.467905092592</v>
      </c>
      <c r="C125" s="44">
        <v>0.46790509259259261</v>
      </c>
      <c r="D125" s="45">
        <v>4</v>
      </c>
      <c r="E125" s="46" t="s">
        <v>3056</v>
      </c>
      <c r="F125">
        <f t="shared" si="3"/>
        <v>30</v>
      </c>
      <c r="G125">
        <v>15</v>
      </c>
      <c r="H125">
        <v>2</v>
      </c>
      <c r="I125">
        <v>17</v>
      </c>
      <c r="J125" s="67">
        <v>15</v>
      </c>
    </row>
    <row r="126" spans="1:10" s="38" customFormat="1">
      <c r="A126" s="38">
        <v>125</v>
      </c>
      <c r="B126" s="43">
        <v>42430.467870370368</v>
      </c>
      <c r="C126" s="44">
        <v>0.46787037037037038</v>
      </c>
      <c r="D126" s="45">
        <v>4</v>
      </c>
      <c r="E126" s="46" t="s">
        <v>3056</v>
      </c>
      <c r="F126">
        <f t="shared" si="3"/>
        <v>30</v>
      </c>
      <c r="G126">
        <v>30</v>
      </c>
      <c r="H126">
        <v>0</v>
      </c>
      <c r="I126">
        <v>30</v>
      </c>
      <c r="J126" s="67">
        <v>0</v>
      </c>
    </row>
    <row r="127" spans="1:10" s="38" customFormat="1">
      <c r="A127" s="38">
        <v>126</v>
      </c>
      <c r="B127" s="43">
        <v>42430.467962962961</v>
      </c>
      <c r="C127" s="44">
        <v>0.46796296296296297</v>
      </c>
      <c r="D127" s="45">
        <v>4</v>
      </c>
      <c r="E127" s="46" t="s">
        <v>3056</v>
      </c>
      <c r="F127">
        <f t="shared" si="3"/>
        <v>30</v>
      </c>
      <c r="G127">
        <v>30</v>
      </c>
      <c r="H127">
        <v>1</v>
      </c>
      <c r="I127">
        <v>31</v>
      </c>
      <c r="J127" s="67">
        <v>0</v>
      </c>
    </row>
    <row r="128" spans="1:10" s="38" customFormat="1">
      <c r="A128" s="38">
        <v>127</v>
      </c>
      <c r="B128" s="43">
        <v>42430.492696759262</v>
      </c>
      <c r="C128" s="44">
        <v>0.49269675925925926</v>
      </c>
      <c r="D128" s="45">
        <v>4</v>
      </c>
      <c r="E128" s="46" t="s">
        <v>3056</v>
      </c>
      <c r="F128">
        <f t="shared" si="3"/>
        <v>30</v>
      </c>
      <c r="G128">
        <v>31</v>
      </c>
      <c r="H128">
        <v>2</v>
      </c>
      <c r="I128">
        <v>33</v>
      </c>
      <c r="J128" s="67">
        <v>-1</v>
      </c>
    </row>
    <row r="129" spans="1:10" s="38" customFormat="1" ht="15" thickBot="1">
      <c r="A129" s="38">
        <v>128</v>
      </c>
      <c r="B129" s="47">
        <v>42430.492743055554</v>
      </c>
      <c r="C129" s="48">
        <v>0.49274305555555553</v>
      </c>
      <c r="D129" s="49">
        <v>3</v>
      </c>
      <c r="E129" s="50" t="s">
        <v>3056</v>
      </c>
      <c r="F129">
        <f t="shared" si="3"/>
        <v>30</v>
      </c>
      <c r="G129">
        <v>11</v>
      </c>
      <c r="H129">
        <v>1</v>
      </c>
      <c r="I129">
        <v>12</v>
      </c>
      <c r="J129" s="67">
        <v>19</v>
      </c>
    </row>
    <row r="130" spans="1:10" s="51" customFormat="1">
      <c r="A130" s="51">
        <v>129</v>
      </c>
      <c r="B130" s="52">
        <v>42430.58829861111</v>
      </c>
      <c r="C130" s="53">
        <v>0.58829861111111115</v>
      </c>
      <c r="D130" s="54">
        <v>4</v>
      </c>
      <c r="E130" s="55" t="s">
        <v>3056</v>
      </c>
      <c r="F130">
        <f t="shared" si="3"/>
        <v>30</v>
      </c>
      <c r="G130">
        <v>31</v>
      </c>
      <c r="H130">
        <v>2</v>
      </c>
      <c r="I130">
        <v>33</v>
      </c>
      <c r="J130" s="67">
        <v>-1</v>
      </c>
    </row>
    <row r="131" spans="1:10" s="51" customFormat="1">
      <c r="A131" s="51">
        <v>130</v>
      </c>
      <c r="B131" s="56">
        <v>42430.588333333333</v>
      </c>
      <c r="C131" s="57">
        <v>0.58833333333333337</v>
      </c>
      <c r="D131" s="58">
        <v>4</v>
      </c>
      <c r="E131" s="59" t="s">
        <v>3041</v>
      </c>
      <c r="F131">
        <f t="shared" ref="F131:F194" si="4">40*0.75</f>
        <v>30</v>
      </c>
      <c r="G131">
        <v>26</v>
      </c>
      <c r="H131">
        <v>4</v>
      </c>
      <c r="I131">
        <v>30</v>
      </c>
      <c r="J131" s="67">
        <v>4</v>
      </c>
    </row>
    <row r="132" spans="1:10" s="51" customFormat="1">
      <c r="A132" s="51">
        <v>131</v>
      </c>
      <c r="B132" s="56">
        <v>42430.588356481479</v>
      </c>
      <c r="C132" s="57">
        <v>0.58835648148148145</v>
      </c>
      <c r="D132" s="58">
        <v>4</v>
      </c>
      <c r="E132" s="59" t="s">
        <v>3041</v>
      </c>
      <c r="F132">
        <f t="shared" si="4"/>
        <v>30</v>
      </c>
      <c r="G132">
        <v>32</v>
      </c>
      <c r="H132">
        <v>2</v>
      </c>
      <c r="I132">
        <v>34</v>
      </c>
      <c r="J132" s="67">
        <v>-2</v>
      </c>
    </row>
    <row r="133" spans="1:10" s="51" customFormat="1">
      <c r="A133" s="51">
        <v>132</v>
      </c>
      <c r="B133" s="56">
        <v>42430.588379629633</v>
      </c>
      <c r="C133" s="57">
        <v>0.58837962962962964</v>
      </c>
      <c r="D133" s="58">
        <v>4</v>
      </c>
      <c r="E133" s="59" t="s">
        <v>3041</v>
      </c>
      <c r="F133">
        <f t="shared" si="4"/>
        <v>30</v>
      </c>
      <c r="G133">
        <v>20</v>
      </c>
      <c r="H133">
        <v>2</v>
      </c>
      <c r="I133">
        <v>22</v>
      </c>
      <c r="J133" s="67">
        <v>10</v>
      </c>
    </row>
    <row r="134" spans="1:10" s="51" customFormat="1">
      <c r="A134" s="51">
        <v>133</v>
      </c>
      <c r="B134" s="56">
        <v>42430.588391203702</v>
      </c>
      <c r="C134" s="57">
        <v>0.58839120370370368</v>
      </c>
      <c r="D134" s="58">
        <v>4</v>
      </c>
      <c r="E134" s="59" t="s">
        <v>3041</v>
      </c>
      <c r="F134">
        <f t="shared" si="4"/>
        <v>30</v>
      </c>
      <c r="G134">
        <v>35</v>
      </c>
      <c r="H134">
        <v>2</v>
      </c>
      <c r="I134">
        <v>37</v>
      </c>
      <c r="J134" s="67">
        <v>-5</v>
      </c>
    </row>
    <row r="135" spans="1:10" s="51" customFormat="1">
      <c r="A135" s="51">
        <v>134</v>
      </c>
      <c r="B135" s="56">
        <v>42430.588402777779</v>
      </c>
      <c r="C135" s="57">
        <v>0.58840277777777783</v>
      </c>
      <c r="D135" s="58">
        <v>4</v>
      </c>
      <c r="E135" s="59" t="s">
        <v>3041</v>
      </c>
      <c r="F135">
        <f t="shared" si="4"/>
        <v>30</v>
      </c>
      <c r="G135">
        <v>34</v>
      </c>
      <c r="H135">
        <v>1</v>
      </c>
      <c r="I135">
        <v>35</v>
      </c>
      <c r="J135" s="67">
        <v>-4</v>
      </c>
    </row>
    <row r="136" spans="1:10" s="51" customFormat="1">
      <c r="A136" s="51">
        <v>135</v>
      </c>
      <c r="B136" s="56">
        <v>42430.588414351849</v>
      </c>
      <c r="C136" s="57">
        <v>0.58841435185185187</v>
      </c>
      <c r="D136" s="58">
        <v>4</v>
      </c>
      <c r="E136" s="59" t="s">
        <v>3041</v>
      </c>
      <c r="F136">
        <f t="shared" si="4"/>
        <v>30</v>
      </c>
      <c r="G136">
        <v>33</v>
      </c>
      <c r="H136">
        <v>2</v>
      </c>
      <c r="I136">
        <v>35</v>
      </c>
      <c r="J136" s="67">
        <v>-3</v>
      </c>
    </row>
    <row r="137" spans="1:10" s="51" customFormat="1" ht="15" thickBot="1">
      <c r="A137" s="51">
        <v>136</v>
      </c>
      <c r="B137" s="60">
        <v>42430.588437500002</v>
      </c>
      <c r="C137" s="61">
        <v>0.58843749999999995</v>
      </c>
      <c r="D137" s="62">
        <v>4</v>
      </c>
      <c r="E137" s="63" t="s">
        <v>3041</v>
      </c>
      <c r="F137">
        <f t="shared" si="4"/>
        <v>30</v>
      </c>
      <c r="G137">
        <v>23</v>
      </c>
      <c r="H137">
        <v>1</v>
      </c>
      <c r="I137">
        <v>24</v>
      </c>
      <c r="J137" s="67">
        <v>7</v>
      </c>
    </row>
    <row r="138" spans="1:10">
      <c r="A138">
        <v>137</v>
      </c>
      <c r="B138" s="6">
        <v>42430.927777777775</v>
      </c>
      <c r="C138" s="7">
        <v>0.92777777777777781</v>
      </c>
      <c r="D138" s="8">
        <v>4</v>
      </c>
      <c r="E138" s="9" t="s">
        <v>3032</v>
      </c>
      <c r="F138">
        <f t="shared" si="4"/>
        <v>30</v>
      </c>
      <c r="G138">
        <v>32</v>
      </c>
      <c r="H138">
        <v>2</v>
      </c>
      <c r="I138">
        <v>34</v>
      </c>
      <c r="J138" s="67">
        <v>-2</v>
      </c>
    </row>
    <row r="139" spans="1:10">
      <c r="A139">
        <v>138</v>
      </c>
      <c r="B139" s="10">
        <v>42430.927824074075</v>
      </c>
      <c r="C139" s="11">
        <v>0.92782407407407408</v>
      </c>
      <c r="D139" s="12">
        <v>4</v>
      </c>
      <c r="E139" s="13" t="s">
        <v>3032</v>
      </c>
      <c r="F139">
        <f t="shared" si="4"/>
        <v>30</v>
      </c>
      <c r="G139">
        <v>37</v>
      </c>
      <c r="H139">
        <v>2</v>
      </c>
      <c r="I139">
        <v>39</v>
      </c>
      <c r="J139" s="67">
        <v>-7</v>
      </c>
    </row>
    <row r="140" spans="1:10">
      <c r="A140">
        <v>139</v>
      </c>
      <c r="B140" s="10">
        <v>42430.927835648145</v>
      </c>
      <c r="C140" s="11">
        <v>0.92783564814814812</v>
      </c>
      <c r="D140" s="12">
        <v>4</v>
      </c>
      <c r="E140" s="13" t="s">
        <v>3032</v>
      </c>
      <c r="F140">
        <f t="shared" si="4"/>
        <v>30</v>
      </c>
      <c r="G140">
        <v>31</v>
      </c>
      <c r="H140">
        <v>1</v>
      </c>
      <c r="I140">
        <v>32</v>
      </c>
      <c r="J140" s="67">
        <v>-1</v>
      </c>
    </row>
    <row r="141" spans="1:10">
      <c r="A141">
        <v>140</v>
      </c>
      <c r="B141" s="10">
        <v>42430.927858796298</v>
      </c>
      <c r="C141" s="11">
        <v>0.92785879629629631</v>
      </c>
      <c r="D141" s="12">
        <v>4</v>
      </c>
      <c r="E141" s="13" t="s">
        <v>3032</v>
      </c>
      <c r="F141">
        <f t="shared" si="4"/>
        <v>30</v>
      </c>
      <c r="G141">
        <v>11</v>
      </c>
      <c r="H141">
        <v>1</v>
      </c>
      <c r="I141">
        <v>12</v>
      </c>
      <c r="J141" s="67">
        <v>19</v>
      </c>
    </row>
    <row r="142" spans="1:10">
      <c r="A142">
        <v>141</v>
      </c>
      <c r="B142" s="10">
        <v>42430.927905092591</v>
      </c>
      <c r="C142" s="11">
        <v>0.92790509259259257</v>
      </c>
      <c r="D142" s="12">
        <v>4</v>
      </c>
      <c r="E142" s="13" t="s">
        <v>3032</v>
      </c>
      <c r="F142">
        <f t="shared" si="4"/>
        <v>30</v>
      </c>
      <c r="G142">
        <v>32</v>
      </c>
      <c r="H142">
        <v>3</v>
      </c>
      <c r="I142">
        <v>35</v>
      </c>
      <c r="J142" s="67">
        <v>-2</v>
      </c>
    </row>
    <row r="143" spans="1:10">
      <c r="A143">
        <v>142</v>
      </c>
      <c r="B143" s="10">
        <v>42430.927916666667</v>
      </c>
      <c r="C143" s="11">
        <v>0.92791666666666661</v>
      </c>
      <c r="D143" s="12">
        <v>4</v>
      </c>
      <c r="E143" s="13" t="s">
        <v>3032</v>
      </c>
      <c r="F143">
        <f t="shared" si="4"/>
        <v>30</v>
      </c>
      <c r="G143">
        <v>35</v>
      </c>
      <c r="H143">
        <v>4</v>
      </c>
      <c r="I143">
        <v>39</v>
      </c>
      <c r="J143" s="67">
        <v>-5</v>
      </c>
    </row>
    <row r="144" spans="1:10">
      <c r="A144">
        <v>143</v>
      </c>
      <c r="B144" s="10">
        <v>42430.92796296296</v>
      </c>
      <c r="C144" s="11">
        <v>0.92796296296296299</v>
      </c>
      <c r="D144" s="12">
        <v>4</v>
      </c>
      <c r="E144" s="13" t="s">
        <v>3032</v>
      </c>
      <c r="F144">
        <f t="shared" si="4"/>
        <v>30</v>
      </c>
      <c r="G144">
        <v>31</v>
      </c>
      <c r="H144">
        <v>6</v>
      </c>
      <c r="I144">
        <v>37</v>
      </c>
      <c r="J144" s="67">
        <v>-1</v>
      </c>
    </row>
    <row r="145" spans="1:10" s="35" customFormat="1" ht="15" thickBot="1">
      <c r="A145" s="35">
        <v>144</v>
      </c>
      <c r="B145" s="64">
        <v>42430.927939814814</v>
      </c>
      <c r="C145" s="31">
        <v>0.9279398148148148</v>
      </c>
      <c r="D145" s="33">
        <v>4</v>
      </c>
      <c r="E145" s="34" t="s">
        <v>3032</v>
      </c>
      <c r="F145">
        <f t="shared" si="4"/>
        <v>30</v>
      </c>
      <c r="G145">
        <v>23</v>
      </c>
      <c r="H145">
        <v>2</v>
      </c>
      <c r="I145">
        <v>25</v>
      </c>
      <c r="J145" s="67">
        <v>7</v>
      </c>
    </row>
    <row r="146" spans="1:10">
      <c r="A146">
        <v>145</v>
      </c>
      <c r="B146" s="6">
        <v>42431.249363425923</v>
      </c>
      <c r="C146" s="7">
        <v>0.24936342592592592</v>
      </c>
      <c r="D146" s="8">
        <v>4</v>
      </c>
      <c r="E146" s="9" t="s">
        <v>3041</v>
      </c>
      <c r="F146">
        <f t="shared" si="4"/>
        <v>30</v>
      </c>
      <c r="G146">
        <v>11</v>
      </c>
      <c r="H146">
        <v>2</v>
      </c>
      <c r="I146">
        <v>13</v>
      </c>
      <c r="J146" s="67">
        <v>19</v>
      </c>
    </row>
    <row r="147" spans="1:10">
      <c r="A147">
        <v>146</v>
      </c>
      <c r="B147" s="10">
        <v>42431.249398148146</v>
      </c>
      <c r="C147" s="11">
        <v>0.24939814814814815</v>
      </c>
      <c r="D147" s="12">
        <v>4</v>
      </c>
      <c r="E147" s="13" t="s">
        <v>3041</v>
      </c>
      <c r="F147">
        <f t="shared" si="4"/>
        <v>30</v>
      </c>
      <c r="G147">
        <v>0</v>
      </c>
      <c r="H147">
        <v>0</v>
      </c>
      <c r="I147">
        <v>0</v>
      </c>
      <c r="J147" s="67">
        <v>30</v>
      </c>
    </row>
    <row r="148" spans="1:10">
      <c r="A148">
        <v>147</v>
      </c>
      <c r="B148" s="10">
        <v>42431.249432870369</v>
      </c>
      <c r="C148" s="11">
        <v>0.24943287037037037</v>
      </c>
      <c r="D148" s="12">
        <v>4</v>
      </c>
      <c r="E148" s="13" t="s">
        <v>3041</v>
      </c>
      <c r="F148">
        <f t="shared" si="4"/>
        <v>30</v>
      </c>
      <c r="G148">
        <v>28</v>
      </c>
      <c r="H148">
        <v>5</v>
      </c>
      <c r="I148">
        <v>33</v>
      </c>
      <c r="J148" s="67">
        <v>2</v>
      </c>
    </row>
    <row r="149" spans="1:10">
      <c r="A149">
        <v>148</v>
      </c>
      <c r="B149" s="10">
        <v>42431.249467592592</v>
      </c>
      <c r="C149" s="11">
        <v>0.2494675925925926</v>
      </c>
      <c r="D149" s="12">
        <v>4</v>
      </c>
      <c r="E149" s="13" t="s">
        <v>3041</v>
      </c>
      <c r="F149">
        <f t="shared" si="4"/>
        <v>30</v>
      </c>
      <c r="G149">
        <v>17</v>
      </c>
      <c r="H149">
        <v>2</v>
      </c>
      <c r="I149">
        <v>19</v>
      </c>
      <c r="J149" s="67">
        <v>13</v>
      </c>
    </row>
    <row r="150" spans="1:10">
      <c r="A150">
        <v>149</v>
      </c>
      <c r="B150" s="10">
        <v>42431.249502314815</v>
      </c>
      <c r="C150" s="11">
        <v>0.2495023148148148</v>
      </c>
      <c r="D150" s="12">
        <v>4</v>
      </c>
      <c r="E150" s="13" t="s">
        <v>3041</v>
      </c>
      <c r="F150">
        <f t="shared" si="4"/>
        <v>30</v>
      </c>
      <c r="G150">
        <v>32</v>
      </c>
      <c r="H150">
        <v>2</v>
      </c>
      <c r="I150">
        <v>34</v>
      </c>
      <c r="J150" s="67">
        <v>-2</v>
      </c>
    </row>
    <row r="151" spans="1:10">
      <c r="A151">
        <v>150</v>
      </c>
      <c r="B151" s="10">
        <v>42431.249548611115</v>
      </c>
      <c r="C151" s="11">
        <v>0.24954861111111112</v>
      </c>
      <c r="D151" s="12">
        <v>4</v>
      </c>
      <c r="E151" s="13" t="s">
        <v>3041</v>
      </c>
      <c r="F151">
        <f t="shared" si="4"/>
        <v>30</v>
      </c>
      <c r="G151">
        <v>8</v>
      </c>
      <c r="H151">
        <v>2</v>
      </c>
      <c r="I151">
        <v>10</v>
      </c>
      <c r="J151" s="67">
        <v>22</v>
      </c>
    </row>
    <row r="152" spans="1:10">
      <c r="A152">
        <v>151</v>
      </c>
      <c r="B152" s="10">
        <v>42431.249583333331</v>
      </c>
      <c r="C152" s="11">
        <v>0.24958333333333332</v>
      </c>
      <c r="D152" s="12">
        <v>4</v>
      </c>
      <c r="E152" s="13" t="s">
        <v>3041</v>
      </c>
      <c r="F152">
        <f t="shared" si="4"/>
        <v>30</v>
      </c>
      <c r="G152">
        <v>14</v>
      </c>
      <c r="H152">
        <v>0</v>
      </c>
      <c r="I152">
        <v>14</v>
      </c>
      <c r="J152" s="67">
        <v>16</v>
      </c>
    </row>
    <row r="153" spans="1:10" ht="15" thickBot="1">
      <c r="A153">
        <v>152</v>
      </c>
      <c r="B153" s="14">
        <v>42431.249618055554</v>
      </c>
      <c r="C153" s="15">
        <v>0.24961805555555555</v>
      </c>
      <c r="D153" s="16">
        <v>4</v>
      </c>
      <c r="E153" s="17" t="s">
        <v>3041</v>
      </c>
      <c r="F153">
        <f t="shared" si="4"/>
        <v>30</v>
      </c>
      <c r="G153">
        <v>17</v>
      </c>
      <c r="H153">
        <v>0</v>
      </c>
      <c r="I153">
        <v>17</v>
      </c>
      <c r="J153" s="67">
        <v>13</v>
      </c>
    </row>
    <row r="154" spans="1:10">
      <c r="A154">
        <v>153</v>
      </c>
      <c r="B154" s="6">
        <v>42431.658819444441</v>
      </c>
      <c r="C154" s="7">
        <v>0.6588194444444444</v>
      </c>
      <c r="D154" s="8">
        <v>4</v>
      </c>
      <c r="E154" s="9" t="s">
        <v>3041</v>
      </c>
      <c r="F154">
        <f t="shared" si="4"/>
        <v>30</v>
      </c>
      <c r="G154">
        <v>26</v>
      </c>
      <c r="H154">
        <v>2</v>
      </c>
      <c r="I154">
        <v>28</v>
      </c>
      <c r="J154" s="67">
        <v>4</v>
      </c>
    </row>
    <row r="155" spans="1:10">
      <c r="A155">
        <v>154</v>
      </c>
      <c r="B155" s="10">
        <v>42431.658842592595</v>
      </c>
      <c r="C155" s="11">
        <v>0.65884259259259259</v>
      </c>
      <c r="D155" s="12">
        <v>4</v>
      </c>
      <c r="E155" s="13" t="s">
        <v>3041</v>
      </c>
      <c r="F155">
        <f t="shared" si="4"/>
        <v>30</v>
      </c>
      <c r="G155">
        <v>16</v>
      </c>
      <c r="H155">
        <v>0</v>
      </c>
      <c r="I155">
        <v>16</v>
      </c>
      <c r="J155" s="67">
        <v>14</v>
      </c>
    </row>
    <row r="156" spans="1:10">
      <c r="A156">
        <v>155</v>
      </c>
      <c r="B156" s="10">
        <v>42431.708252314813</v>
      </c>
      <c r="C156" s="11">
        <v>0.70825231481481477</v>
      </c>
      <c r="D156" s="12">
        <v>4</v>
      </c>
      <c r="E156" s="13" t="s">
        <v>3041</v>
      </c>
      <c r="F156">
        <f t="shared" si="4"/>
        <v>30</v>
      </c>
      <c r="G156">
        <v>7</v>
      </c>
      <c r="H156">
        <v>1</v>
      </c>
      <c r="I156">
        <v>8</v>
      </c>
      <c r="J156" s="67">
        <v>23</v>
      </c>
    </row>
    <row r="157" spans="1:10">
      <c r="A157">
        <v>156</v>
      </c>
      <c r="B157" s="10">
        <v>42431.730358796296</v>
      </c>
      <c r="C157" s="11">
        <v>0.7303587962962963</v>
      </c>
      <c r="D157" s="12">
        <v>4</v>
      </c>
      <c r="E157" s="13" t="s">
        <v>3041</v>
      </c>
      <c r="F157">
        <f t="shared" si="4"/>
        <v>30</v>
      </c>
      <c r="G157">
        <v>20</v>
      </c>
      <c r="H157">
        <v>0</v>
      </c>
      <c r="I157">
        <v>20</v>
      </c>
      <c r="J157" s="67">
        <v>10</v>
      </c>
    </row>
    <row r="158" spans="1:10">
      <c r="A158">
        <v>157</v>
      </c>
      <c r="B158" s="10">
        <v>42431.730509259258</v>
      </c>
      <c r="C158" s="11">
        <v>0.73050925925925925</v>
      </c>
      <c r="D158" s="12">
        <v>4</v>
      </c>
      <c r="E158" s="13" t="s">
        <v>3041</v>
      </c>
      <c r="F158">
        <f t="shared" si="4"/>
        <v>30</v>
      </c>
      <c r="G158">
        <v>34</v>
      </c>
      <c r="H158">
        <v>1</v>
      </c>
      <c r="I158">
        <v>35</v>
      </c>
      <c r="J158" s="67">
        <v>-4</v>
      </c>
    </row>
    <row r="159" spans="1:10">
      <c r="A159">
        <v>158</v>
      </c>
      <c r="B159" s="10">
        <v>42431.730532407404</v>
      </c>
      <c r="C159" s="11">
        <v>0.73053240740740744</v>
      </c>
      <c r="D159" s="12">
        <v>4</v>
      </c>
      <c r="E159" s="13" t="s">
        <v>3041</v>
      </c>
      <c r="F159">
        <f t="shared" si="4"/>
        <v>30</v>
      </c>
      <c r="G159">
        <v>32</v>
      </c>
      <c r="H159">
        <v>2</v>
      </c>
      <c r="I159">
        <v>34</v>
      </c>
      <c r="J159" s="67">
        <v>-2</v>
      </c>
    </row>
    <row r="160" spans="1:10">
      <c r="A160">
        <v>159</v>
      </c>
      <c r="B160" s="10">
        <v>42431.730555555558</v>
      </c>
      <c r="C160" s="11">
        <v>0.73055555555555551</v>
      </c>
      <c r="D160" s="12">
        <v>4</v>
      </c>
      <c r="E160" s="13" t="s">
        <v>3041</v>
      </c>
      <c r="F160">
        <f t="shared" si="4"/>
        <v>30</v>
      </c>
      <c r="G160">
        <v>26</v>
      </c>
      <c r="H160">
        <v>1</v>
      </c>
      <c r="I160">
        <v>27</v>
      </c>
      <c r="J160" s="67">
        <v>4</v>
      </c>
    </row>
    <row r="161" spans="1:10" ht="15" thickBot="1">
      <c r="A161">
        <v>160</v>
      </c>
      <c r="B161" s="14">
        <v>42431.730567129627</v>
      </c>
      <c r="C161" s="15">
        <v>0.73056712962962966</v>
      </c>
      <c r="D161" s="16">
        <v>4</v>
      </c>
      <c r="E161" s="17" t="s">
        <v>3041</v>
      </c>
      <c r="F161">
        <f t="shared" si="4"/>
        <v>30</v>
      </c>
      <c r="G161">
        <v>24</v>
      </c>
      <c r="H161">
        <v>2</v>
      </c>
      <c r="I161">
        <v>26</v>
      </c>
      <c r="J161" s="67">
        <v>6</v>
      </c>
    </row>
    <row r="162" spans="1:10">
      <c r="A162">
        <v>161</v>
      </c>
      <c r="B162" s="6">
        <v>42431.917662037034</v>
      </c>
      <c r="C162" s="7">
        <v>0.91766203703703708</v>
      </c>
      <c r="D162" s="8">
        <v>4</v>
      </c>
      <c r="E162" s="9" t="s">
        <v>3032</v>
      </c>
      <c r="F162">
        <f t="shared" si="4"/>
        <v>30</v>
      </c>
      <c r="G162">
        <v>20</v>
      </c>
      <c r="H162">
        <v>5</v>
      </c>
      <c r="I162">
        <v>25</v>
      </c>
      <c r="J162" s="67">
        <v>10</v>
      </c>
    </row>
    <row r="163" spans="1:10">
      <c r="A163">
        <v>162</v>
      </c>
      <c r="B163" s="10">
        <v>42431.917685185188</v>
      </c>
      <c r="C163" s="11">
        <v>0.91768518518518516</v>
      </c>
      <c r="D163" s="12">
        <v>4</v>
      </c>
      <c r="E163" s="13" t="s">
        <v>3032</v>
      </c>
      <c r="F163">
        <f t="shared" si="4"/>
        <v>30</v>
      </c>
      <c r="G163">
        <v>0</v>
      </c>
      <c r="H163">
        <v>0</v>
      </c>
      <c r="I163">
        <v>0</v>
      </c>
      <c r="J163" s="67">
        <v>30</v>
      </c>
    </row>
    <row r="164" spans="1:10">
      <c r="A164">
        <v>163</v>
      </c>
      <c r="B164" s="10">
        <v>42431.917696759258</v>
      </c>
      <c r="C164" s="11">
        <v>0.91769675925925931</v>
      </c>
      <c r="D164" s="12">
        <v>4</v>
      </c>
      <c r="E164" s="13" t="s">
        <v>3032</v>
      </c>
      <c r="F164">
        <f t="shared" si="4"/>
        <v>30</v>
      </c>
      <c r="G164">
        <v>23</v>
      </c>
      <c r="H164">
        <v>0</v>
      </c>
      <c r="I164">
        <v>23</v>
      </c>
      <c r="J164" s="67">
        <v>7</v>
      </c>
    </row>
    <row r="165" spans="1:10">
      <c r="A165">
        <v>164</v>
      </c>
      <c r="B165" s="10">
        <v>42431.917731481481</v>
      </c>
      <c r="C165" s="11">
        <v>0.91773148148148154</v>
      </c>
      <c r="D165" s="12">
        <v>4</v>
      </c>
      <c r="E165" s="13" t="s">
        <v>3032</v>
      </c>
      <c r="F165">
        <f t="shared" si="4"/>
        <v>30</v>
      </c>
      <c r="G165">
        <v>13</v>
      </c>
      <c r="H165">
        <v>0</v>
      </c>
      <c r="I165">
        <v>13</v>
      </c>
      <c r="J165" s="67">
        <v>17</v>
      </c>
    </row>
    <row r="166" spans="1:10">
      <c r="A166">
        <v>165</v>
      </c>
      <c r="B166" s="10">
        <v>42431.917743055557</v>
      </c>
      <c r="C166" s="11">
        <v>0.91774305555555558</v>
      </c>
      <c r="D166" s="12">
        <v>4</v>
      </c>
      <c r="E166" s="13" t="s">
        <v>3032</v>
      </c>
      <c r="F166">
        <f t="shared" si="4"/>
        <v>30</v>
      </c>
      <c r="G166">
        <v>0</v>
      </c>
      <c r="H166">
        <v>0</v>
      </c>
      <c r="I166">
        <v>0</v>
      </c>
      <c r="J166" s="67">
        <v>30</v>
      </c>
    </row>
    <row r="167" spans="1:10">
      <c r="A167">
        <v>166</v>
      </c>
      <c r="B167" s="10">
        <v>42431.917766203704</v>
      </c>
      <c r="C167" s="11">
        <v>0.91776620370370365</v>
      </c>
      <c r="D167" s="12">
        <v>4</v>
      </c>
      <c r="E167" s="13" t="s">
        <v>3032</v>
      </c>
      <c r="F167">
        <f t="shared" si="4"/>
        <v>30</v>
      </c>
      <c r="G167">
        <v>0</v>
      </c>
      <c r="H167">
        <v>0</v>
      </c>
      <c r="I167">
        <v>0</v>
      </c>
      <c r="J167" s="67">
        <v>30</v>
      </c>
    </row>
    <row r="168" spans="1:10">
      <c r="A168">
        <v>167</v>
      </c>
      <c r="B168" s="10">
        <v>42431.91778935185</v>
      </c>
      <c r="C168" s="11">
        <v>0.91778935185185184</v>
      </c>
      <c r="D168" s="12">
        <v>4</v>
      </c>
      <c r="E168" s="13" t="s">
        <v>3032</v>
      </c>
      <c r="F168">
        <f t="shared" si="4"/>
        <v>30</v>
      </c>
      <c r="G168">
        <v>0</v>
      </c>
      <c r="H168">
        <v>0</v>
      </c>
      <c r="I168">
        <v>0</v>
      </c>
      <c r="J168" s="67">
        <v>30</v>
      </c>
    </row>
    <row r="169" spans="1:10" ht="15" thickBot="1">
      <c r="A169">
        <v>168</v>
      </c>
      <c r="B169" s="14">
        <v>42431.917812500003</v>
      </c>
      <c r="C169" s="15">
        <v>0.91781250000000003</v>
      </c>
      <c r="D169" s="16">
        <v>4</v>
      </c>
      <c r="E169" s="17" t="s">
        <v>3032</v>
      </c>
      <c r="F169">
        <f t="shared" si="4"/>
        <v>30</v>
      </c>
      <c r="G169">
        <v>0</v>
      </c>
      <c r="H169">
        <v>0</v>
      </c>
      <c r="I169">
        <v>0</v>
      </c>
      <c r="J169" s="67">
        <v>30</v>
      </c>
    </row>
    <row r="170" spans="1:10" s="35" customFormat="1">
      <c r="A170" s="35">
        <v>169</v>
      </c>
      <c r="B170" s="65">
        <v>42432.250104166669</v>
      </c>
      <c r="C170" s="32">
        <v>0.25010416666666668</v>
      </c>
      <c r="D170" s="36">
        <v>4</v>
      </c>
      <c r="E170" s="37" t="s">
        <v>3041</v>
      </c>
      <c r="F170">
        <f t="shared" si="4"/>
        <v>30</v>
      </c>
      <c r="G170">
        <v>2</v>
      </c>
      <c r="H170">
        <v>0</v>
      </c>
      <c r="I170">
        <v>2</v>
      </c>
      <c r="J170" s="67">
        <v>28</v>
      </c>
    </row>
    <row r="171" spans="1:10">
      <c r="A171">
        <v>170</v>
      </c>
      <c r="B171" s="10">
        <v>42432.250150462962</v>
      </c>
      <c r="C171" s="11">
        <v>0.25015046296296295</v>
      </c>
      <c r="D171" s="12">
        <v>4</v>
      </c>
      <c r="E171" s="13" t="s">
        <v>3041</v>
      </c>
      <c r="F171">
        <f t="shared" si="4"/>
        <v>30</v>
      </c>
      <c r="G171">
        <v>33</v>
      </c>
      <c r="H171">
        <v>2</v>
      </c>
      <c r="I171">
        <v>35</v>
      </c>
      <c r="J171" s="67">
        <v>-3</v>
      </c>
    </row>
    <row r="172" spans="1:10">
      <c r="A172">
        <v>171</v>
      </c>
      <c r="B172" s="10">
        <v>42432.250185185185</v>
      </c>
      <c r="C172" s="11">
        <v>0.25018518518518518</v>
      </c>
      <c r="D172" s="12">
        <v>4</v>
      </c>
      <c r="E172" s="13" t="s">
        <v>3041</v>
      </c>
      <c r="F172">
        <f t="shared" si="4"/>
        <v>30</v>
      </c>
      <c r="G172">
        <v>24</v>
      </c>
      <c r="H172">
        <v>1</v>
      </c>
      <c r="I172">
        <v>25</v>
      </c>
      <c r="J172" s="67">
        <v>6</v>
      </c>
    </row>
    <row r="173" spans="1:10">
      <c r="A173">
        <v>172</v>
      </c>
      <c r="B173" s="10">
        <v>42432.250208333331</v>
      </c>
      <c r="C173" s="11">
        <v>0.25020833333333331</v>
      </c>
      <c r="D173" s="12">
        <v>4</v>
      </c>
      <c r="E173" s="13" t="s">
        <v>3041</v>
      </c>
      <c r="F173">
        <f t="shared" si="4"/>
        <v>30</v>
      </c>
      <c r="G173">
        <v>17</v>
      </c>
      <c r="H173">
        <v>1</v>
      </c>
      <c r="I173">
        <v>18</v>
      </c>
      <c r="J173" s="67">
        <v>13</v>
      </c>
    </row>
    <row r="174" spans="1:10">
      <c r="A174">
        <v>173</v>
      </c>
      <c r="B174" s="10">
        <v>42432.250243055554</v>
      </c>
      <c r="C174" s="11">
        <v>0.25024305555555554</v>
      </c>
      <c r="D174" s="12">
        <v>4</v>
      </c>
      <c r="E174" s="13" t="s">
        <v>3041</v>
      </c>
      <c r="F174">
        <f t="shared" si="4"/>
        <v>30</v>
      </c>
      <c r="G174">
        <v>23</v>
      </c>
      <c r="H174">
        <v>2</v>
      </c>
      <c r="I174">
        <v>25</v>
      </c>
      <c r="J174" s="67">
        <v>7</v>
      </c>
    </row>
    <row r="175" spans="1:10">
      <c r="A175">
        <v>174</v>
      </c>
      <c r="B175" s="10">
        <v>42432.250277777777</v>
      </c>
      <c r="C175" s="11">
        <v>0.25027777777777777</v>
      </c>
      <c r="D175" s="12">
        <v>4</v>
      </c>
      <c r="E175" s="13" t="s">
        <v>3041</v>
      </c>
      <c r="F175">
        <f t="shared" si="4"/>
        <v>30</v>
      </c>
      <c r="G175">
        <v>13</v>
      </c>
      <c r="H175">
        <v>3</v>
      </c>
      <c r="I175">
        <v>16</v>
      </c>
      <c r="J175" s="67">
        <v>17</v>
      </c>
    </row>
    <row r="176" spans="1:10">
      <c r="A176">
        <v>175</v>
      </c>
      <c r="B176" s="10">
        <v>42432.2503125</v>
      </c>
      <c r="C176" s="11">
        <v>0.25031249999999999</v>
      </c>
      <c r="D176" s="12">
        <v>4</v>
      </c>
      <c r="E176" s="13" t="s">
        <v>3041</v>
      </c>
      <c r="F176">
        <f t="shared" si="4"/>
        <v>30</v>
      </c>
      <c r="G176">
        <v>4</v>
      </c>
      <c r="H176">
        <v>2</v>
      </c>
      <c r="I176">
        <v>6</v>
      </c>
      <c r="J176" s="67">
        <v>26</v>
      </c>
    </row>
    <row r="177" spans="1:10" ht="15" thickBot="1">
      <c r="A177">
        <v>176</v>
      </c>
      <c r="B177" s="14">
        <v>42432.250347222223</v>
      </c>
      <c r="C177" s="15">
        <v>0.25034722222222222</v>
      </c>
      <c r="D177" s="16">
        <v>4</v>
      </c>
      <c r="E177" s="17" t="s">
        <v>3041</v>
      </c>
      <c r="F177">
        <f t="shared" si="4"/>
        <v>30</v>
      </c>
      <c r="G177">
        <v>7</v>
      </c>
      <c r="H177">
        <v>1</v>
      </c>
      <c r="I177">
        <v>8</v>
      </c>
      <c r="J177" s="67">
        <v>23</v>
      </c>
    </row>
    <row r="178" spans="1:10">
      <c r="A178">
        <v>177</v>
      </c>
      <c r="B178" s="6">
        <v>42432.58084490741</v>
      </c>
      <c r="C178" s="7">
        <v>0.58084490740740746</v>
      </c>
      <c r="D178" s="8">
        <v>4</v>
      </c>
      <c r="E178" s="9" t="s">
        <v>3041</v>
      </c>
      <c r="F178">
        <f t="shared" si="4"/>
        <v>30</v>
      </c>
      <c r="G178">
        <v>27</v>
      </c>
      <c r="H178">
        <v>2</v>
      </c>
      <c r="I178">
        <v>29</v>
      </c>
      <c r="J178" s="67">
        <v>3</v>
      </c>
    </row>
    <row r="179" spans="1:10">
      <c r="A179">
        <v>178</v>
      </c>
      <c r="B179" s="10">
        <v>42432.58085648148</v>
      </c>
      <c r="C179" s="11">
        <v>0.5808564814814815</v>
      </c>
      <c r="D179" s="12">
        <v>4</v>
      </c>
      <c r="E179" s="13" t="s">
        <v>3041</v>
      </c>
      <c r="F179">
        <f t="shared" si="4"/>
        <v>30</v>
      </c>
      <c r="G179">
        <v>32</v>
      </c>
      <c r="H179">
        <v>4</v>
      </c>
      <c r="I179">
        <v>36</v>
      </c>
      <c r="J179" s="67">
        <v>-2</v>
      </c>
    </row>
    <row r="180" spans="1:10">
      <c r="A180">
        <v>179</v>
      </c>
      <c r="B180" s="10">
        <v>42432.580879629626</v>
      </c>
      <c r="C180" s="11">
        <v>0.58087962962962958</v>
      </c>
      <c r="D180" s="12">
        <v>4</v>
      </c>
      <c r="E180" s="13" t="s">
        <v>3041</v>
      </c>
      <c r="F180">
        <f t="shared" si="4"/>
        <v>30</v>
      </c>
      <c r="G180">
        <v>33</v>
      </c>
      <c r="H180">
        <v>2</v>
      </c>
      <c r="I180">
        <v>35</v>
      </c>
      <c r="J180" s="67">
        <v>-3</v>
      </c>
    </row>
    <row r="181" spans="1:10">
      <c r="A181">
        <v>180</v>
      </c>
      <c r="B181" s="10">
        <v>42432.580891203703</v>
      </c>
      <c r="C181" s="11">
        <v>0.58089120370370373</v>
      </c>
      <c r="D181" s="12">
        <v>4</v>
      </c>
      <c r="E181" s="13" t="s">
        <v>3041</v>
      </c>
      <c r="F181">
        <f t="shared" si="4"/>
        <v>30</v>
      </c>
      <c r="G181">
        <v>20</v>
      </c>
      <c r="H181">
        <v>1</v>
      </c>
      <c r="I181">
        <v>21</v>
      </c>
      <c r="J181" s="67">
        <v>10</v>
      </c>
    </row>
    <row r="182" spans="1:10">
      <c r="A182">
        <v>181</v>
      </c>
      <c r="B182" s="10">
        <v>42432.580914351849</v>
      </c>
      <c r="C182" s="11">
        <v>0.58091435185185181</v>
      </c>
      <c r="D182" s="12">
        <v>4</v>
      </c>
      <c r="E182" s="13" t="s">
        <v>3041</v>
      </c>
      <c r="F182">
        <f t="shared" si="4"/>
        <v>30</v>
      </c>
      <c r="G182">
        <v>31</v>
      </c>
      <c r="H182">
        <v>1</v>
      </c>
      <c r="I182">
        <v>32</v>
      </c>
      <c r="J182" s="67">
        <v>-1</v>
      </c>
    </row>
    <row r="183" spans="1:10">
      <c r="A183">
        <v>182</v>
      </c>
      <c r="B183" s="10">
        <v>42432.580937500003</v>
      </c>
      <c r="C183" s="11">
        <v>0.5809375</v>
      </c>
      <c r="D183" s="12">
        <v>4</v>
      </c>
      <c r="E183" s="13" t="s">
        <v>3041</v>
      </c>
      <c r="F183">
        <f t="shared" si="4"/>
        <v>30</v>
      </c>
      <c r="G183">
        <v>36</v>
      </c>
      <c r="H183">
        <v>2</v>
      </c>
      <c r="I183">
        <v>38</v>
      </c>
      <c r="J183" s="67">
        <v>-6</v>
      </c>
    </row>
    <row r="184" spans="1:10">
      <c r="A184">
        <v>183</v>
      </c>
      <c r="B184" s="10">
        <v>42432.580949074072</v>
      </c>
      <c r="C184" s="11">
        <v>0.58094907407407403</v>
      </c>
      <c r="D184" s="12">
        <v>4</v>
      </c>
      <c r="E184" s="13" t="s">
        <v>3041</v>
      </c>
      <c r="F184">
        <f t="shared" si="4"/>
        <v>30</v>
      </c>
      <c r="G184">
        <v>32</v>
      </c>
      <c r="H184">
        <v>2</v>
      </c>
      <c r="I184">
        <v>34</v>
      </c>
      <c r="J184" s="67">
        <v>-2</v>
      </c>
    </row>
    <row r="185" spans="1:10" ht="15" thickBot="1">
      <c r="A185">
        <v>184</v>
      </c>
      <c r="B185" s="14">
        <v>42432.580960648149</v>
      </c>
      <c r="C185" s="15">
        <v>0.58096064814814818</v>
      </c>
      <c r="D185" s="16">
        <v>4</v>
      </c>
      <c r="E185" s="17" t="s">
        <v>3041</v>
      </c>
      <c r="F185">
        <f t="shared" si="4"/>
        <v>30</v>
      </c>
      <c r="G185">
        <v>22</v>
      </c>
      <c r="H185">
        <v>2</v>
      </c>
      <c r="I185">
        <v>24</v>
      </c>
      <c r="J185" s="67">
        <v>8</v>
      </c>
    </row>
    <row r="186" spans="1:10">
      <c r="A186">
        <v>185</v>
      </c>
      <c r="B186" s="6">
        <v>42432.921469907407</v>
      </c>
      <c r="C186" s="7">
        <v>0.92146990740740742</v>
      </c>
      <c r="D186" s="8">
        <v>4</v>
      </c>
      <c r="E186" s="9" t="s">
        <v>3032</v>
      </c>
      <c r="F186">
        <f t="shared" si="4"/>
        <v>30</v>
      </c>
      <c r="G186">
        <v>29</v>
      </c>
      <c r="H186">
        <v>2</v>
      </c>
      <c r="I186">
        <v>31</v>
      </c>
      <c r="J186" s="67">
        <v>1</v>
      </c>
    </row>
    <row r="187" spans="1:10">
      <c r="A187">
        <v>186</v>
      </c>
      <c r="B187" s="10">
        <v>42432.921481481484</v>
      </c>
      <c r="C187" s="11">
        <v>0.92148148148148146</v>
      </c>
      <c r="D187" s="12">
        <v>4</v>
      </c>
      <c r="E187" s="13" t="s">
        <v>3032</v>
      </c>
      <c r="F187">
        <f t="shared" si="4"/>
        <v>30</v>
      </c>
      <c r="G187">
        <v>27</v>
      </c>
      <c r="H187">
        <v>5</v>
      </c>
      <c r="I187">
        <v>32</v>
      </c>
      <c r="J187" s="67">
        <v>3</v>
      </c>
    </row>
    <row r="188" spans="1:10">
      <c r="A188">
        <v>187</v>
      </c>
      <c r="B188" s="10">
        <v>42432.92150462963</v>
      </c>
      <c r="C188" s="11">
        <v>0.92150462962962965</v>
      </c>
      <c r="D188" s="12">
        <v>4</v>
      </c>
      <c r="E188" s="13" t="s">
        <v>3032</v>
      </c>
      <c r="F188">
        <f t="shared" si="4"/>
        <v>30</v>
      </c>
      <c r="G188">
        <v>29</v>
      </c>
      <c r="H188">
        <v>5</v>
      </c>
      <c r="I188">
        <v>34</v>
      </c>
      <c r="J188" s="67">
        <v>1</v>
      </c>
    </row>
    <row r="189" spans="1:10">
      <c r="A189">
        <v>188</v>
      </c>
      <c r="B189" s="10">
        <v>42432.921516203707</v>
      </c>
      <c r="C189" s="11">
        <v>0.92151620370370368</v>
      </c>
      <c r="D189" s="12">
        <v>4</v>
      </c>
      <c r="E189" s="13" t="s">
        <v>3032</v>
      </c>
      <c r="F189">
        <f t="shared" si="4"/>
        <v>30</v>
      </c>
      <c r="G189">
        <v>23</v>
      </c>
      <c r="H189">
        <v>3</v>
      </c>
      <c r="I189">
        <v>26</v>
      </c>
      <c r="J189" s="67">
        <v>7</v>
      </c>
    </row>
    <row r="190" spans="1:10">
      <c r="A190">
        <v>189</v>
      </c>
      <c r="B190" s="10">
        <v>42432.921712962961</v>
      </c>
      <c r="C190" s="11">
        <v>0.92171296296296301</v>
      </c>
      <c r="D190" s="12">
        <v>4</v>
      </c>
      <c r="E190" s="13" t="s">
        <v>3032</v>
      </c>
      <c r="F190">
        <f t="shared" si="4"/>
        <v>30</v>
      </c>
      <c r="G190">
        <v>9</v>
      </c>
      <c r="H190">
        <v>1</v>
      </c>
      <c r="I190">
        <v>10</v>
      </c>
      <c r="J190" s="67">
        <v>21</v>
      </c>
    </row>
    <row r="191" spans="1:10">
      <c r="A191">
        <v>190</v>
      </c>
      <c r="B191" s="10">
        <v>42432.921736111108</v>
      </c>
      <c r="C191" s="11">
        <v>0.92173611111111109</v>
      </c>
      <c r="D191" s="12">
        <v>4</v>
      </c>
      <c r="E191" s="13" t="s">
        <v>3032</v>
      </c>
      <c r="F191">
        <f t="shared" si="4"/>
        <v>30</v>
      </c>
      <c r="G191">
        <v>30</v>
      </c>
      <c r="H191">
        <v>2</v>
      </c>
      <c r="I191">
        <v>32</v>
      </c>
      <c r="J191" s="67">
        <v>0</v>
      </c>
    </row>
    <row r="192" spans="1:10">
      <c r="A192">
        <v>191</v>
      </c>
      <c r="B192" s="10">
        <v>42432.921747685185</v>
      </c>
      <c r="C192" s="11">
        <v>0.92174768518518524</v>
      </c>
      <c r="D192" s="12">
        <v>4</v>
      </c>
      <c r="E192" s="13" t="s">
        <v>3032</v>
      </c>
      <c r="F192">
        <f t="shared" si="4"/>
        <v>30</v>
      </c>
      <c r="G192">
        <v>32</v>
      </c>
      <c r="H192">
        <v>2</v>
      </c>
      <c r="I192">
        <v>34</v>
      </c>
      <c r="J192" s="67">
        <v>-2</v>
      </c>
    </row>
    <row r="193" spans="1:10" ht="15" thickBot="1">
      <c r="A193">
        <v>192</v>
      </c>
      <c r="B193" s="14">
        <v>42432.921770833331</v>
      </c>
      <c r="C193" s="15">
        <v>0.92177083333333332</v>
      </c>
      <c r="D193" s="16">
        <v>4</v>
      </c>
      <c r="E193" s="17" t="s">
        <v>3032</v>
      </c>
      <c r="F193">
        <f t="shared" si="4"/>
        <v>30</v>
      </c>
      <c r="G193">
        <v>6</v>
      </c>
      <c r="H193">
        <v>1</v>
      </c>
      <c r="I193">
        <v>7</v>
      </c>
      <c r="J193" s="67">
        <v>24</v>
      </c>
    </row>
    <row r="194" spans="1:10">
      <c r="A194">
        <v>193</v>
      </c>
      <c r="B194" s="6">
        <v>42433.260914351849</v>
      </c>
      <c r="C194" s="7">
        <v>0.26091435185185186</v>
      </c>
      <c r="D194" s="8">
        <v>4</v>
      </c>
      <c r="E194" s="9" t="s">
        <v>3041</v>
      </c>
      <c r="F194">
        <f t="shared" si="4"/>
        <v>30</v>
      </c>
      <c r="G194">
        <v>27</v>
      </c>
      <c r="H194">
        <v>2</v>
      </c>
      <c r="I194">
        <v>29</v>
      </c>
      <c r="J194" s="67">
        <v>3</v>
      </c>
    </row>
    <row r="195" spans="1:10">
      <c r="A195">
        <v>194</v>
      </c>
      <c r="B195" s="10">
        <v>42433.260949074072</v>
      </c>
      <c r="C195" s="11">
        <v>0.26094907407407408</v>
      </c>
      <c r="D195" s="12">
        <v>4</v>
      </c>
      <c r="E195" s="13" t="s">
        <v>3041</v>
      </c>
      <c r="F195">
        <f t="shared" ref="F195:F258" si="5">40*0.75</f>
        <v>30</v>
      </c>
      <c r="G195">
        <v>29</v>
      </c>
      <c r="H195">
        <v>2</v>
      </c>
      <c r="I195">
        <v>31</v>
      </c>
      <c r="J195" s="67">
        <v>1</v>
      </c>
    </row>
    <row r="196" spans="1:10">
      <c r="A196">
        <v>195</v>
      </c>
      <c r="B196" s="10">
        <v>42433.260983796295</v>
      </c>
      <c r="C196" s="11">
        <v>0.26098379629629631</v>
      </c>
      <c r="D196" s="12">
        <v>4</v>
      </c>
      <c r="E196" s="13" t="s">
        <v>3041</v>
      </c>
      <c r="F196">
        <f t="shared" si="5"/>
        <v>30</v>
      </c>
      <c r="G196">
        <v>30</v>
      </c>
      <c r="H196">
        <v>0</v>
      </c>
      <c r="I196">
        <v>30</v>
      </c>
      <c r="J196" s="67">
        <v>0</v>
      </c>
    </row>
    <row r="197" spans="1:10">
      <c r="A197">
        <v>196</v>
      </c>
      <c r="B197" s="10">
        <v>42433.261006944442</v>
      </c>
      <c r="C197" s="11">
        <v>0.26100694444444444</v>
      </c>
      <c r="D197" s="12">
        <v>4</v>
      </c>
      <c r="E197" s="13" t="s">
        <v>3041</v>
      </c>
      <c r="F197">
        <f t="shared" si="5"/>
        <v>30</v>
      </c>
      <c r="G197">
        <v>1</v>
      </c>
      <c r="H197">
        <v>0</v>
      </c>
      <c r="I197">
        <v>1</v>
      </c>
      <c r="J197" s="67">
        <v>29</v>
      </c>
    </row>
    <row r="198" spans="1:10">
      <c r="A198">
        <v>197</v>
      </c>
      <c r="B198" s="10">
        <v>42433.261030092595</v>
      </c>
      <c r="C198" s="11">
        <v>0.26103009259259258</v>
      </c>
      <c r="D198" s="12">
        <v>4</v>
      </c>
      <c r="E198" s="13" t="s">
        <v>3041</v>
      </c>
      <c r="F198">
        <f t="shared" si="5"/>
        <v>30</v>
      </c>
      <c r="G198">
        <v>35</v>
      </c>
      <c r="H198">
        <v>2</v>
      </c>
      <c r="I198">
        <v>37</v>
      </c>
      <c r="J198" s="67">
        <v>-5</v>
      </c>
    </row>
    <row r="199" spans="1:10">
      <c r="A199">
        <v>198</v>
      </c>
      <c r="B199" s="10">
        <v>42433.261064814818</v>
      </c>
      <c r="C199" s="11">
        <v>0.26106481481481481</v>
      </c>
      <c r="D199" s="12">
        <v>4</v>
      </c>
      <c r="E199" s="13" t="s">
        <v>3041</v>
      </c>
      <c r="F199">
        <f t="shared" si="5"/>
        <v>30</v>
      </c>
      <c r="G199">
        <v>33</v>
      </c>
      <c r="H199">
        <v>4</v>
      </c>
      <c r="I199">
        <v>37</v>
      </c>
      <c r="J199" s="67">
        <v>-3</v>
      </c>
    </row>
    <row r="200" spans="1:10">
      <c r="A200">
        <v>199</v>
      </c>
      <c r="B200" s="10">
        <v>42433.261087962965</v>
      </c>
      <c r="C200" s="11">
        <v>0.26108796296296294</v>
      </c>
      <c r="D200" s="12">
        <v>4</v>
      </c>
      <c r="E200" s="13" t="s">
        <v>3041</v>
      </c>
      <c r="F200">
        <f t="shared" si="5"/>
        <v>30</v>
      </c>
      <c r="G200">
        <v>37</v>
      </c>
      <c r="H200">
        <v>2</v>
      </c>
      <c r="I200">
        <v>39</v>
      </c>
      <c r="J200" s="67">
        <v>-7</v>
      </c>
    </row>
    <row r="201" spans="1:10" ht="15" thickBot="1">
      <c r="A201">
        <v>200</v>
      </c>
      <c r="B201" s="14">
        <v>42433.261122685188</v>
      </c>
      <c r="C201" s="15">
        <v>0.26112268518518517</v>
      </c>
      <c r="D201" s="16">
        <v>4</v>
      </c>
      <c r="E201" s="17" t="s">
        <v>3041</v>
      </c>
      <c r="F201">
        <f t="shared" si="5"/>
        <v>30</v>
      </c>
      <c r="G201">
        <v>23</v>
      </c>
      <c r="H201">
        <v>4</v>
      </c>
      <c r="I201">
        <v>27</v>
      </c>
      <c r="J201" s="67">
        <v>7</v>
      </c>
    </row>
    <row r="202" spans="1:10">
      <c r="A202">
        <v>201</v>
      </c>
      <c r="B202" s="6">
        <v>42433.662731481483</v>
      </c>
      <c r="C202" s="7">
        <v>0.66273148148148153</v>
      </c>
      <c r="D202" s="8">
        <v>4</v>
      </c>
      <c r="E202" s="9" t="s">
        <v>3057</v>
      </c>
      <c r="F202">
        <f t="shared" si="5"/>
        <v>30</v>
      </c>
      <c r="G202">
        <v>29</v>
      </c>
      <c r="H202">
        <v>2</v>
      </c>
      <c r="I202">
        <v>31</v>
      </c>
      <c r="J202" s="67">
        <v>1</v>
      </c>
    </row>
    <row r="203" spans="1:10">
      <c r="A203">
        <v>202</v>
      </c>
      <c r="B203" s="10">
        <v>42433.662754629629</v>
      </c>
      <c r="C203" s="11">
        <v>0.66275462962962961</v>
      </c>
      <c r="D203" s="12">
        <v>4</v>
      </c>
      <c r="E203" s="13" t="s">
        <v>3057</v>
      </c>
      <c r="F203">
        <f t="shared" si="5"/>
        <v>30</v>
      </c>
      <c r="G203">
        <v>35</v>
      </c>
      <c r="H203">
        <v>1</v>
      </c>
      <c r="I203">
        <v>36</v>
      </c>
      <c r="J203" s="67">
        <v>-5</v>
      </c>
    </row>
    <row r="204" spans="1:10">
      <c r="A204">
        <v>203</v>
      </c>
      <c r="B204" s="10">
        <v>42433.584062499998</v>
      </c>
      <c r="C204" s="11">
        <v>0.58406250000000004</v>
      </c>
      <c r="D204" s="12">
        <v>4</v>
      </c>
      <c r="E204" s="13" t="s">
        <v>3041</v>
      </c>
      <c r="F204">
        <f t="shared" si="5"/>
        <v>30</v>
      </c>
      <c r="G204">
        <v>34</v>
      </c>
      <c r="H204">
        <v>1</v>
      </c>
      <c r="I204">
        <v>35</v>
      </c>
      <c r="J204" s="67">
        <v>-4</v>
      </c>
    </row>
    <row r="205" spans="1:10">
      <c r="A205">
        <v>204</v>
      </c>
      <c r="B205" s="10">
        <v>42433.584074074075</v>
      </c>
      <c r="C205" s="11">
        <v>0.58407407407407408</v>
      </c>
      <c r="D205" s="12">
        <v>4</v>
      </c>
      <c r="E205" s="13" t="s">
        <v>3041</v>
      </c>
      <c r="F205">
        <f t="shared" si="5"/>
        <v>30</v>
      </c>
      <c r="G205">
        <v>20</v>
      </c>
      <c r="H205">
        <v>0</v>
      </c>
      <c r="I205">
        <v>20</v>
      </c>
      <c r="J205" s="67">
        <v>10</v>
      </c>
    </row>
    <row r="206" spans="1:10">
      <c r="A206">
        <v>205</v>
      </c>
      <c r="B206" s="10">
        <v>42433.584085648145</v>
      </c>
      <c r="C206" s="11">
        <v>0.58408564814814812</v>
      </c>
      <c r="D206" s="12">
        <v>4</v>
      </c>
      <c r="E206" s="13" t="s">
        <v>3041</v>
      </c>
      <c r="F206">
        <f t="shared" si="5"/>
        <v>30</v>
      </c>
      <c r="G206">
        <v>32</v>
      </c>
      <c r="H206">
        <v>1</v>
      </c>
      <c r="I206">
        <v>33</v>
      </c>
      <c r="J206" s="67">
        <v>-2</v>
      </c>
    </row>
    <row r="207" spans="1:10">
      <c r="A207">
        <v>206</v>
      </c>
      <c r="B207" s="10">
        <v>42433.584097222221</v>
      </c>
      <c r="C207" s="11">
        <v>0.58409722222222227</v>
      </c>
      <c r="D207" s="12">
        <v>4</v>
      </c>
      <c r="E207" s="13" t="s">
        <v>3041</v>
      </c>
      <c r="F207">
        <f t="shared" si="5"/>
        <v>30</v>
      </c>
      <c r="G207">
        <v>28</v>
      </c>
      <c r="H207">
        <v>3</v>
      </c>
      <c r="I207">
        <v>31</v>
      </c>
      <c r="J207" s="67">
        <v>2</v>
      </c>
    </row>
    <row r="208" spans="1:10">
      <c r="A208">
        <v>207</v>
      </c>
      <c r="B208" s="10">
        <v>42433.584108796298</v>
      </c>
      <c r="C208" s="11">
        <v>0.58410879629629631</v>
      </c>
      <c r="D208" s="12">
        <v>4</v>
      </c>
      <c r="E208" s="13" t="s">
        <v>3041</v>
      </c>
      <c r="F208">
        <f t="shared" si="5"/>
        <v>30</v>
      </c>
      <c r="G208">
        <v>32</v>
      </c>
      <c r="H208">
        <v>2</v>
      </c>
      <c r="I208">
        <v>34</v>
      </c>
      <c r="J208" s="67">
        <v>-2</v>
      </c>
    </row>
    <row r="209" spans="1:10" ht="15" thickBot="1">
      <c r="A209">
        <v>208</v>
      </c>
      <c r="B209" s="14">
        <v>42433.584131944444</v>
      </c>
      <c r="C209" s="15">
        <v>0.5841319444444445</v>
      </c>
      <c r="D209" s="16">
        <v>4</v>
      </c>
      <c r="E209" s="17" t="s">
        <v>3041</v>
      </c>
      <c r="F209">
        <f t="shared" si="5"/>
        <v>30</v>
      </c>
      <c r="G209">
        <v>20</v>
      </c>
      <c r="H209">
        <v>2</v>
      </c>
      <c r="I209">
        <v>22</v>
      </c>
      <c r="J209" s="67">
        <v>10</v>
      </c>
    </row>
    <row r="210" spans="1:10">
      <c r="A210">
        <v>209</v>
      </c>
      <c r="B210" s="6">
        <v>42433.920381944445</v>
      </c>
      <c r="C210" s="7">
        <v>0.92038194444444443</v>
      </c>
      <c r="D210" s="8">
        <v>4</v>
      </c>
      <c r="E210" s="9" t="s">
        <v>3032</v>
      </c>
      <c r="F210">
        <f t="shared" si="5"/>
        <v>30</v>
      </c>
      <c r="G210">
        <v>28</v>
      </c>
      <c r="H210">
        <v>4</v>
      </c>
      <c r="I210">
        <v>32</v>
      </c>
      <c r="J210" s="67">
        <v>2</v>
      </c>
    </row>
    <row r="211" spans="1:10">
      <c r="A211">
        <v>210</v>
      </c>
      <c r="B211" s="10">
        <v>42433.920358796298</v>
      </c>
      <c r="C211" s="11">
        <v>0.92035879629629624</v>
      </c>
      <c r="D211" s="12">
        <v>4</v>
      </c>
      <c r="E211" s="13" t="s">
        <v>3032</v>
      </c>
      <c r="F211">
        <f t="shared" si="5"/>
        <v>30</v>
      </c>
      <c r="G211">
        <v>34</v>
      </c>
      <c r="H211">
        <v>2</v>
      </c>
      <c r="I211">
        <v>36</v>
      </c>
      <c r="J211" s="67">
        <v>-4</v>
      </c>
    </row>
    <row r="212" spans="1:10">
      <c r="A212">
        <v>211</v>
      </c>
      <c r="B212" s="10">
        <v>42433.920405092591</v>
      </c>
      <c r="C212" s="11">
        <v>0.92040509259259262</v>
      </c>
      <c r="D212" s="12">
        <v>4</v>
      </c>
      <c r="E212" s="13" t="s">
        <v>3032</v>
      </c>
      <c r="F212">
        <f t="shared" si="5"/>
        <v>30</v>
      </c>
      <c r="G212">
        <v>27</v>
      </c>
      <c r="H212">
        <v>2</v>
      </c>
      <c r="I212">
        <v>29</v>
      </c>
      <c r="J212" s="67">
        <v>3</v>
      </c>
    </row>
    <row r="213" spans="1:10">
      <c r="A213">
        <v>212</v>
      </c>
      <c r="B213" s="10">
        <v>42433.920416666668</v>
      </c>
      <c r="C213" s="11">
        <v>0.92041666666666666</v>
      </c>
      <c r="D213" s="12">
        <v>4</v>
      </c>
      <c r="E213" s="13" t="s">
        <v>3032</v>
      </c>
      <c r="F213">
        <f t="shared" si="5"/>
        <v>30</v>
      </c>
      <c r="G213">
        <v>14</v>
      </c>
      <c r="H213">
        <v>1</v>
      </c>
      <c r="I213">
        <v>15</v>
      </c>
      <c r="J213" s="67">
        <v>16</v>
      </c>
    </row>
    <row r="214" spans="1:10">
      <c r="A214">
        <v>213</v>
      </c>
      <c r="B214" s="10">
        <v>42433.920439814814</v>
      </c>
      <c r="C214" s="11">
        <v>0.92043981481481485</v>
      </c>
      <c r="D214" s="12">
        <v>4</v>
      </c>
      <c r="E214" s="13" t="s">
        <v>3032</v>
      </c>
      <c r="F214">
        <f t="shared" si="5"/>
        <v>30</v>
      </c>
      <c r="G214">
        <v>19</v>
      </c>
      <c r="H214">
        <v>2</v>
      </c>
      <c r="I214">
        <v>21</v>
      </c>
      <c r="J214" s="67">
        <v>11</v>
      </c>
    </row>
    <row r="215" spans="1:10">
      <c r="A215">
        <v>214</v>
      </c>
      <c r="B215" s="10">
        <v>42433.92046296296</v>
      </c>
      <c r="C215" s="11">
        <v>0.92046296296296293</v>
      </c>
      <c r="D215" s="12">
        <v>4</v>
      </c>
      <c r="E215" s="13" t="s">
        <v>3032</v>
      </c>
      <c r="F215">
        <f t="shared" si="5"/>
        <v>30</v>
      </c>
      <c r="G215">
        <v>32</v>
      </c>
      <c r="H215">
        <v>0</v>
      </c>
      <c r="I215">
        <v>32</v>
      </c>
      <c r="J215" s="67">
        <v>-2</v>
      </c>
    </row>
    <row r="216" spans="1:10">
      <c r="A216">
        <v>215</v>
      </c>
      <c r="B216" s="10">
        <v>42433.920497685183</v>
      </c>
      <c r="C216" s="11">
        <v>0.92049768518518515</v>
      </c>
      <c r="D216" s="12">
        <v>4</v>
      </c>
      <c r="E216" s="13" t="s">
        <v>3032</v>
      </c>
      <c r="F216">
        <f t="shared" si="5"/>
        <v>30</v>
      </c>
      <c r="G216">
        <v>29</v>
      </c>
      <c r="H216">
        <v>1</v>
      </c>
      <c r="I216">
        <v>30</v>
      </c>
      <c r="J216" s="67">
        <v>1</v>
      </c>
    </row>
    <row r="217" spans="1:10" ht="15" thickBot="1">
      <c r="A217">
        <v>216</v>
      </c>
      <c r="B217" s="14">
        <v>42433.920520833337</v>
      </c>
      <c r="C217" s="15">
        <v>0.92052083333333334</v>
      </c>
      <c r="D217" s="16">
        <v>4</v>
      </c>
      <c r="E217" s="17" t="s">
        <v>3032</v>
      </c>
      <c r="F217">
        <f t="shared" si="5"/>
        <v>30</v>
      </c>
      <c r="G217">
        <v>16</v>
      </c>
      <c r="H217">
        <v>2</v>
      </c>
      <c r="I217">
        <v>18</v>
      </c>
      <c r="J217" s="67">
        <v>14</v>
      </c>
    </row>
    <row r="218" spans="1:10">
      <c r="A218">
        <v>217</v>
      </c>
      <c r="B218" s="6">
        <v>42436.250960648147</v>
      </c>
      <c r="C218" s="7">
        <v>0.25096064814814817</v>
      </c>
      <c r="D218" s="8">
        <v>4</v>
      </c>
      <c r="E218" s="9" t="s">
        <v>3041</v>
      </c>
      <c r="F218">
        <f t="shared" si="5"/>
        <v>30</v>
      </c>
      <c r="G218">
        <v>33</v>
      </c>
      <c r="H218">
        <v>2</v>
      </c>
      <c r="I218">
        <v>35</v>
      </c>
      <c r="J218" s="67">
        <v>-3</v>
      </c>
    </row>
    <row r="219" spans="1:10">
      <c r="A219">
        <v>218</v>
      </c>
      <c r="B219" s="10">
        <v>42436.250972222224</v>
      </c>
      <c r="C219" s="11">
        <v>0.25097222222222221</v>
      </c>
      <c r="D219" s="12">
        <v>4</v>
      </c>
      <c r="E219" s="13" t="s">
        <v>3041</v>
      </c>
      <c r="F219">
        <f t="shared" si="5"/>
        <v>30</v>
      </c>
      <c r="G219">
        <v>35</v>
      </c>
      <c r="H219">
        <v>2</v>
      </c>
      <c r="I219">
        <v>37</v>
      </c>
      <c r="J219" s="67">
        <v>-5</v>
      </c>
    </row>
    <row r="220" spans="1:10">
      <c r="A220">
        <v>219</v>
      </c>
      <c r="B220" s="10">
        <v>42436.250983796293</v>
      </c>
      <c r="C220" s="11">
        <v>0.2509837962962963</v>
      </c>
      <c r="D220" s="12">
        <v>4</v>
      </c>
      <c r="E220" s="13" t="s">
        <v>3041</v>
      </c>
      <c r="F220">
        <f t="shared" si="5"/>
        <v>30</v>
      </c>
      <c r="G220">
        <v>24</v>
      </c>
      <c r="H220">
        <v>1</v>
      </c>
      <c r="I220">
        <v>25</v>
      </c>
      <c r="J220" s="67">
        <v>6</v>
      </c>
    </row>
    <row r="221" spans="1:10">
      <c r="A221">
        <v>220</v>
      </c>
      <c r="B221" s="10">
        <v>42436.25099537037</v>
      </c>
      <c r="C221" s="11">
        <v>0.2509953703703704</v>
      </c>
      <c r="D221" s="12">
        <v>3</v>
      </c>
      <c r="E221" s="13" t="s">
        <v>3041</v>
      </c>
      <c r="F221">
        <f t="shared" si="5"/>
        <v>30</v>
      </c>
      <c r="G221">
        <v>21</v>
      </c>
      <c r="H221">
        <v>2</v>
      </c>
      <c r="I221">
        <v>23</v>
      </c>
      <c r="J221" s="67">
        <v>9</v>
      </c>
    </row>
    <row r="222" spans="1:10">
      <c r="A222">
        <v>221</v>
      </c>
      <c r="B222" s="10">
        <v>42436.251018518517</v>
      </c>
      <c r="C222" s="11">
        <v>0.25101851851851853</v>
      </c>
      <c r="D222" s="12">
        <v>3</v>
      </c>
      <c r="E222" s="13" t="s">
        <v>3041</v>
      </c>
      <c r="F222">
        <f t="shared" si="5"/>
        <v>30</v>
      </c>
      <c r="G222">
        <v>22</v>
      </c>
      <c r="H222">
        <v>1</v>
      </c>
      <c r="I222">
        <v>23</v>
      </c>
      <c r="J222" s="67">
        <v>8</v>
      </c>
    </row>
    <row r="223" spans="1:10">
      <c r="A223">
        <v>222</v>
      </c>
      <c r="B223" s="10">
        <v>42436.251030092593</v>
      </c>
      <c r="C223" s="11">
        <v>0.25103009259259257</v>
      </c>
      <c r="D223" s="12">
        <v>3</v>
      </c>
      <c r="E223" s="13" t="s">
        <v>3041</v>
      </c>
      <c r="F223">
        <f t="shared" si="5"/>
        <v>30</v>
      </c>
      <c r="G223">
        <v>0</v>
      </c>
      <c r="H223">
        <v>0</v>
      </c>
      <c r="I223">
        <v>0</v>
      </c>
      <c r="J223" s="67">
        <v>30</v>
      </c>
    </row>
    <row r="224" spans="1:10">
      <c r="A224">
        <v>223</v>
      </c>
      <c r="B224" s="10">
        <v>42436.25104166667</v>
      </c>
      <c r="C224" s="11">
        <v>0.25104166666666666</v>
      </c>
      <c r="D224" s="12">
        <v>3</v>
      </c>
      <c r="E224" s="13" t="s">
        <v>3041</v>
      </c>
      <c r="F224">
        <f t="shared" si="5"/>
        <v>30</v>
      </c>
      <c r="G224">
        <v>0</v>
      </c>
      <c r="H224">
        <v>0</v>
      </c>
      <c r="I224">
        <v>0</v>
      </c>
      <c r="J224" s="67">
        <v>30</v>
      </c>
    </row>
    <row r="225" spans="1:10" ht="15" thickBot="1">
      <c r="A225">
        <v>224</v>
      </c>
      <c r="B225" s="14">
        <v>42436.251064814816</v>
      </c>
      <c r="C225" s="15">
        <v>0.2510648148148148</v>
      </c>
      <c r="D225" s="16">
        <v>3</v>
      </c>
      <c r="E225" s="17" t="s">
        <v>3041</v>
      </c>
      <c r="F225">
        <f t="shared" si="5"/>
        <v>30</v>
      </c>
      <c r="G225">
        <v>0</v>
      </c>
      <c r="H225">
        <v>0</v>
      </c>
      <c r="I225">
        <v>0</v>
      </c>
      <c r="J225" s="67">
        <v>30</v>
      </c>
    </row>
    <row r="226" spans="1:10">
      <c r="A226">
        <v>225</v>
      </c>
      <c r="B226" s="6">
        <v>42436.58353009259</v>
      </c>
      <c r="C226" s="7">
        <v>0.58353009259259259</v>
      </c>
      <c r="D226" s="8">
        <v>4</v>
      </c>
      <c r="E226" s="9" t="s">
        <v>3032</v>
      </c>
      <c r="F226">
        <f t="shared" si="5"/>
        <v>30</v>
      </c>
      <c r="G226">
        <v>0</v>
      </c>
      <c r="H226">
        <v>0</v>
      </c>
      <c r="I226">
        <v>0</v>
      </c>
      <c r="J226" s="67">
        <v>30</v>
      </c>
    </row>
    <row r="227" spans="1:10">
      <c r="A227">
        <v>226</v>
      </c>
      <c r="B227" s="10">
        <v>42436.583553240744</v>
      </c>
      <c r="C227" s="11">
        <v>0.58355324074074078</v>
      </c>
      <c r="D227" s="12">
        <v>4</v>
      </c>
      <c r="E227" s="13" t="s">
        <v>3032</v>
      </c>
      <c r="F227">
        <f t="shared" si="5"/>
        <v>30</v>
      </c>
      <c r="G227">
        <v>0</v>
      </c>
      <c r="H227">
        <v>0</v>
      </c>
      <c r="I227">
        <v>0</v>
      </c>
      <c r="J227" s="67">
        <v>30</v>
      </c>
    </row>
    <row r="228" spans="1:10">
      <c r="A228">
        <v>227</v>
      </c>
      <c r="B228" s="10">
        <v>42436.58357638889</v>
      </c>
      <c r="C228" s="11">
        <v>0.58357638888888885</v>
      </c>
      <c r="D228" s="12">
        <v>4</v>
      </c>
      <c r="E228" s="13" t="s">
        <v>3032</v>
      </c>
      <c r="F228">
        <f t="shared" si="5"/>
        <v>30</v>
      </c>
      <c r="G228">
        <v>0</v>
      </c>
      <c r="H228">
        <v>0</v>
      </c>
      <c r="I228">
        <v>0</v>
      </c>
      <c r="J228" s="67">
        <v>30</v>
      </c>
    </row>
    <row r="229" spans="1:10">
      <c r="A229">
        <v>228</v>
      </c>
      <c r="B229" s="10">
        <v>42436.583599537036</v>
      </c>
      <c r="C229" s="11">
        <v>0.58359953703703704</v>
      </c>
      <c r="D229" s="12">
        <v>4</v>
      </c>
      <c r="E229" s="13" t="s">
        <v>3032</v>
      </c>
      <c r="F229">
        <f t="shared" si="5"/>
        <v>30</v>
      </c>
      <c r="G229">
        <v>0</v>
      </c>
      <c r="H229">
        <v>0</v>
      </c>
      <c r="I229">
        <v>0</v>
      </c>
      <c r="J229" s="67">
        <v>30</v>
      </c>
    </row>
    <row r="230" spans="1:10">
      <c r="A230">
        <v>229</v>
      </c>
      <c r="B230" s="10">
        <v>42436.583611111113</v>
      </c>
      <c r="C230" s="11">
        <v>0.58361111111111108</v>
      </c>
      <c r="D230" s="12">
        <v>4</v>
      </c>
      <c r="E230" s="13" t="s">
        <v>3032</v>
      </c>
      <c r="F230">
        <f t="shared" si="5"/>
        <v>30</v>
      </c>
      <c r="G230">
        <v>4</v>
      </c>
      <c r="H230">
        <v>0</v>
      </c>
      <c r="I230">
        <v>4</v>
      </c>
      <c r="J230" s="67">
        <v>26</v>
      </c>
    </row>
    <row r="231" spans="1:10">
      <c r="A231">
        <v>230</v>
      </c>
      <c r="B231" s="10">
        <v>42436.583634259259</v>
      </c>
      <c r="C231" s="11">
        <v>0.58363425925925927</v>
      </c>
      <c r="D231" s="12">
        <v>4</v>
      </c>
      <c r="E231" s="13" t="s">
        <v>3032</v>
      </c>
      <c r="F231">
        <f t="shared" si="5"/>
        <v>30</v>
      </c>
      <c r="G231">
        <v>12</v>
      </c>
      <c r="H231">
        <v>2</v>
      </c>
      <c r="I231">
        <v>14</v>
      </c>
      <c r="J231" s="67">
        <v>18</v>
      </c>
    </row>
    <row r="232" spans="1:10">
      <c r="A232">
        <v>231</v>
      </c>
      <c r="B232" s="10">
        <v>42436.583645833336</v>
      </c>
      <c r="C232" s="11">
        <v>0.58364583333333331</v>
      </c>
      <c r="D232" s="12">
        <v>4</v>
      </c>
      <c r="E232" s="13" t="s">
        <v>3032</v>
      </c>
      <c r="F232">
        <f t="shared" si="5"/>
        <v>30</v>
      </c>
      <c r="G232">
        <v>35</v>
      </c>
      <c r="H232">
        <v>3</v>
      </c>
      <c r="I232">
        <v>38</v>
      </c>
      <c r="J232" s="67">
        <v>-5</v>
      </c>
    </row>
    <row r="233" spans="1:10" ht="15" thickBot="1">
      <c r="A233">
        <v>232</v>
      </c>
      <c r="B233" s="14">
        <v>42436.583668981482</v>
      </c>
      <c r="C233" s="15">
        <v>0.5836689814814815</v>
      </c>
      <c r="D233" s="16">
        <v>4</v>
      </c>
      <c r="E233" s="17" t="s">
        <v>3032</v>
      </c>
      <c r="F233">
        <f t="shared" si="5"/>
        <v>30</v>
      </c>
      <c r="G233">
        <v>29</v>
      </c>
      <c r="H233">
        <v>0</v>
      </c>
      <c r="I233">
        <v>29</v>
      </c>
      <c r="J233" s="67">
        <v>1</v>
      </c>
    </row>
    <row r="234" spans="1:10">
      <c r="A234">
        <v>233</v>
      </c>
      <c r="B234" s="6">
        <v>42437.45</v>
      </c>
      <c r="C234" s="7">
        <v>0.45</v>
      </c>
      <c r="D234" s="8">
        <v>4</v>
      </c>
      <c r="E234" s="9" t="s">
        <v>3041</v>
      </c>
      <c r="F234">
        <f t="shared" si="5"/>
        <v>30</v>
      </c>
      <c r="G234">
        <v>32</v>
      </c>
      <c r="H234">
        <v>2</v>
      </c>
      <c r="I234">
        <v>34</v>
      </c>
      <c r="J234" s="67">
        <v>-2</v>
      </c>
    </row>
    <row r="235" spans="1:10">
      <c r="A235">
        <v>234</v>
      </c>
      <c r="B235" s="10">
        <v>42437.450023148151</v>
      </c>
      <c r="C235" s="11">
        <v>0.45002314814814814</v>
      </c>
      <c r="D235" s="12">
        <v>4</v>
      </c>
      <c r="E235" s="13" t="s">
        <v>3041</v>
      </c>
      <c r="F235">
        <f t="shared" si="5"/>
        <v>30</v>
      </c>
      <c r="G235">
        <v>33</v>
      </c>
      <c r="H235">
        <v>2</v>
      </c>
      <c r="I235">
        <v>35</v>
      </c>
      <c r="J235" s="67">
        <v>-3</v>
      </c>
    </row>
    <row r="236" spans="1:10">
      <c r="A236">
        <v>235</v>
      </c>
      <c r="B236" s="10">
        <v>42437.45003472222</v>
      </c>
      <c r="C236" s="11">
        <v>0.45003472222222224</v>
      </c>
      <c r="D236" s="12">
        <v>4</v>
      </c>
      <c r="E236" s="13" t="s">
        <v>3041</v>
      </c>
      <c r="F236">
        <f t="shared" si="5"/>
        <v>30</v>
      </c>
      <c r="G236">
        <v>27</v>
      </c>
      <c r="H236">
        <v>2</v>
      </c>
      <c r="I236">
        <v>29</v>
      </c>
      <c r="J236" s="67">
        <v>3</v>
      </c>
    </row>
    <row r="237" spans="1:10">
      <c r="A237">
        <v>236</v>
      </c>
      <c r="B237" s="10">
        <v>42437.450057870374</v>
      </c>
      <c r="C237" s="11">
        <v>0.45005787037037037</v>
      </c>
      <c r="D237" s="12">
        <v>4</v>
      </c>
      <c r="E237" s="13" t="s">
        <v>3041</v>
      </c>
      <c r="F237">
        <f t="shared" si="5"/>
        <v>30</v>
      </c>
      <c r="G237">
        <v>21</v>
      </c>
      <c r="H237">
        <v>1</v>
      </c>
      <c r="I237">
        <v>22</v>
      </c>
      <c r="J237" s="67">
        <v>9</v>
      </c>
    </row>
    <row r="238" spans="1:10">
      <c r="A238">
        <v>237</v>
      </c>
      <c r="B238" s="10">
        <v>42437.450069444443</v>
      </c>
      <c r="C238" s="11">
        <v>0.45006944444444447</v>
      </c>
      <c r="D238" s="12">
        <v>4</v>
      </c>
      <c r="E238" s="13" t="s">
        <v>3041</v>
      </c>
      <c r="F238">
        <f t="shared" si="5"/>
        <v>30</v>
      </c>
      <c r="G238">
        <v>17</v>
      </c>
      <c r="H238">
        <v>0</v>
      </c>
      <c r="I238">
        <v>17</v>
      </c>
      <c r="J238" s="67">
        <v>13</v>
      </c>
    </row>
    <row r="239" spans="1:10">
      <c r="A239">
        <v>238</v>
      </c>
      <c r="B239" s="10">
        <v>42437.45008101852</v>
      </c>
      <c r="C239" s="11">
        <v>0.45008101851851851</v>
      </c>
      <c r="D239" s="12">
        <v>4</v>
      </c>
      <c r="E239" s="13" t="s">
        <v>3041</v>
      </c>
      <c r="F239">
        <f t="shared" si="5"/>
        <v>30</v>
      </c>
      <c r="G239">
        <v>35</v>
      </c>
      <c r="H239">
        <v>2</v>
      </c>
      <c r="I239">
        <v>37</v>
      </c>
      <c r="J239" s="67">
        <v>-5</v>
      </c>
    </row>
    <row r="240" spans="1:10">
      <c r="A240">
        <v>239</v>
      </c>
      <c r="B240" s="10">
        <v>42437.450092592589</v>
      </c>
      <c r="C240" s="11">
        <v>0.4500925925925926</v>
      </c>
      <c r="D240" s="12">
        <v>4</v>
      </c>
      <c r="E240" s="13" t="s">
        <v>3041</v>
      </c>
      <c r="F240">
        <f t="shared" si="5"/>
        <v>30</v>
      </c>
      <c r="G240">
        <v>35</v>
      </c>
      <c r="H240">
        <v>1</v>
      </c>
      <c r="I240">
        <v>36</v>
      </c>
      <c r="J240" s="67">
        <v>-5</v>
      </c>
    </row>
    <row r="241" spans="1:10" ht="15" thickBot="1">
      <c r="A241">
        <v>240</v>
      </c>
      <c r="B241" s="14">
        <v>42437.450104166666</v>
      </c>
      <c r="C241" s="15">
        <v>0.45010416666666669</v>
      </c>
      <c r="D241" s="16">
        <v>4</v>
      </c>
      <c r="E241" s="17" t="s">
        <v>3041</v>
      </c>
      <c r="F241">
        <f t="shared" si="5"/>
        <v>30</v>
      </c>
      <c r="G241">
        <v>27</v>
      </c>
      <c r="H241">
        <v>0</v>
      </c>
      <c r="I241">
        <v>27</v>
      </c>
      <c r="J241" s="67">
        <v>3</v>
      </c>
    </row>
    <row r="242" spans="1:10">
      <c r="A242">
        <v>241</v>
      </c>
      <c r="B242" s="6">
        <v>42437.644652777781</v>
      </c>
      <c r="C242" s="7">
        <v>0.64465277777777774</v>
      </c>
      <c r="D242" s="8">
        <v>4</v>
      </c>
      <c r="E242" s="9" t="s">
        <v>3041</v>
      </c>
      <c r="F242">
        <f t="shared" si="5"/>
        <v>30</v>
      </c>
      <c r="G242">
        <v>28</v>
      </c>
      <c r="H242">
        <v>7</v>
      </c>
      <c r="I242">
        <v>35</v>
      </c>
      <c r="J242" s="67">
        <v>2</v>
      </c>
    </row>
    <row r="243" spans="1:10">
      <c r="A243">
        <v>242</v>
      </c>
      <c r="B243" s="10">
        <v>42437.644328703704</v>
      </c>
      <c r="C243" s="11">
        <v>0.64432870370370365</v>
      </c>
      <c r="D243" s="12">
        <v>4</v>
      </c>
      <c r="E243" s="13" t="s">
        <v>3056</v>
      </c>
      <c r="F243">
        <f t="shared" si="5"/>
        <v>30</v>
      </c>
      <c r="G243">
        <v>33</v>
      </c>
      <c r="H243">
        <v>2</v>
      </c>
      <c r="I243">
        <v>35</v>
      </c>
      <c r="J243" s="67">
        <v>-3</v>
      </c>
    </row>
    <row r="244" spans="1:10">
      <c r="A244">
        <v>243</v>
      </c>
      <c r="B244" s="10">
        <v>42437.680694444447</v>
      </c>
      <c r="C244" s="11">
        <v>0.68069444444444449</v>
      </c>
      <c r="D244" s="12">
        <v>4</v>
      </c>
      <c r="E244" s="13" t="s">
        <v>3057</v>
      </c>
      <c r="F244">
        <f t="shared" si="5"/>
        <v>30</v>
      </c>
      <c r="G244">
        <v>34</v>
      </c>
      <c r="H244">
        <v>2</v>
      </c>
      <c r="I244">
        <v>36</v>
      </c>
      <c r="J244" s="67">
        <v>-4</v>
      </c>
    </row>
    <row r="245" spans="1:10">
      <c r="A245">
        <v>244</v>
      </c>
      <c r="B245" s="10">
        <v>42437.717002314814</v>
      </c>
      <c r="C245" s="11">
        <v>0.7170023148148148</v>
      </c>
      <c r="D245" s="12">
        <v>4</v>
      </c>
      <c r="E245" s="13" t="s">
        <v>3057</v>
      </c>
      <c r="F245">
        <f t="shared" si="5"/>
        <v>30</v>
      </c>
      <c r="G245">
        <v>24</v>
      </c>
      <c r="H245">
        <v>0</v>
      </c>
      <c r="I245">
        <v>24</v>
      </c>
      <c r="J245" s="67">
        <v>6</v>
      </c>
    </row>
    <row r="246" spans="1:10">
      <c r="A246">
        <v>245</v>
      </c>
      <c r="B246" s="10">
        <v>42437.644745370373</v>
      </c>
      <c r="C246" s="11">
        <v>0.64474537037037039</v>
      </c>
      <c r="D246" s="12">
        <v>4</v>
      </c>
      <c r="E246" s="13" t="s">
        <v>3041</v>
      </c>
      <c r="F246">
        <f t="shared" si="5"/>
        <v>30</v>
      </c>
      <c r="G246">
        <v>35</v>
      </c>
      <c r="H246">
        <v>2</v>
      </c>
      <c r="I246">
        <v>37</v>
      </c>
      <c r="J246" s="67">
        <v>-5</v>
      </c>
    </row>
    <row r="247" spans="1:10">
      <c r="A247">
        <v>246</v>
      </c>
      <c r="B247" s="10">
        <v>42437.644780092596</v>
      </c>
      <c r="C247" s="11">
        <v>0.64478009259259261</v>
      </c>
      <c r="D247" s="12">
        <v>4</v>
      </c>
      <c r="E247" s="13" t="s">
        <v>3041</v>
      </c>
      <c r="F247">
        <f t="shared" si="5"/>
        <v>30</v>
      </c>
      <c r="G247">
        <v>35</v>
      </c>
      <c r="H247">
        <v>2</v>
      </c>
      <c r="I247">
        <v>37</v>
      </c>
      <c r="J247" s="67">
        <v>-5</v>
      </c>
    </row>
    <row r="248" spans="1:10">
      <c r="A248">
        <v>247</v>
      </c>
      <c r="B248" s="10">
        <v>42437.644895833335</v>
      </c>
      <c r="C248" s="11">
        <v>0.64489583333333333</v>
      </c>
      <c r="D248" s="12">
        <v>4</v>
      </c>
      <c r="E248" s="13" t="s">
        <v>3041</v>
      </c>
      <c r="F248">
        <f t="shared" si="5"/>
        <v>30</v>
      </c>
      <c r="G248">
        <v>35</v>
      </c>
      <c r="H248">
        <v>1</v>
      </c>
      <c r="I248">
        <v>36</v>
      </c>
      <c r="J248" s="67">
        <v>-5</v>
      </c>
    </row>
    <row r="249" spans="1:10" ht="15" thickBot="1">
      <c r="A249">
        <v>248</v>
      </c>
      <c r="B249" s="14">
        <v>42437.644930555558</v>
      </c>
      <c r="C249" s="15">
        <v>0.64493055555555556</v>
      </c>
      <c r="D249" s="16">
        <v>4</v>
      </c>
      <c r="E249" s="17" t="s">
        <v>3041</v>
      </c>
      <c r="F249">
        <f t="shared" si="5"/>
        <v>30</v>
      </c>
      <c r="G249">
        <v>28</v>
      </c>
      <c r="H249">
        <v>4</v>
      </c>
      <c r="I249">
        <v>32</v>
      </c>
      <c r="J249" s="67">
        <v>2</v>
      </c>
    </row>
    <row r="250" spans="1:10">
      <c r="A250">
        <v>249</v>
      </c>
      <c r="B250" s="6">
        <v>42437.917858796296</v>
      </c>
      <c r="C250" s="7">
        <v>0.9178587962962963</v>
      </c>
      <c r="D250" s="8">
        <v>4</v>
      </c>
      <c r="E250" s="9" t="s">
        <v>3041</v>
      </c>
      <c r="F250">
        <f t="shared" si="5"/>
        <v>30</v>
      </c>
      <c r="G250">
        <v>31</v>
      </c>
      <c r="H250">
        <v>2</v>
      </c>
      <c r="I250">
        <v>33</v>
      </c>
      <c r="J250" s="67">
        <v>-1</v>
      </c>
    </row>
    <row r="251" spans="1:10">
      <c r="A251">
        <v>250</v>
      </c>
      <c r="B251" s="10">
        <v>42437.917893518519</v>
      </c>
      <c r="C251" s="11">
        <v>0.91789351851851853</v>
      </c>
      <c r="D251" s="12">
        <v>4</v>
      </c>
      <c r="E251" s="13" t="s">
        <v>3041</v>
      </c>
      <c r="F251">
        <f t="shared" si="5"/>
        <v>30</v>
      </c>
      <c r="G251">
        <v>35</v>
      </c>
      <c r="H251">
        <v>2</v>
      </c>
      <c r="I251">
        <v>37</v>
      </c>
      <c r="J251" s="67">
        <v>-5</v>
      </c>
    </row>
    <row r="252" spans="1:10">
      <c r="A252">
        <v>251</v>
      </c>
      <c r="B252" s="10">
        <v>42437.917916666665</v>
      </c>
      <c r="C252" s="11">
        <v>0.91791666666666671</v>
      </c>
      <c r="D252" s="12">
        <v>4</v>
      </c>
      <c r="E252" s="13" t="s">
        <v>3041</v>
      </c>
      <c r="F252">
        <f t="shared" si="5"/>
        <v>30</v>
      </c>
      <c r="G252">
        <v>37</v>
      </c>
      <c r="H252">
        <v>2</v>
      </c>
      <c r="I252">
        <v>39</v>
      </c>
      <c r="J252" s="67">
        <v>-7</v>
      </c>
    </row>
    <row r="253" spans="1:10">
      <c r="A253">
        <v>252</v>
      </c>
      <c r="B253" s="10">
        <v>42437.917939814812</v>
      </c>
      <c r="C253" s="11">
        <v>0.91793981481481479</v>
      </c>
      <c r="D253" s="12">
        <v>4</v>
      </c>
      <c r="E253" s="13" t="s">
        <v>3041</v>
      </c>
      <c r="F253">
        <f t="shared" si="5"/>
        <v>30</v>
      </c>
      <c r="G253">
        <v>0</v>
      </c>
      <c r="H253">
        <v>0</v>
      </c>
      <c r="I253">
        <v>0</v>
      </c>
      <c r="J253" s="67">
        <v>30</v>
      </c>
    </row>
    <row r="254" spans="1:10">
      <c r="A254">
        <v>253</v>
      </c>
      <c r="B254" s="10">
        <v>42437.917962962965</v>
      </c>
      <c r="C254" s="11">
        <v>0.91796296296296298</v>
      </c>
      <c r="D254" s="12">
        <v>4</v>
      </c>
      <c r="E254" s="13" t="s">
        <v>3041</v>
      </c>
      <c r="F254">
        <f t="shared" si="5"/>
        <v>30</v>
      </c>
      <c r="G254">
        <v>35</v>
      </c>
      <c r="H254">
        <v>2</v>
      </c>
      <c r="I254">
        <v>37</v>
      </c>
      <c r="J254" s="67">
        <v>-5</v>
      </c>
    </row>
    <row r="255" spans="1:10">
      <c r="A255">
        <v>254</v>
      </c>
      <c r="B255" s="10">
        <v>42437.917986111112</v>
      </c>
      <c r="C255" s="11">
        <v>0.91798611111111106</v>
      </c>
      <c r="D255" s="12">
        <v>4</v>
      </c>
      <c r="E255" s="13" t="s">
        <v>3041</v>
      </c>
      <c r="F255">
        <f t="shared" si="5"/>
        <v>30</v>
      </c>
      <c r="G255">
        <v>35</v>
      </c>
      <c r="H255">
        <v>0</v>
      </c>
      <c r="I255">
        <v>35</v>
      </c>
      <c r="J255" s="67">
        <v>-5</v>
      </c>
    </row>
    <row r="256" spans="1:10">
      <c r="A256">
        <v>255</v>
      </c>
      <c r="B256" s="10">
        <v>42437.918009259258</v>
      </c>
      <c r="C256" s="11">
        <v>0.91800925925925925</v>
      </c>
      <c r="D256" s="12">
        <v>4</v>
      </c>
      <c r="E256" s="13" t="s">
        <v>3041</v>
      </c>
      <c r="F256">
        <f t="shared" si="5"/>
        <v>30</v>
      </c>
      <c r="G256">
        <v>35</v>
      </c>
      <c r="H256">
        <v>0</v>
      </c>
      <c r="I256">
        <v>35</v>
      </c>
      <c r="J256" s="67">
        <v>-5</v>
      </c>
    </row>
    <row r="257" spans="1:10" ht="15" thickBot="1">
      <c r="A257">
        <v>256</v>
      </c>
      <c r="B257" s="14">
        <v>42437.918043981481</v>
      </c>
      <c r="C257" s="15">
        <v>0.91804398148148147</v>
      </c>
      <c r="D257" s="16">
        <v>4</v>
      </c>
      <c r="E257" s="17" t="s">
        <v>3041</v>
      </c>
      <c r="F257">
        <f t="shared" si="5"/>
        <v>30</v>
      </c>
      <c r="G257">
        <v>30</v>
      </c>
      <c r="H257">
        <v>1</v>
      </c>
      <c r="I257">
        <v>31</v>
      </c>
      <c r="J257" s="67">
        <v>0</v>
      </c>
    </row>
    <row r="258" spans="1:10">
      <c r="A258">
        <v>257</v>
      </c>
      <c r="B258" s="6">
        <v>42438.251087962963</v>
      </c>
      <c r="C258" s="7">
        <v>0.25108796296296299</v>
      </c>
      <c r="D258" s="8">
        <v>4</v>
      </c>
      <c r="E258" s="9" t="s">
        <v>3041</v>
      </c>
      <c r="F258">
        <f t="shared" si="5"/>
        <v>30</v>
      </c>
      <c r="G258">
        <v>22</v>
      </c>
      <c r="H258">
        <v>1</v>
      </c>
      <c r="I258">
        <v>23</v>
      </c>
      <c r="J258" s="67">
        <v>8</v>
      </c>
    </row>
    <row r="259" spans="1:10">
      <c r="A259">
        <v>258</v>
      </c>
      <c r="B259" s="10">
        <v>42438.251087962963</v>
      </c>
      <c r="C259" s="11">
        <v>0.25108796296296299</v>
      </c>
      <c r="D259" s="12">
        <v>4</v>
      </c>
      <c r="E259" s="13" t="s">
        <v>3041</v>
      </c>
      <c r="F259">
        <f t="shared" ref="F259:F322" si="6">40*0.75</f>
        <v>30</v>
      </c>
      <c r="G259">
        <v>35</v>
      </c>
      <c r="H259">
        <v>2</v>
      </c>
      <c r="I259">
        <v>37</v>
      </c>
      <c r="J259" s="67">
        <v>-5</v>
      </c>
    </row>
    <row r="260" spans="1:10">
      <c r="A260">
        <v>259</v>
      </c>
      <c r="B260" s="10">
        <v>42438.251157407409</v>
      </c>
      <c r="C260" s="11">
        <v>0.25115740740740738</v>
      </c>
      <c r="D260" s="12">
        <v>4</v>
      </c>
      <c r="E260" s="13" t="s">
        <v>3041</v>
      </c>
      <c r="F260">
        <f t="shared" si="6"/>
        <v>30</v>
      </c>
      <c r="G260">
        <v>26</v>
      </c>
      <c r="H260">
        <v>4</v>
      </c>
      <c r="I260">
        <v>30</v>
      </c>
      <c r="J260" s="67">
        <v>4</v>
      </c>
    </row>
    <row r="261" spans="1:10">
      <c r="A261">
        <v>260</v>
      </c>
      <c r="B261" s="10">
        <v>42438.251168981478</v>
      </c>
      <c r="C261" s="11">
        <v>0.25116898148148148</v>
      </c>
      <c r="D261" s="12">
        <v>4</v>
      </c>
      <c r="E261" s="13" t="s">
        <v>3041</v>
      </c>
      <c r="F261">
        <f t="shared" si="6"/>
        <v>30</v>
      </c>
      <c r="G261">
        <v>14</v>
      </c>
      <c r="H261">
        <v>0</v>
      </c>
      <c r="I261">
        <v>14</v>
      </c>
      <c r="J261" s="67">
        <v>16</v>
      </c>
    </row>
    <row r="262" spans="1:10">
      <c r="A262">
        <v>261</v>
      </c>
      <c r="B262" s="10">
        <v>42438.251180555555</v>
      </c>
      <c r="C262" s="11">
        <v>0.25118055555555557</v>
      </c>
      <c r="D262" s="12">
        <v>4</v>
      </c>
      <c r="E262" s="13" t="s">
        <v>3041</v>
      </c>
      <c r="F262">
        <f t="shared" si="6"/>
        <v>30</v>
      </c>
      <c r="G262">
        <v>21</v>
      </c>
      <c r="H262">
        <v>2</v>
      </c>
      <c r="I262">
        <v>23</v>
      </c>
      <c r="J262" s="67">
        <v>9</v>
      </c>
    </row>
    <row r="263" spans="1:10">
      <c r="A263">
        <v>262</v>
      </c>
      <c r="B263" s="10">
        <v>42438.251203703701</v>
      </c>
      <c r="C263" s="11">
        <v>0.25120370370370371</v>
      </c>
      <c r="D263" s="12">
        <v>4</v>
      </c>
      <c r="E263" s="13" t="s">
        <v>3041</v>
      </c>
      <c r="F263">
        <f t="shared" si="6"/>
        <v>30</v>
      </c>
      <c r="G263">
        <v>29</v>
      </c>
      <c r="H263">
        <v>1</v>
      </c>
      <c r="I263">
        <v>30</v>
      </c>
      <c r="J263" s="67">
        <v>1</v>
      </c>
    </row>
    <row r="264" spans="1:10">
      <c r="A264">
        <v>263</v>
      </c>
      <c r="B264" s="10">
        <v>42438.251215277778</v>
      </c>
      <c r="C264" s="11">
        <v>0.2512152777777778</v>
      </c>
      <c r="D264" s="12">
        <v>4</v>
      </c>
      <c r="E264" s="13" t="s">
        <v>3041</v>
      </c>
      <c r="F264">
        <f t="shared" si="6"/>
        <v>30</v>
      </c>
      <c r="G264">
        <v>35</v>
      </c>
      <c r="H264">
        <v>2</v>
      </c>
      <c r="I264">
        <v>37</v>
      </c>
      <c r="J264" s="67">
        <v>-5</v>
      </c>
    </row>
    <row r="265" spans="1:10" ht="15" thickBot="1">
      <c r="A265">
        <v>264</v>
      </c>
      <c r="B265" s="14">
        <v>42438.251226851855</v>
      </c>
      <c r="C265" s="15">
        <v>0.25122685185185184</v>
      </c>
      <c r="D265" s="16">
        <v>4</v>
      </c>
      <c r="E265" s="17" t="s">
        <v>3041</v>
      </c>
      <c r="F265">
        <f t="shared" si="6"/>
        <v>30</v>
      </c>
      <c r="G265">
        <v>19</v>
      </c>
      <c r="H265">
        <v>2</v>
      </c>
      <c r="I265">
        <v>21</v>
      </c>
      <c r="J265" s="67">
        <v>11</v>
      </c>
    </row>
    <row r="266" spans="1:10">
      <c r="A266">
        <v>265</v>
      </c>
      <c r="B266" s="6">
        <v>42438.617650462962</v>
      </c>
      <c r="C266" s="7">
        <v>0.617650462962963</v>
      </c>
      <c r="D266" s="8">
        <v>4</v>
      </c>
      <c r="E266" s="9" t="s">
        <v>3041</v>
      </c>
      <c r="F266">
        <f t="shared" si="6"/>
        <v>30</v>
      </c>
      <c r="G266">
        <v>32</v>
      </c>
      <c r="H266">
        <v>1</v>
      </c>
      <c r="I266">
        <v>33</v>
      </c>
      <c r="J266" s="67">
        <v>-2</v>
      </c>
    </row>
    <row r="267" spans="1:10">
      <c r="A267">
        <v>266</v>
      </c>
      <c r="B267" s="10">
        <v>42438.585601851853</v>
      </c>
      <c r="C267" s="11">
        <v>0.58560185185185187</v>
      </c>
      <c r="D267" s="12">
        <v>4</v>
      </c>
      <c r="E267" s="13" t="s">
        <v>3032</v>
      </c>
      <c r="F267">
        <f t="shared" si="6"/>
        <v>30</v>
      </c>
      <c r="G267">
        <v>35</v>
      </c>
      <c r="H267">
        <v>0</v>
      </c>
      <c r="I267">
        <v>35</v>
      </c>
      <c r="J267" s="67">
        <v>-5</v>
      </c>
    </row>
    <row r="268" spans="1:10">
      <c r="A268">
        <v>267</v>
      </c>
      <c r="B268" s="10">
        <v>42438.585613425923</v>
      </c>
      <c r="C268" s="11">
        <v>0.58561342592592591</v>
      </c>
      <c r="D268" s="12">
        <v>4</v>
      </c>
      <c r="E268" s="13" t="s">
        <v>3032</v>
      </c>
      <c r="F268">
        <f t="shared" si="6"/>
        <v>30</v>
      </c>
      <c r="G268">
        <v>35</v>
      </c>
      <c r="H268">
        <v>1</v>
      </c>
      <c r="I268">
        <v>36</v>
      </c>
      <c r="J268" s="67">
        <v>-5</v>
      </c>
    </row>
    <row r="269" spans="1:10">
      <c r="A269">
        <v>268</v>
      </c>
      <c r="B269" s="10">
        <v>42438.585648148146</v>
      </c>
      <c r="C269" s="11">
        <v>0.58564814814814814</v>
      </c>
      <c r="D269" s="12">
        <v>4</v>
      </c>
      <c r="E269" s="13" t="s">
        <v>3032</v>
      </c>
      <c r="F269">
        <f t="shared" si="6"/>
        <v>30</v>
      </c>
      <c r="G269">
        <v>24</v>
      </c>
      <c r="H269">
        <v>1</v>
      </c>
      <c r="I269">
        <v>25</v>
      </c>
      <c r="J269" s="67">
        <v>6</v>
      </c>
    </row>
    <row r="270" spans="1:10">
      <c r="A270">
        <v>269</v>
      </c>
      <c r="B270" s="10">
        <v>42438.585659722223</v>
      </c>
      <c r="C270" s="11">
        <v>0.58565972222222218</v>
      </c>
      <c r="D270" s="12">
        <v>4</v>
      </c>
      <c r="E270" s="13" t="s">
        <v>3032</v>
      </c>
      <c r="F270">
        <f t="shared" si="6"/>
        <v>30</v>
      </c>
      <c r="G270">
        <v>32</v>
      </c>
      <c r="H270">
        <v>2</v>
      </c>
      <c r="I270">
        <v>34</v>
      </c>
      <c r="J270" s="67">
        <v>-2</v>
      </c>
    </row>
    <row r="271" spans="1:10">
      <c r="A271">
        <v>270</v>
      </c>
      <c r="B271" s="10">
        <v>42438.585682870369</v>
      </c>
      <c r="C271" s="11">
        <v>0.58568287037037037</v>
      </c>
      <c r="D271" s="12">
        <v>4</v>
      </c>
      <c r="E271" s="13" t="s">
        <v>3032</v>
      </c>
      <c r="F271">
        <f t="shared" si="6"/>
        <v>30</v>
      </c>
      <c r="G271">
        <v>7</v>
      </c>
      <c r="H271">
        <v>1</v>
      </c>
      <c r="I271">
        <v>8</v>
      </c>
      <c r="J271" s="67">
        <v>23</v>
      </c>
    </row>
    <row r="272" spans="1:10">
      <c r="A272">
        <v>271</v>
      </c>
      <c r="B272" s="10">
        <v>42438.585717592592</v>
      </c>
      <c r="C272" s="11">
        <v>0.5857175925925926</v>
      </c>
      <c r="D272" s="12">
        <v>4</v>
      </c>
      <c r="E272" s="13" t="s">
        <v>3032</v>
      </c>
      <c r="F272">
        <f t="shared" si="6"/>
        <v>30</v>
      </c>
      <c r="G272">
        <v>29</v>
      </c>
      <c r="H272">
        <v>4</v>
      </c>
      <c r="I272">
        <v>33</v>
      </c>
      <c r="J272" s="67">
        <v>1</v>
      </c>
    </row>
    <row r="273" spans="1:10" ht="15" thickBot="1">
      <c r="A273">
        <v>272</v>
      </c>
      <c r="B273" s="14">
        <v>42438.5862037037</v>
      </c>
      <c r="C273" s="15">
        <v>0.58620370370370367</v>
      </c>
      <c r="D273" s="16">
        <v>4</v>
      </c>
      <c r="E273" s="17" t="s">
        <v>3032</v>
      </c>
      <c r="F273">
        <f t="shared" si="6"/>
        <v>30</v>
      </c>
      <c r="G273">
        <v>28</v>
      </c>
      <c r="H273">
        <v>2</v>
      </c>
      <c r="I273">
        <v>30</v>
      </c>
      <c r="J273" s="67">
        <v>2</v>
      </c>
    </row>
    <row r="274" spans="1:10">
      <c r="A274">
        <v>273</v>
      </c>
      <c r="B274" s="6">
        <v>42438.917870370373</v>
      </c>
      <c r="C274" s="7">
        <v>0.91787037037037034</v>
      </c>
      <c r="D274" s="8">
        <v>4</v>
      </c>
      <c r="E274" s="9" t="s">
        <v>3041</v>
      </c>
      <c r="F274">
        <f t="shared" si="6"/>
        <v>30</v>
      </c>
      <c r="G274">
        <v>27</v>
      </c>
      <c r="H274">
        <v>3</v>
      </c>
      <c r="I274">
        <v>30</v>
      </c>
      <c r="J274" s="67">
        <v>3</v>
      </c>
    </row>
    <row r="275" spans="1:10">
      <c r="A275">
        <v>274</v>
      </c>
      <c r="B275" s="10">
        <v>42438.917893518519</v>
      </c>
      <c r="C275" s="11">
        <v>0.91789351851851853</v>
      </c>
      <c r="D275" s="12">
        <v>4</v>
      </c>
      <c r="E275" s="13" t="s">
        <v>3041</v>
      </c>
      <c r="F275">
        <f t="shared" si="6"/>
        <v>30</v>
      </c>
      <c r="G275">
        <v>0</v>
      </c>
      <c r="H275">
        <v>0</v>
      </c>
      <c r="I275">
        <v>0</v>
      </c>
      <c r="J275" s="67">
        <v>30</v>
      </c>
    </row>
    <row r="276" spans="1:10">
      <c r="A276">
        <v>275</v>
      </c>
      <c r="B276" s="10">
        <v>42438.917916666665</v>
      </c>
      <c r="C276" s="11">
        <v>0.91791666666666671</v>
      </c>
      <c r="D276" s="12">
        <v>4</v>
      </c>
      <c r="E276" s="13" t="s">
        <v>3041</v>
      </c>
      <c r="F276">
        <f t="shared" si="6"/>
        <v>30</v>
      </c>
      <c r="G276">
        <v>0</v>
      </c>
      <c r="H276">
        <v>0</v>
      </c>
      <c r="I276">
        <v>0</v>
      </c>
      <c r="J276" s="67">
        <v>30</v>
      </c>
    </row>
    <row r="277" spans="1:10">
      <c r="A277">
        <v>276</v>
      </c>
      <c r="B277" s="10">
        <v>42438.917951388888</v>
      </c>
      <c r="C277" s="11">
        <v>0.91795138888888894</v>
      </c>
      <c r="D277" s="12">
        <v>4</v>
      </c>
      <c r="E277" s="13" t="s">
        <v>3041</v>
      </c>
      <c r="F277">
        <f t="shared" si="6"/>
        <v>30</v>
      </c>
      <c r="G277">
        <v>0</v>
      </c>
      <c r="H277">
        <v>0</v>
      </c>
      <c r="I277">
        <v>0</v>
      </c>
      <c r="J277" s="67">
        <v>30</v>
      </c>
    </row>
    <row r="278" spans="1:10">
      <c r="A278">
        <v>277</v>
      </c>
      <c r="B278" s="10">
        <v>42438.917974537035</v>
      </c>
      <c r="C278" s="11">
        <v>0.91797453703703702</v>
      </c>
      <c r="D278" s="12">
        <v>4</v>
      </c>
      <c r="E278" s="13" t="s">
        <v>3041</v>
      </c>
      <c r="F278">
        <f t="shared" si="6"/>
        <v>30</v>
      </c>
      <c r="G278">
        <v>0</v>
      </c>
      <c r="H278">
        <v>0</v>
      </c>
      <c r="I278">
        <v>0</v>
      </c>
      <c r="J278" s="67">
        <v>30</v>
      </c>
    </row>
    <row r="279" spans="1:10">
      <c r="A279">
        <v>278</v>
      </c>
      <c r="B279" s="10">
        <v>42438.917997685188</v>
      </c>
      <c r="C279" s="11">
        <v>0.91799768518518521</v>
      </c>
      <c r="D279" s="12">
        <v>4</v>
      </c>
      <c r="E279" s="13" t="s">
        <v>3041</v>
      </c>
      <c r="F279">
        <f t="shared" si="6"/>
        <v>30</v>
      </c>
      <c r="G279">
        <v>6</v>
      </c>
      <c r="H279">
        <v>3</v>
      </c>
      <c r="I279">
        <v>9</v>
      </c>
      <c r="J279" s="67">
        <v>24</v>
      </c>
    </row>
    <row r="280" spans="1:10">
      <c r="A280">
        <v>279</v>
      </c>
      <c r="B280" s="10">
        <v>42438.918032407404</v>
      </c>
      <c r="C280" s="11">
        <v>0.91803240740740744</v>
      </c>
      <c r="D280" s="12">
        <v>4</v>
      </c>
      <c r="E280" s="13" t="s">
        <v>3041</v>
      </c>
      <c r="F280">
        <f t="shared" si="6"/>
        <v>30</v>
      </c>
      <c r="G280">
        <v>35</v>
      </c>
      <c r="H280">
        <v>3</v>
      </c>
      <c r="I280">
        <v>38</v>
      </c>
      <c r="J280" s="67">
        <v>-5</v>
      </c>
    </row>
    <row r="281" spans="1:10" ht="15" thickBot="1">
      <c r="A281">
        <v>280</v>
      </c>
      <c r="B281" s="14">
        <v>42438.918078703704</v>
      </c>
      <c r="C281" s="15">
        <v>0.9180787037037037</v>
      </c>
      <c r="D281" s="16">
        <v>4</v>
      </c>
      <c r="E281" s="17" t="s">
        <v>3041</v>
      </c>
      <c r="F281">
        <f t="shared" si="6"/>
        <v>30</v>
      </c>
      <c r="G281">
        <v>24</v>
      </c>
      <c r="H281">
        <v>2</v>
      </c>
      <c r="I281">
        <v>26</v>
      </c>
      <c r="J281" s="67">
        <v>6</v>
      </c>
    </row>
    <row r="282" spans="1:10">
      <c r="A282">
        <v>281</v>
      </c>
      <c r="B282" s="6">
        <v>42439.262685185182</v>
      </c>
      <c r="C282" s="7">
        <v>0.26268518518518519</v>
      </c>
      <c r="D282" s="8">
        <v>4</v>
      </c>
      <c r="E282" s="9" t="s">
        <v>3041</v>
      </c>
      <c r="F282">
        <f t="shared" si="6"/>
        <v>30</v>
      </c>
      <c r="G282">
        <v>29</v>
      </c>
      <c r="H282">
        <v>2</v>
      </c>
      <c r="I282">
        <v>31</v>
      </c>
      <c r="J282" s="67">
        <v>1</v>
      </c>
    </row>
    <row r="283" spans="1:10">
      <c r="A283">
        <v>282</v>
      </c>
      <c r="B283" s="10">
        <v>42439.262696759259</v>
      </c>
      <c r="C283" s="11">
        <v>0.26269675925925928</v>
      </c>
      <c r="D283" s="12">
        <v>4</v>
      </c>
      <c r="E283" s="13" t="s">
        <v>3041</v>
      </c>
      <c r="F283">
        <f t="shared" si="6"/>
        <v>30</v>
      </c>
      <c r="G283">
        <v>20</v>
      </c>
      <c r="H283">
        <v>2</v>
      </c>
      <c r="I283">
        <v>22</v>
      </c>
      <c r="J283" s="67">
        <v>10</v>
      </c>
    </row>
    <row r="284" spans="1:10">
      <c r="A284">
        <v>283</v>
      </c>
      <c r="B284" s="10">
        <v>42439.262719907405</v>
      </c>
      <c r="C284" s="11">
        <v>0.26271990740740742</v>
      </c>
      <c r="D284" s="12">
        <v>4</v>
      </c>
      <c r="E284" s="13" t="s">
        <v>3041</v>
      </c>
      <c r="F284">
        <f t="shared" si="6"/>
        <v>30</v>
      </c>
      <c r="G284">
        <v>29</v>
      </c>
      <c r="H284">
        <v>2</v>
      </c>
      <c r="I284">
        <v>31</v>
      </c>
      <c r="J284" s="67">
        <v>1</v>
      </c>
    </row>
    <row r="285" spans="1:10">
      <c r="A285">
        <v>284</v>
      </c>
      <c r="B285" s="10">
        <v>42439.262743055559</v>
      </c>
      <c r="C285" s="11">
        <v>0.26274305555555555</v>
      </c>
      <c r="D285" s="12">
        <v>4</v>
      </c>
      <c r="E285" s="13" t="s">
        <v>3041</v>
      </c>
      <c r="F285">
        <f t="shared" si="6"/>
        <v>30</v>
      </c>
      <c r="G285">
        <v>14</v>
      </c>
      <c r="H285">
        <v>1</v>
      </c>
      <c r="I285">
        <v>15</v>
      </c>
      <c r="J285" s="67">
        <v>16</v>
      </c>
    </row>
    <row r="286" spans="1:10">
      <c r="A286">
        <v>285</v>
      </c>
      <c r="B286" s="10">
        <v>42439.262754629628</v>
      </c>
      <c r="C286" s="11">
        <v>0.26275462962962964</v>
      </c>
      <c r="D286" s="12">
        <v>4</v>
      </c>
      <c r="E286" s="13" t="s">
        <v>3041</v>
      </c>
      <c r="F286">
        <f t="shared" si="6"/>
        <v>30</v>
      </c>
      <c r="G286">
        <v>26</v>
      </c>
      <c r="H286">
        <v>5</v>
      </c>
      <c r="I286">
        <v>31</v>
      </c>
      <c r="J286" s="67">
        <v>4</v>
      </c>
    </row>
    <row r="287" spans="1:10">
      <c r="A287">
        <v>286</v>
      </c>
      <c r="B287" s="10">
        <v>42439.262766203705</v>
      </c>
      <c r="C287" s="11">
        <v>0.26276620370370368</v>
      </c>
      <c r="D287" s="12">
        <v>4</v>
      </c>
      <c r="E287" s="13" t="s">
        <v>3041</v>
      </c>
      <c r="F287">
        <f t="shared" si="6"/>
        <v>30</v>
      </c>
      <c r="G287">
        <v>10</v>
      </c>
      <c r="H287">
        <v>2</v>
      </c>
      <c r="I287">
        <v>12</v>
      </c>
      <c r="J287" s="67">
        <v>20</v>
      </c>
    </row>
    <row r="288" spans="1:10">
      <c r="A288">
        <v>287</v>
      </c>
      <c r="B288" s="10">
        <v>42439.262835648151</v>
      </c>
      <c r="C288" s="11">
        <v>0.26283564814814814</v>
      </c>
      <c r="D288" s="12">
        <v>4</v>
      </c>
      <c r="E288" s="13" t="s">
        <v>3041</v>
      </c>
      <c r="F288">
        <f t="shared" si="6"/>
        <v>30</v>
      </c>
      <c r="G288">
        <v>0</v>
      </c>
      <c r="H288">
        <v>0</v>
      </c>
      <c r="I288">
        <v>0</v>
      </c>
      <c r="J288" s="67">
        <v>30</v>
      </c>
    </row>
    <row r="289" spans="1:10" ht="15" thickBot="1">
      <c r="A289">
        <v>288</v>
      </c>
      <c r="B289" s="14">
        <v>42439.262858796297</v>
      </c>
      <c r="C289" s="15">
        <v>0.26285879629629627</v>
      </c>
      <c r="D289" s="16">
        <v>4</v>
      </c>
      <c r="E289" s="17" t="s">
        <v>3041</v>
      </c>
      <c r="F289">
        <f t="shared" si="6"/>
        <v>30</v>
      </c>
      <c r="G289">
        <v>21</v>
      </c>
      <c r="H289">
        <v>2</v>
      </c>
      <c r="I289">
        <v>23</v>
      </c>
      <c r="J289" s="67">
        <v>9</v>
      </c>
    </row>
    <row r="290" spans="1:10">
      <c r="A290">
        <v>289</v>
      </c>
      <c r="B290" s="6">
        <v>42439.582511574074</v>
      </c>
      <c r="C290" s="7">
        <v>0.58251157407407406</v>
      </c>
      <c r="D290" s="8">
        <v>4</v>
      </c>
      <c r="E290" s="9" t="s">
        <v>3032</v>
      </c>
      <c r="F290">
        <f t="shared" si="6"/>
        <v>30</v>
      </c>
      <c r="G290">
        <v>31</v>
      </c>
      <c r="H290">
        <v>8</v>
      </c>
      <c r="I290">
        <v>39</v>
      </c>
      <c r="J290" s="67">
        <v>-1</v>
      </c>
    </row>
    <row r="291" spans="1:10">
      <c r="A291">
        <v>290</v>
      </c>
      <c r="B291" s="10">
        <v>42439.582557870373</v>
      </c>
      <c r="C291" s="11">
        <v>0.58255787037037032</v>
      </c>
      <c r="D291" s="12">
        <v>4</v>
      </c>
      <c r="E291" s="13" t="s">
        <v>3032</v>
      </c>
      <c r="F291">
        <f t="shared" si="6"/>
        <v>30</v>
      </c>
      <c r="G291">
        <v>33</v>
      </c>
      <c r="H291">
        <v>6</v>
      </c>
      <c r="I291">
        <v>39</v>
      </c>
      <c r="J291" s="67">
        <v>-3</v>
      </c>
    </row>
    <row r="292" spans="1:10">
      <c r="A292">
        <v>291</v>
      </c>
      <c r="B292" s="10">
        <v>42439.582627314812</v>
      </c>
      <c r="C292" s="11">
        <v>0.58262731481481478</v>
      </c>
      <c r="D292" s="12">
        <v>4</v>
      </c>
      <c r="E292" s="13" t="s">
        <v>3032</v>
      </c>
      <c r="F292">
        <f t="shared" si="6"/>
        <v>30</v>
      </c>
      <c r="G292">
        <v>0</v>
      </c>
      <c r="H292">
        <v>0</v>
      </c>
      <c r="I292">
        <v>0</v>
      </c>
      <c r="J292" s="67">
        <v>30</v>
      </c>
    </row>
    <row r="293" spans="1:10">
      <c r="A293">
        <v>292</v>
      </c>
      <c r="B293" s="10">
        <v>42439.582650462966</v>
      </c>
      <c r="C293" s="11">
        <v>0.58265046296296297</v>
      </c>
      <c r="D293" s="12">
        <v>4</v>
      </c>
      <c r="E293" s="13" t="s">
        <v>3032</v>
      </c>
      <c r="F293">
        <f t="shared" si="6"/>
        <v>30</v>
      </c>
      <c r="G293">
        <v>0</v>
      </c>
      <c r="H293">
        <v>0</v>
      </c>
      <c r="I293">
        <v>0</v>
      </c>
      <c r="J293" s="67">
        <v>30</v>
      </c>
    </row>
    <row r="294" spans="1:10">
      <c r="A294">
        <v>293</v>
      </c>
      <c r="B294" s="10">
        <v>42439.582685185182</v>
      </c>
      <c r="C294" s="11">
        <v>0.58268518518518519</v>
      </c>
      <c r="D294" s="12">
        <v>4</v>
      </c>
      <c r="E294" s="13" t="s">
        <v>3032</v>
      </c>
      <c r="F294">
        <f t="shared" si="6"/>
        <v>30</v>
      </c>
      <c r="G294">
        <v>2</v>
      </c>
      <c r="H294">
        <v>0</v>
      </c>
      <c r="I294">
        <v>2</v>
      </c>
      <c r="J294" s="67">
        <v>28</v>
      </c>
    </row>
    <row r="295" spans="1:10">
      <c r="A295">
        <v>294</v>
      </c>
      <c r="B295" s="10">
        <v>42439.582719907405</v>
      </c>
      <c r="C295" s="11">
        <v>0.58271990740740742</v>
      </c>
      <c r="D295" s="12">
        <v>4</v>
      </c>
      <c r="E295" s="13" t="s">
        <v>3032</v>
      </c>
      <c r="F295">
        <f t="shared" si="6"/>
        <v>30</v>
      </c>
      <c r="G295">
        <v>0</v>
      </c>
      <c r="H295">
        <v>0</v>
      </c>
      <c r="I295">
        <v>0</v>
      </c>
      <c r="J295" s="67">
        <v>30</v>
      </c>
    </row>
    <row r="296" spans="1:10">
      <c r="A296">
        <v>295</v>
      </c>
      <c r="B296" s="10">
        <v>42439.582743055558</v>
      </c>
      <c r="C296" s="11">
        <v>0.5827430555555555</v>
      </c>
      <c r="D296" s="12">
        <v>4</v>
      </c>
      <c r="E296" s="13" t="s">
        <v>3032</v>
      </c>
      <c r="F296">
        <f t="shared" si="6"/>
        <v>30</v>
      </c>
      <c r="G296">
        <v>0</v>
      </c>
      <c r="H296">
        <v>0</v>
      </c>
      <c r="I296">
        <v>0</v>
      </c>
      <c r="J296" s="67">
        <v>30</v>
      </c>
    </row>
    <row r="297" spans="1:10" ht="15" thickBot="1">
      <c r="A297">
        <v>296</v>
      </c>
      <c r="B297" s="14">
        <v>42439.582777777781</v>
      </c>
      <c r="C297" s="15">
        <v>0.58277777777777773</v>
      </c>
      <c r="D297" s="16">
        <v>4</v>
      </c>
      <c r="E297" s="17" t="s">
        <v>3032</v>
      </c>
      <c r="F297">
        <f t="shared" si="6"/>
        <v>30</v>
      </c>
      <c r="G297">
        <v>0</v>
      </c>
      <c r="H297">
        <v>0</v>
      </c>
      <c r="I297">
        <v>0</v>
      </c>
      <c r="J297" s="67">
        <v>30</v>
      </c>
    </row>
    <row r="298" spans="1:10">
      <c r="A298">
        <v>297</v>
      </c>
      <c r="B298" s="6">
        <v>42439.918726851851</v>
      </c>
      <c r="C298" s="7">
        <v>0.91872685185185188</v>
      </c>
      <c r="D298" s="8">
        <v>4</v>
      </c>
      <c r="E298" s="9" t="s">
        <v>3041</v>
      </c>
      <c r="F298">
        <f t="shared" si="6"/>
        <v>30</v>
      </c>
      <c r="G298">
        <v>0</v>
      </c>
      <c r="H298">
        <v>0</v>
      </c>
      <c r="I298">
        <v>0</v>
      </c>
      <c r="J298" s="67">
        <v>30</v>
      </c>
    </row>
    <row r="299" spans="1:10">
      <c r="A299">
        <v>298</v>
      </c>
      <c r="B299" s="10">
        <v>42439.918749999997</v>
      </c>
      <c r="C299" s="11">
        <v>0.91874999999999996</v>
      </c>
      <c r="D299" s="12">
        <v>4</v>
      </c>
      <c r="E299" s="13" t="s">
        <v>3041</v>
      </c>
      <c r="F299">
        <f t="shared" si="6"/>
        <v>30</v>
      </c>
      <c r="G299">
        <v>16</v>
      </c>
      <c r="H299">
        <v>5</v>
      </c>
      <c r="I299">
        <v>21</v>
      </c>
      <c r="J299" s="67">
        <v>14</v>
      </c>
    </row>
    <row r="300" spans="1:10">
      <c r="A300">
        <v>299</v>
      </c>
      <c r="B300" s="10">
        <v>42439.918773148151</v>
      </c>
      <c r="C300" s="11">
        <v>0.91877314814814814</v>
      </c>
      <c r="D300" s="12">
        <v>4</v>
      </c>
      <c r="E300" s="13" t="s">
        <v>3041</v>
      </c>
      <c r="F300">
        <f t="shared" si="6"/>
        <v>30</v>
      </c>
      <c r="G300">
        <v>12</v>
      </c>
      <c r="H300">
        <v>8</v>
      </c>
      <c r="I300">
        <v>20</v>
      </c>
      <c r="J300" s="67">
        <v>18</v>
      </c>
    </row>
    <row r="301" spans="1:10">
      <c r="A301">
        <v>300</v>
      </c>
      <c r="B301" s="10">
        <v>42439.918796296297</v>
      </c>
      <c r="C301" s="11">
        <v>0.91879629629629633</v>
      </c>
      <c r="D301" s="12">
        <v>4</v>
      </c>
      <c r="E301" s="13" t="s">
        <v>3041</v>
      </c>
      <c r="F301">
        <f t="shared" si="6"/>
        <v>30</v>
      </c>
      <c r="G301">
        <v>8</v>
      </c>
      <c r="H301">
        <v>8</v>
      </c>
      <c r="I301">
        <v>16</v>
      </c>
      <c r="J301" s="67">
        <v>22</v>
      </c>
    </row>
    <row r="302" spans="1:10">
      <c r="A302">
        <v>301</v>
      </c>
      <c r="B302" s="10">
        <v>42439.91883101852</v>
      </c>
      <c r="C302" s="11">
        <v>0.91883101851851856</v>
      </c>
      <c r="D302" s="12">
        <v>4</v>
      </c>
      <c r="E302" s="13" t="s">
        <v>3041</v>
      </c>
      <c r="F302">
        <f t="shared" si="6"/>
        <v>30</v>
      </c>
      <c r="G302">
        <v>14</v>
      </c>
      <c r="H302">
        <v>4</v>
      </c>
      <c r="I302">
        <v>18</v>
      </c>
      <c r="J302" s="67">
        <v>16</v>
      </c>
    </row>
    <row r="303" spans="1:10">
      <c r="A303">
        <v>302</v>
      </c>
      <c r="B303" s="10">
        <v>42439.918854166666</v>
      </c>
      <c r="C303" s="11">
        <v>0.91885416666666664</v>
      </c>
      <c r="D303" s="12">
        <v>4</v>
      </c>
      <c r="E303" s="13" t="s">
        <v>3041</v>
      </c>
      <c r="F303">
        <f t="shared" si="6"/>
        <v>30</v>
      </c>
      <c r="G303">
        <v>23</v>
      </c>
      <c r="H303">
        <v>8</v>
      </c>
      <c r="I303">
        <v>31</v>
      </c>
      <c r="J303" s="67">
        <v>7</v>
      </c>
    </row>
    <row r="304" spans="1:10">
      <c r="A304">
        <v>303</v>
      </c>
      <c r="B304" s="10">
        <v>42439.918877314813</v>
      </c>
      <c r="C304" s="11">
        <v>0.91887731481481483</v>
      </c>
      <c r="D304" s="12">
        <v>4</v>
      </c>
      <c r="E304" s="13" t="s">
        <v>3041</v>
      </c>
      <c r="F304">
        <f t="shared" si="6"/>
        <v>30</v>
      </c>
      <c r="G304">
        <v>2</v>
      </c>
      <c r="H304">
        <v>1</v>
      </c>
      <c r="I304">
        <v>3</v>
      </c>
      <c r="J304" s="67">
        <v>28</v>
      </c>
    </row>
    <row r="305" spans="1:10" ht="15" thickBot="1">
      <c r="A305">
        <v>304</v>
      </c>
      <c r="B305" s="14">
        <v>42439.918900462966</v>
      </c>
      <c r="C305" s="15">
        <v>0.91890046296296302</v>
      </c>
      <c r="D305" s="16">
        <v>4</v>
      </c>
      <c r="E305" s="17" t="s">
        <v>3041</v>
      </c>
      <c r="F305">
        <f t="shared" si="6"/>
        <v>30</v>
      </c>
      <c r="G305">
        <v>1</v>
      </c>
      <c r="H305">
        <v>0</v>
      </c>
      <c r="I305">
        <v>1</v>
      </c>
      <c r="J305" s="67">
        <v>29</v>
      </c>
    </row>
    <row r="306" spans="1:10">
      <c r="A306">
        <v>305</v>
      </c>
      <c r="B306" s="6">
        <v>42440.296400462961</v>
      </c>
      <c r="C306" s="7">
        <v>0.29640046296296296</v>
      </c>
      <c r="D306" s="8">
        <v>4</v>
      </c>
      <c r="E306" s="9" t="s">
        <v>3041</v>
      </c>
      <c r="F306">
        <f t="shared" si="6"/>
        <v>30</v>
      </c>
      <c r="G306">
        <v>1</v>
      </c>
      <c r="H306">
        <v>0</v>
      </c>
      <c r="I306">
        <v>1</v>
      </c>
      <c r="J306" s="67">
        <v>29</v>
      </c>
    </row>
    <row r="307" spans="1:10">
      <c r="A307">
        <v>306</v>
      </c>
      <c r="B307" s="10">
        <v>42440.296435185184</v>
      </c>
      <c r="C307" s="11">
        <v>0.29643518518518519</v>
      </c>
      <c r="D307" s="12">
        <v>4</v>
      </c>
      <c r="E307" s="13" t="s">
        <v>3041</v>
      </c>
      <c r="F307">
        <f t="shared" si="6"/>
        <v>30</v>
      </c>
      <c r="G307">
        <v>4</v>
      </c>
      <c r="H307">
        <v>2</v>
      </c>
      <c r="I307">
        <v>6</v>
      </c>
      <c r="J307" s="67">
        <v>26</v>
      </c>
    </row>
    <row r="308" spans="1:10">
      <c r="A308">
        <v>307</v>
      </c>
      <c r="B308" s="10">
        <v>42440.296458333331</v>
      </c>
      <c r="C308" s="11">
        <v>0.29645833333333332</v>
      </c>
      <c r="D308" s="12">
        <v>4</v>
      </c>
      <c r="E308" s="13" t="s">
        <v>3041</v>
      </c>
      <c r="F308">
        <f t="shared" si="6"/>
        <v>30</v>
      </c>
      <c r="G308">
        <v>11</v>
      </c>
      <c r="H308">
        <v>2</v>
      </c>
      <c r="I308">
        <v>13</v>
      </c>
      <c r="J308" s="67">
        <v>19</v>
      </c>
    </row>
    <row r="309" spans="1:10">
      <c r="A309">
        <v>308</v>
      </c>
      <c r="B309" s="10">
        <v>42440.296469907407</v>
      </c>
      <c r="C309" s="11">
        <v>0.29646990740740742</v>
      </c>
      <c r="D309" s="12">
        <v>4</v>
      </c>
      <c r="E309" s="13" t="s">
        <v>3041</v>
      </c>
      <c r="F309">
        <f t="shared" si="6"/>
        <v>30</v>
      </c>
      <c r="G309">
        <v>8</v>
      </c>
      <c r="H309">
        <v>1</v>
      </c>
      <c r="I309">
        <v>9</v>
      </c>
      <c r="J309" s="67">
        <v>22</v>
      </c>
    </row>
    <row r="310" spans="1:10">
      <c r="A310">
        <v>309</v>
      </c>
      <c r="B310" s="10">
        <v>42440.296481481484</v>
      </c>
      <c r="C310" s="11">
        <v>0.29648148148148146</v>
      </c>
      <c r="D310" s="12">
        <v>4</v>
      </c>
      <c r="E310" s="13" t="s">
        <v>3041</v>
      </c>
      <c r="F310">
        <f t="shared" si="6"/>
        <v>30</v>
      </c>
      <c r="G310">
        <v>0</v>
      </c>
      <c r="H310">
        <v>0</v>
      </c>
      <c r="I310">
        <v>0</v>
      </c>
      <c r="J310" s="67">
        <v>30</v>
      </c>
    </row>
    <row r="311" spans="1:10">
      <c r="A311">
        <v>310</v>
      </c>
      <c r="B311" s="10">
        <v>42440.296493055554</v>
      </c>
      <c r="C311" s="11">
        <v>0.29649305555555555</v>
      </c>
      <c r="D311" s="12">
        <v>4</v>
      </c>
      <c r="E311" s="13" t="s">
        <v>3041</v>
      </c>
      <c r="F311">
        <f t="shared" si="6"/>
        <v>30</v>
      </c>
      <c r="G311">
        <v>0</v>
      </c>
      <c r="H311">
        <v>0</v>
      </c>
      <c r="I311">
        <v>0</v>
      </c>
      <c r="J311" s="67">
        <v>30</v>
      </c>
    </row>
    <row r="312" spans="1:10">
      <c r="A312">
        <v>311</v>
      </c>
      <c r="B312" s="10">
        <v>42440.296516203707</v>
      </c>
      <c r="C312" s="11">
        <v>0.29651620370370368</v>
      </c>
      <c r="D312" s="12">
        <v>4</v>
      </c>
      <c r="E312" s="13" t="s">
        <v>3041</v>
      </c>
      <c r="F312">
        <f t="shared" si="6"/>
        <v>30</v>
      </c>
      <c r="G312">
        <v>0</v>
      </c>
      <c r="H312">
        <v>0</v>
      </c>
      <c r="I312">
        <v>0</v>
      </c>
      <c r="J312" s="67">
        <v>30</v>
      </c>
    </row>
    <row r="313" spans="1:10" ht="15" thickBot="1">
      <c r="A313">
        <v>312</v>
      </c>
      <c r="B313" s="14">
        <v>42440.296527777777</v>
      </c>
      <c r="C313" s="15">
        <v>0.29652777777777778</v>
      </c>
      <c r="D313" s="16">
        <v>4</v>
      </c>
      <c r="E313" s="17" t="s">
        <v>3041</v>
      </c>
      <c r="F313">
        <f t="shared" si="6"/>
        <v>30</v>
      </c>
      <c r="G313">
        <v>5</v>
      </c>
      <c r="H313">
        <v>2</v>
      </c>
      <c r="I313">
        <v>7</v>
      </c>
      <c r="J313" s="67">
        <v>25</v>
      </c>
    </row>
    <row r="314" spans="1:10">
      <c r="A314">
        <v>313</v>
      </c>
      <c r="B314" s="6">
        <v>42440.584861111114</v>
      </c>
      <c r="C314" s="7">
        <v>0.58486111111111116</v>
      </c>
      <c r="D314" s="8">
        <v>4</v>
      </c>
      <c r="E314" s="9" t="s">
        <v>3032</v>
      </c>
      <c r="F314">
        <f t="shared" si="6"/>
        <v>30</v>
      </c>
      <c r="G314">
        <v>26</v>
      </c>
      <c r="H314">
        <v>5</v>
      </c>
      <c r="I314">
        <v>31</v>
      </c>
      <c r="J314" s="67">
        <v>4</v>
      </c>
    </row>
    <row r="315" spans="1:10">
      <c r="A315">
        <v>314</v>
      </c>
      <c r="B315" s="10">
        <v>42440.58489583333</v>
      </c>
      <c r="C315" s="11">
        <v>0.58489583333333328</v>
      </c>
      <c r="D315" s="12">
        <v>4</v>
      </c>
      <c r="E315" s="13" t="s">
        <v>3032</v>
      </c>
      <c r="F315">
        <f t="shared" si="6"/>
        <v>30</v>
      </c>
      <c r="G315">
        <v>23</v>
      </c>
      <c r="H315">
        <v>5</v>
      </c>
      <c r="I315">
        <v>28</v>
      </c>
      <c r="J315" s="67">
        <v>7</v>
      </c>
    </row>
    <row r="316" spans="1:10">
      <c r="A316">
        <v>315</v>
      </c>
      <c r="B316" s="10">
        <v>42440.58494212963</v>
      </c>
      <c r="C316" s="11">
        <v>0.58494212962962966</v>
      </c>
      <c r="D316" s="12">
        <v>4</v>
      </c>
      <c r="E316" s="13" t="s">
        <v>3032</v>
      </c>
      <c r="F316">
        <f t="shared" si="6"/>
        <v>30</v>
      </c>
      <c r="G316">
        <v>23</v>
      </c>
      <c r="H316">
        <v>2</v>
      </c>
      <c r="I316">
        <v>25</v>
      </c>
      <c r="J316" s="67">
        <v>7</v>
      </c>
    </row>
    <row r="317" spans="1:10">
      <c r="A317">
        <v>316</v>
      </c>
      <c r="B317" s="10">
        <v>42440.584953703707</v>
      </c>
      <c r="C317" s="11">
        <v>0.5849537037037037</v>
      </c>
      <c r="D317" s="12">
        <v>4</v>
      </c>
      <c r="E317" s="13" t="s">
        <v>3032</v>
      </c>
      <c r="F317">
        <f t="shared" si="6"/>
        <v>30</v>
      </c>
      <c r="G317">
        <v>13</v>
      </c>
      <c r="H317">
        <v>3</v>
      </c>
      <c r="I317">
        <v>16</v>
      </c>
      <c r="J317" s="67">
        <v>17</v>
      </c>
    </row>
    <row r="318" spans="1:10">
      <c r="A318">
        <v>317</v>
      </c>
      <c r="B318" s="10">
        <v>42440.584988425922</v>
      </c>
      <c r="C318" s="11">
        <v>0.58498842592592593</v>
      </c>
      <c r="D318" s="12">
        <v>4</v>
      </c>
      <c r="E318" s="13" t="s">
        <v>3032</v>
      </c>
      <c r="F318">
        <f t="shared" si="6"/>
        <v>30</v>
      </c>
      <c r="G318">
        <v>22</v>
      </c>
      <c r="H318">
        <v>5</v>
      </c>
      <c r="I318">
        <v>27</v>
      </c>
      <c r="J318" s="67">
        <v>8</v>
      </c>
    </row>
    <row r="319" spans="1:10">
      <c r="A319">
        <v>318</v>
      </c>
      <c r="B319" s="10">
        <v>42440.585011574076</v>
      </c>
      <c r="C319" s="11">
        <v>0.58501157407407411</v>
      </c>
      <c r="D319" s="12">
        <v>4</v>
      </c>
      <c r="E319" s="13" t="s">
        <v>3032</v>
      </c>
      <c r="F319">
        <f t="shared" si="6"/>
        <v>30</v>
      </c>
      <c r="G319">
        <v>22</v>
      </c>
      <c r="H319">
        <v>3</v>
      </c>
      <c r="I319">
        <v>25</v>
      </c>
      <c r="J319" s="67">
        <v>8</v>
      </c>
    </row>
    <row r="320" spans="1:10">
      <c r="A320">
        <v>319</v>
      </c>
      <c r="B320" s="10">
        <v>42440.585034722222</v>
      </c>
      <c r="C320" s="11">
        <v>0.58503472222222219</v>
      </c>
      <c r="D320" s="12">
        <v>4</v>
      </c>
      <c r="E320" s="13" t="s">
        <v>3032</v>
      </c>
      <c r="F320">
        <f t="shared" si="6"/>
        <v>30</v>
      </c>
      <c r="G320">
        <v>23</v>
      </c>
      <c r="H320">
        <v>1</v>
      </c>
      <c r="I320">
        <v>24</v>
      </c>
      <c r="J320" s="67">
        <v>7</v>
      </c>
    </row>
    <row r="321" spans="1:10" ht="15" thickBot="1">
      <c r="A321">
        <v>320</v>
      </c>
      <c r="B321" s="14">
        <v>42440.585081018522</v>
      </c>
      <c r="C321" s="15">
        <v>0.58508101851851857</v>
      </c>
      <c r="D321" s="16">
        <v>4</v>
      </c>
      <c r="E321" s="17" t="s">
        <v>3032</v>
      </c>
      <c r="F321">
        <f t="shared" si="6"/>
        <v>30</v>
      </c>
      <c r="G321">
        <v>17</v>
      </c>
      <c r="H321">
        <v>3</v>
      </c>
      <c r="I321">
        <v>20</v>
      </c>
      <c r="J321" s="67">
        <v>13</v>
      </c>
    </row>
    <row r="322" spans="1:10">
      <c r="A322">
        <v>321</v>
      </c>
      <c r="B322" s="6">
        <v>42440.917951388888</v>
      </c>
      <c r="C322" s="7">
        <v>0.91795138888888894</v>
      </c>
      <c r="D322" s="8">
        <v>4</v>
      </c>
      <c r="E322" s="9" t="s">
        <v>3041</v>
      </c>
      <c r="F322">
        <f t="shared" si="6"/>
        <v>30</v>
      </c>
      <c r="G322">
        <v>20</v>
      </c>
      <c r="H322">
        <v>3</v>
      </c>
      <c r="I322">
        <v>23</v>
      </c>
      <c r="J322" s="67">
        <v>10</v>
      </c>
    </row>
    <row r="323" spans="1:10">
      <c r="A323">
        <v>322</v>
      </c>
      <c r="B323" s="10">
        <v>42440.917974537035</v>
      </c>
      <c r="C323" s="11">
        <v>0.91797453703703702</v>
      </c>
      <c r="D323" s="12">
        <v>4</v>
      </c>
      <c r="E323" s="13" t="s">
        <v>3041</v>
      </c>
      <c r="F323">
        <f t="shared" ref="F323:F386" si="7">40*0.75</f>
        <v>30</v>
      </c>
      <c r="G323">
        <v>23</v>
      </c>
      <c r="H323">
        <v>2</v>
      </c>
      <c r="I323">
        <v>25</v>
      </c>
      <c r="J323" s="67">
        <v>7</v>
      </c>
    </row>
    <row r="324" spans="1:10">
      <c r="A324">
        <v>323</v>
      </c>
      <c r="B324" s="10">
        <v>42440.917997685188</v>
      </c>
      <c r="C324" s="11">
        <v>0.91799768518518521</v>
      </c>
      <c r="D324" s="12">
        <v>4</v>
      </c>
      <c r="E324" s="13" t="s">
        <v>3041</v>
      </c>
      <c r="F324">
        <f t="shared" si="7"/>
        <v>30</v>
      </c>
      <c r="G324">
        <v>23</v>
      </c>
      <c r="H324">
        <v>2</v>
      </c>
      <c r="I324">
        <v>25</v>
      </c>
      <c r="J324" s="67">
        <v>7</v>
      </c>
    </row>
    <row r="325" spans="1:10">
      <c r="A325">
        <v>324</v>
      </c>
      <c r="B325" s="10">
        <v>42440.918020833335</v>
      </c>
      <c r="C325" s="11">
        <v>0.91802083333333329</v>
      </c>
      <c r="D325" s="12">
        <v>4</v>
      </c>
      <c r="E325" s="13" t="s">
        <v>3041</v>
      </c>
      <c r="F325">
        <f t="shared" si="7"/>
        <v>30</v>
      </c>
      <c r="G325">
        <v>15</v>
      </c>
      <c r="H325">
        <v>4</v>
      </c>
      <c r="I325">
        <v>19</v>
      </c>
      <c r="J325" s="67">
        <v>15</v>
      </c>
    </row>
    <row r="326" spans="1:10">
      <c r="A326">
        <v>325</v>
      </c>
      <c r="B326" s="10">
        <v>42440.918043981481</v>
      </c>
      <c r="C326" s="11">
        <v>0.91804398148148147</v>
      </c>
      <c r="D326" s="12">
        <v>3</v>
      </c>
      <c r="E326" s="13" t="s">
        <v>3041</v>
      </c>
      <c r="F326">
        <f t="shared" si="7"/>
        <v>30</v>
      </c>
      <c r="G326">
        <v>20</v>
      </c>
      <c r="H326">
        <v>2</v>
      </c>
      <c r="I326">
        <v>22</v>
      </c>
      <c r="J326" s="67">
        <v>10</v>
      </c>
    </row>
    <row r="327" spans="1:10">
      <c r="A327">
        <v>326</v>
      </c>
      <c r="B327" s="10">
        <v>42440.918067129627</v>
      </c>
      <c r="C327" s="11">
        <v>0.91806712962962966</v>
      </c>
      <c r="D327" s="12">
        <v>3</v>
      </c>
      <c r="E327" s="13" t="s">
        <v>3041</v>
      </c>
      <c r="F327">
        <f t="shared" si="7"/>
        <v>30</v>
      </c>
      <c r="G327">
        <v>35</v>
      </c>
      <c r="H327">
        <v>1</v>
      </c>
      <c r="I327">
        <v>36</v>
      </c>
      <c r="J327" s="67">
        <v>-5</v>
      </c>
    </row>
    <row r="328" spans="1:10">
      <c r="A328">
        <v>327</v>
      </c>
      <c r="B328" s="10">
        <v>42440.918240740742</v>
      </c>
      <c r="C328" s="11">
        <v>0.91824074074074069</v>
      </c>
      <c r="D328" s="12">
        <v>3</v>
      </c>
      <c r="E328" s="13" t="s">
        <v>3041</v>
      </c>
      <c r="F328">
        <f t="shared" si="7"/>
        <v>30</v>
      </c>
      <c r="G328">
        <v>35</v>
      </c>
      <c r="H328">
        <v>1</v>
      </c>
      <c r="I328">
        <v>36</v>
      </c>
      <c r="J328" s="67">
        <v>-5</v>
      </c>
    </row>
    <row r="329" spans="1:10" ht="15" thickBot="1">
      <c r="A329">
        <v>328</v>
      </c>
      <c r="B329" s="14">
        <v>42440.918252314812</v>
      </c>
      <c r="C329" s="15">
        <v>0.91825231481481484</v>
      </c>
      <c r="D329" s="16">
        <v>3</v>
      </c>
      <c r="E329" s="17" t="s">
        <v>3041</v>
      </c>
      <c r="F329">
        <f t="shared" si="7"/>
        <v>30</v>
      </c>
      <c r="G329">
        <v>26</v>
      </c>
      <c r="H329">
        <v>0</v>
      </c>
      <c r="I329">
        <v>26</v>
      </c>
      <c r="J329" s="67">
        <v>4</v>
      </c>
    </row>
    <row r="330" spans="1:10">
      <c r="A330">
        <v>329</v>
      </c>
      <c r="B330" s="6">
        <v>42443.248530092591</v>
      </c>
      <c r="C330" s="7">
        <v>0.24853009259259259</v>
      </c>
      <c r="D330" s="8">
        <v>3</v>
      </c>
      <c r="E330" s="9" t="s">
        <v>3032</v>
      </c>
      <c r="F330">
        <f t="shared" si="7"/>
        <v>30</v>
      </c>
      <c r="G330">
        <v>32</v>
      </c>
      <c r="H330">
        <v>1</v>
      </c>
      <c r="I330">
        <v>33</v>
      </c>
      <c r="J330" s="67">
        <v>-2</v>
      </c>
    </row>
    <row r="331" spans="1:10">
      <c r="A331">
        <v>330</v>
      </c>
      <c r="B331" s="10">
        <v>42443.248564814814</v>
      </c>
      <c r="C331" s="11">
        <v>0.24856481481481482</v>
      </c>
      <c r="D331" s="12">
        <v>3</v>
      </c>
      <c r="E331" s="13" t="s">
        <v>3032</v>
      </c>
      <c r="F331">
        <f t="shared" si="7"/>
        <v>30</v>
      </c>
      <c r="G331">
        <v>17</v>
      </c>
      <c r="H331">
        <v>0</v>
      </c>
      <c r="I331">
        <v>17</v>
      </c>
      <c r="J331" s="67">
        <v>13</v>
      </c>
    </row>
    <row r="332" spans="1:10">
      <c r="A332">
        <v>331</v>
      </c>
      <c r="B332" s="10">
        <v>42443.24858796296</v>
      </c>
      <c r="C332" s="11">
        <v>0.24858796296296296</v>
      </c>
      <c r="D332" s="12">
        <v>3</v>
      </c>
      <c r="E332" s="13" t="s">
        <v>3032</v>
      </c>
      <c r="F332">
        <f t="shared" si="7"/>
        <v>30</v>
      </c>
      <c r="G332">
        <v>35</v>
      </c>
      <c r="H332">
        <v>2</v>
      </c>
      <c r="I332">
        <v>37</v>
      </c>
      <c r="J332" s="67">
        <v>-5</v>
      </c>
    </row>
    <row r="333" spans="1:10">
      <c r="A333">
        <v>332</v>
      </c>
      <c r="B333" s="10">
        <v>42443.248611111114</v>
      </c>
      <c r="C333" s="11">
        <v>0.24861111111111112</v>
      </c>
      <c r="D333" s="12">
        <v>3</v>
      </c>
      <c r="E333" s="13" t="s">
        <v>3032</v>
      </c>
      <c r="F333">
        <f t="shared" si="7"/>
        <v>30</v>
      </c>
      <c r="G333">
        <v>24</v>
      </c>
      <c r="H333">
        <v>2</v>
      </c>
      <c r="I333">
        <v>26</v>
      </c>
      <c r="J333" s="67">
        <v>6</v>
      </c>
    </row>
    <row r="334" spans="1:10">
      <c r="A334">
        <v>333</v>
      </c>
      <c r="B334" s="10">
        <v>42443.248645833337</v>
      </c>
      <c r="C334" s="11">
        <v>0.24864583333333334</v>
      </c>
      <c r="D334" s="12">
        <v>3</v>
      </c>
      <c r="E334" s="13" t="s">
        <v>3032</v>
      </c>
      <c r="F334">
        <f t="shared" si="7"/>
        <v>30</v>
      </c>
      <c r="G334">
        <v>35</v>
      </c>
      <c r="H334">
        <v>0</v>
      </c>
      <c r="I334">
        <v>35</v>
      </c>
      <c r="J334" s="67">
        <v>-5</v>
      </c>
    </row>
    <row r="335" spans="1:10">
      <c r="A335">
        <v>334</v>
      </c>
      <c r="B335" s="10">
        <v>42443.248680555553</v>
      </c>
      <c r="C335" s="11">
        <v>0.24868055555555554</v>
      </c>
      <c r="D335" s="12">
        <v>4</v>
      </c>
      <c r="E335" s="13" t="s">
        <v>3032</v>
      </c>
      <c r="F335">
        <f t="shared" si="7"/>
        <v>30</v>
      </c>
      <c r="G335">
        <v>29</v>
      </c>
      <c r="H335">
        <v>4</v>
      </c>
      <c r="I335">
        <v>33</v>
      </c>
      <c r="J335" s="67">
        <v>1</v>
      </c>
    </row>
    <row r="336" spans="1:10">
      <c r="A336">
        <v>335</v>
      </c>
      <c r="B336" s="10">
        <v>42443.248703703706</v>
      </c>
      <c r="C336" s="11">
        <v>0.2487037037037037</v>
      </c>
      <c r="D336" s="12">
        <v>4</v>
      </c>
      <c r="E336" s="13" t="s">
        <v>3032</v>
      </c>
      <c r="F336">
        <f t="shared" si="7"/>
        <v>30</v>
      </c>
      <c r="G336">
        <v>17</v>
      </c>
      <c r="H336">
        <v>6</v>
      </c>
      <c r="I336">
        <v>23</v>
      </c>
      <c r="J336" s="67">
        <v>13</v>
      </c>
    </row>
    <row r="337" spans="1:10" ht="15" thickBot="1">
      <c r="A337">
        <v>336</v>
      </c>
      <c r="B337" s="14">
        <v>42443.248738425929</v>
      </c>
      <c r="C337" s="15">
        <v>0.24873842592592593</v>
      </c>
      <c r="D337" s="16">
        <v>4</v>
      </c>
      <c r="E337" s="17" t="s">
        <v>3032</v>
      </c>
      <c r="F337">
        <f t="shared" si="7"/>
        <v>30</v>
      </c>
      <c r="G337">
        <v>2</v>
      </c>
      <c r="H337">
        <v>8</v>
      </c>
      <c r="I337">
        <v>10</v>
      </c>
      <c r="J337" s="67">
        <v>28</v>
      </c>
    </row>
    <row r="338" spans="1:10">
      <c r="A338">
        <v>337</v>
      </c>
      <c r="B338" s="6">
        <v>42443.584837962961</v>
      </c>
      <c r="C338" s="7">
        <v>0.58483796296296298</v>
      </c>
      <c r="D338" s="8">
        <v>4</v>
      </c>
      <c r="E338" s="9" t="s">
        <v>3041</v>
      </c>
      <c r="F338">
        <f t="shared" si="7"/>
        <v>30</v>
      </c>
      <c r="G338">
        <v>12</v>
      </c>
      <c r="H338">
        <v>10</v>
      </c>
      <c r="I338">
        <v>22</v>
      </c>
      <c r="J338" s="67">
        <v>18</v>
      </c>
    </row>
    <row r="339" spans="1:10">
      <c r="A339">
        <v>338</v>
      </c>
      <c r="B339" s="10">
        <v>42443.584861111114</v>
      </c>
      <c r="C339" s="11">
        <v>0.58486111111111116</v>
      </c>
      <c r="D339" s="12">
        <v>4</v>
      </c>
      <c r="E339" s="13" t="s">
        <v>3041</v>
      </c>
      <c r="F339">
        <f t="shared" si="7"/>
        <v>30</v>
      </c>
      <c r="G339">
        <v>32</v>
      </c>
      <c r="H339">
        <v>2</v>
      </c>
      <c r="I339">
        <v>34</v>
      </c>
      <c r="J339" s="67">
        <v>-2</v>
      </c>
    </row>
    <row r="340" spans="1:10">
      <c r="A340">
        <v>339</v>
      </c>
      <c r="B340" s="10">
        <v>42443.58488425926</v>
      </c>
      <c r="C340" s="11">
        <v>0.58488425925925924</v>
      </c>
      <c r="D340" s="12">
        <v>4</v>
      </c>
      <c r="E340" s="13" t="s">
        <v>3041</v>
      </c>
      <c r="F340">
        <f t="shared" si="7"/>
        <v>30</v>
      </c>
      <c r="G340">
        <v>29</v>
      </c>
      <c r="H340">
        <v>2</v>
      </c>
      <c r="I340">
        <v>31</v>
      </c>
      <c r="J340" s="67">
        <v>1</v>
      </c>
    </row>
    <row r="341" spans="1:10">
      <c r="A341">
        <v>340</v>
      </c>
      <c r="B341" s="10">
        <v>42443.58489583333</v>
      </c>
      <c r="C341" s="11">
        <v>0.58489583333333328</v>
      </c>
      <c r="D341" s="12">
        <v>4</v>
      </c>
      <c r="E341" s="13" t="s">
        <v>3041</v>
      </c>
      <c r="F341">
        <f t="shared" si="7"/>
        <v>30</v>
      </c>
      <c r="G341">
        <v>0</v>
      </c>
      <c r="H341">
        <v>0</v>
      </c>
      <c r="I341">
        <v>0</v>
      </c>
      <c r="J341" s="67">
        <v>30</v>
      </c>
    </row>
    <row r="342" spans="1:10">
      <c r="A342">
        <v>341</v>
      </c>
      <c r="B342" s="10">
        <v>42443.584930555553</v>
      </c>
      <c r="C342" s="11">
        <v>0.58493055555555551</v>
      </c>
      <c r="D342" s="12">
        <v>3</v>
      </c>
      <c r="E342" s="13" t="s">
        <v>3041</v>
      </c>
      <c r="F342">
        <f t="shared" si="7"/>
        <v>30</v>
      </c>
      <c r="G342">
        <v>0</v>
      </c>
      <c r="H342">
        <v>0</v>
      </c>
      <c r="I342">
        <v>0</v>
      </c>
      <c r="J342" s="67">
        <v>30</v>
      </c>
    </row>
    <row r="343" spans="1:10">
      <c r="A343">
        <v>342</v>
      </c>
      <c r="B343" s="10">
        <v>42443.584953703707</v>
      </c>
      <c r="C343" s="11">
        <v>0.5849537037037037</v>
      </c>
      <c r="D343" s="12">
        <v>3</v>
      </c>
      <c r="E343" s="13" t="s">
        <v>3041</v>
      </c>
      <c r="F343">
        <f t="shared" si="7"/>
        <v>30</v>
      </c>
      <c r="G343">
        <v>0</v>
      </c>
      <c r="H343">
        <v>0</v>
      </c>
      <c r="I343">
        <v>0</v>
      </c>
      <c r="J343" s="67">
        <v>30</v>
      </c>
    </row>
    <row r="344" spans="1:10">
      <c r="A344">
        <v>343</v>
      </c>
      <c r="B344" s="10">
        <v>42443.584988425922</v>
      </c>
      <c r="C344" s="11">
        <v>0.58498842592592593</v>
      </c>
      <c r="D344" s="12">
        <v>3</v>
      </c>
      <c r="E344" s="13" t="s">
        <v>3041</v>
      </c>
      <c r="F344">
        <f t="shared" si="7"/>
        <v>30</v>
      </c>
      <c r="G344">
        <v>0</v>
      </c>
      <c r="H344">
        <v>0</v>
      </c>
      <c r="I344">
        <v>0</v>
      </c>
      <c r="J344" s="67">
        <v>30</v>
      </c>
    </row>
    <row r="345" spans="1:10" ht="15" thickBot="1">
      <c r="A345">
        <v>344</v>
      </c>
      <c r="B345" s="14">
        <v>42443.585011574076</v>
      </c>
      <c r="C345" s="15">
        <v>0.58501157407407411</v>
      </c>
      <c r="D345" s="16">
        <v>3</v>
      </c>
      <c r="E345" s="17" t="s">
        <v>3041</v>
      </c>
      <c r="F345">
        <f t="shared" si="7"/>
        <v>30</v>
      </c>
      <c r="G345">
        <v>0</v>
      </c>
      <c r="H345">
        <v>0</v>
      </c>
      <c r="I345">
        <v>0</v>
      </c>
      <c r="J345" s="67">
        <v>30</v>
      </c>
    </row>
    <row r="346" spans="1:10">
      <c r="A346">
        <v>345</v>
      </c>
      <c r="B346" s="6">
        <v>42444.060254629629</v>
      </c>
      <c r="C346" s="7">
        <v>6.025462962962963E-2</v>
      </c>
      <c r="D346" s="8">
        <v>4</v>
      </c>
      <c r="E346" s="9" t="s">
        <v>3041</v>
      </c>
      <c r="F346">
        <f t="shared" si="7"/>
        <v>30</v>
      </c>
      <c r="G346">
        <v>17</v>
      </c>
      <c r="H346">
        <v>8</v>
      </c>
      <c r="I346">
        <v>25</v>
      </c>
      <c r="J346" s="67">
        <v>13</v>
      </c>
    </row>
    <row r="347" spans="1:10">
      <c r="A347">
        <v>346</v>
      </c>
      <c r="B347" s="10">
        <v>42444.060266203705</v>
      </c>
      <c r="C347" s="11">
        <v>6.0266203703703704E-2</v>
      </c>
      <c r="D347" s="12">
        <v>4</v>
      </c>
      <c r="E347" s="13" t="s">
        <v>3041</v>
      </c>
      <c r="F347">
        <f t="shared" si="7"/>
        <v>30</v>
      </c>
      <c r="G347">
        <v>35</v>
      </c>
      <c r="H347">
        <v>4</v>
      </c>
      <c r="I347">
        <v>39</v>
      </c>
      <c r="J347" s="67">
        <v>-5</v>
      </c>
    </row>
    <row r="348" spans="1:10">
      <c r="A348">
        <v>347</v>
      </c>
      <c r="B348" s="10">
        <v>42444.060277777775</v>
      </c>
      <c r="C348" s="11">
        <v>6.0277777777777777E-2</v>
      </c>
      <c r="D348" s="12">
        <v>4</v>
      </c>
      <c r="E348" s="13" t="s">
        <v>3041</v>
      </c>
      <c r="F348">
        <f t="shared" si="7"/>
        <v>30</v>
      </c>
      <c r="G348">
        <v>35</v>
      </c>
      <c r="H348">
        <v>2</v>
      </c>
      <c r="I348">
        <v>37</v>
      </c>
      <c r="J348" s="67">
        <v>-5</v>
      </c>
    </row>
    <row r="349" spans="1:10">
      <c r="A349">
        <v>348</v>
      </c>
      <c r="B349" s="10">
        <v>42444.060289351852</v>
      </c>
      <c r="C349" s="11">
        <v>6.0289351851851851E-2</v>
      </c>
      <c r="D349" s="12">
        <v>4</v>
      </c>
      <c r="E349" s="13" t="s">
        <v>3041</v>
      </c>
      <c r="F349">
        <f t="shared" si="7"/>
        <v>30</v>
      </c>
      <c r="G349">
        <v>23</v>
      </c>
      <c r="H349">
        <v>1</v>
      </c>
      <c r="I349">
        <v>24</v>
      </c>
      <c r="J349" s="67">
        <v>7</v>
      </c>
    </row>
    <row r="350" spans="1:10">
      <c r="A350">
        <v>349</v>
      </c>
      <c r="B350" s="10">
        <v>42444.060300925928</v>
      </c>
      <c r="C350" s="11">
        <v>6.0300925925925924E-2</v>
      </c>
      <c r="D350" s="12">
        <v>4</v>
      </c>
      <c r="E350" s="13" t="s">
        <v>3041</v>
      </c>
      <c r="F350">
        <f t="shared" si="7"/>
        <v>30</v>
      </c>
      <c r="G350">
        <v>22</v>
      </c>
      <c r="H350">
        <v>3</v>
      </c>
      <c r="I350">
        <v>25</v>
      </c>
      <c r="J350" s="67">
        <v>8</v>
      </c>
    </row>
    <row r="351" spans="1:10">
      <c r="A351">
        <v>350</v>
      </c>
      <c r="B351" s="10">
        <v>42444.060312499998</v>
      </c>
      <c r="C351" s="11">
        <v>6.0312499999999998E-2</v>
      </c>
      <c r="D351" s="12">
        <v>4</v>
      </c>
      <c r="E351" s="13" t="s">
        <v>3041</v>
      </c>
      <c r="F351">
        <f t="shared" si="7"/>
        <v>30</v>
      </c>
      <c r="G351">
        <v>29</v>
      </c>
      <c r="H351">
        <v>2</v>
      </c>
      <c r="I351">
        <v>31</v>
      </c>
      <c r="J351" s="67">
        <v>1</v>
      </c>
    </row>
    <row r="352" spans="1:10">
      <c r="A352">
        <v>351</v>
      </c>
      <c r="B352" s="10">
        <v>42444.060324074075</v>
      </c>
      <c r="C352" s="11">
        <v>6.0324074074074072E-2</v>
      </c>
      <c r="D352" s="12">
        <v>4</v>
      </c>
      <c r="E352" s="13" t="s">
        <v>3041</v>
      </c>
      <c r="F352">
        <f t="shared" si="7"/>
        <v>30</v>
      </c>
      <c r="G352">
        <v>12</v>
      </c>
      <c r="H352">
        <v>4</v>
      </c>
      <c r="I352">
        <v>16</v>
      </c>
      <c r="J352" s="67">
        <v>18</v>
      </c>
    </row>
    <row r="353" spans="1:10" ht="15" thickBot="1">
      <c r="A353">
        <v>352</v>
      </c>
      <c r="B353" s="14">
        <v>42444.060347222221</v>
      </c>
      <c r="C353" s="15">
        <v>6.0347222222222219E-2</v>
      </c>
      <c r="D353" s="16">
        <v>4</v>
      </c>
      <c r="E353" s="17" t="s">
        <v>3041</v>
      </c>
      <c r="F353">
        <f t="shared" si="7"/>
        <v>30</v>
      </c>
      <c r="G353">
        <v>16</v>
      </c>
      <c r="H353">
        <v>9</v>
      </c>
      <c r="I353">
        <v>25</v>
      </c>
      <c r="J353" s="67">
        <v>14</v>
      </c>
    </row>
    <row r="354" spans="1:10">
      <c r="A354">
        <v>353</v>
      </c>
      <c r="B354" s="6">
        <v>42444.114189814813</v>
      </c>
      <c r="C354" s="7">
        <v>0.11418981481481481</v>
      </c>
      <c r="D354" s="8">
        <v>4</v>
      </c>
      <c r="E354" s="9" t="s">
        <v>3041</v>
      </c>
      <c r="F354">
        <f t="shared" si="7"/>
        <v>30</v>
      </c>
      <c r="G354">
        <v>16</v>
      </c>
      <c r="H354">
        <v>5</v>
      </c>
      <c r="I354">
        <v>21</v>
      </c>
      <c r="J354" s="67">
        <v>14</v>
      </c>
    </row>
    <row r="355" spans="1:10">
      <c r="A355">
        <v>354</v>
      </c>
      <c r="B355" s="10">
        <v>42444.114201388889</v>
      </c>
      <c r="C355" s="11">
        <v>0.11420138888888889</v>
      </c>
      <c r="D355" s="12">
        <v>4</v>
      </c>
      <c r="E355" s="13" t="s">
        <v>3041</v>
      </c>
      <c r="F355">
        <f t="shared" si="7"/>
        <v>30</v>
      </c>
      <c r="G355">
        <v>19</v>
      </c>
      <c r="H355">
        <v>2</v>
      </c>
      <c r="I355">
        <v>21</v>
      </c>
      <c r="J355" s="67">
        <v>11</v>
      </c>
    </row>
    <row r="356" spans="1:10">
      <c r="A356">
        <v>355</v>
      </c>
      <c r="B356" s="10">
        <v>42444.114201388889</v>
      </c>
      <c r="C356" s="11">
        <v>0.11420138888888889</v>
      </c>
      <c r="D356" s="12">
        <v>4</v>
      </c>
      <c r="E356" s="13" t="s">
        <v>3041</v>
      </c>
      <c r="F356">
        <f t="shared" si="7"/>
        <v>30</v>
      </c>
      <c r="G356">
        <v>15</v>
      </c>
      <c r="H356">
        <v>2</v>
      </c>
      <c r="I356">
        <v>17</v>
      </c>
      <c r="J356" s="67">
        <v>15</v>
      </c>
    </row>
    <row r="357" spans="1:10">
      <c r="A357">
        <v>356</v>
      </c>
      <c r="B357" s="10">
        <v>42444.114212962966</v>
      </c>
      <c r="C357" s="11">
        <v>0.11421296296296296</v>
      </c>
      <c r="D357" s="12">
        <v>4</v>
      </c>
      <c r="E357" s="13" t="s">
        <v>3041</v>
      </c>
      <c r="F357">
        <f t="shared" si="7"/>
        <v>30</v>
      </c>
      <c r="G357">
        <v>14</v>
      </c>
      <c r="H357">
        <v>2</v>
      </c>
      <c r="I357">
        <v>16</v>
      </c>
      <c r="J357" s="67">
        <v>16</v>
      </c>
    </row>
    <row r="358" spans="1:10">
      <c r="A358">
        <v>357</v>
      </c>
      <c r="B358" s="10">
        <v>42444.114224537036</v>
      </c>
      <c r="C358" s="11">
        <v>0.11422453703703704</v>
      </c>
      <c r="D358" s="12">
        <v>4</v>
      </c>
      <c r="E358" s="13" t="s">
        <v>3041</v>
      </c>
      <c r="F358">
        <f t="shared" si="7"/>
        <v>30</v>
      </c>
      <c r="G358">
        <v>9</v>
      </c>
      <c r="H358">
        <v>1</v>
      </c>
      <c r="I358">
        <v>10</v>
      </c>
      <c r="J358" s="67">
        <v>21</v>
      </c>
    </row>
    <row r="359" spans="1:10">
      <c r="A359">
        <v>358</v>
      </c>
      <c r="B359" s="10">
        <v>42444.114247685182</v>
      </c>
      <c r="C359" s="11">
        <v>0.11424768518518519</v>
      </c>
      <c r="D359" s="12">
        <v>4</v>
      </c>
      <c r="E359" s="13" t="s">
        <v>3041</v>
      </c>
      <c r="F359">
        <f t="shared" si="7"/>
        <v>30</v>
      </c>
      <c r="G359">
        <v>20</v>
      </c>
      <c r="H359">
        <v>1</v>
      </c>
      <c r="I359">
        <v>21</v>
      </c>
      <c r="J359" s="67">
        <v>10</v>
      </c>
    </row>
    <row r="360" spans="1:10">
      <c r="A360">
        <v>359</v>
      </c>
      <c r="B360" s="10">
        <v>42444.114305555559</v>
      </c>
      <c r="C360" s="11">
        <v>0.11430555555555555</v>
      </c>
      <c r="D360" s="12">
        <v>4</v>
      </c>
      <c r="E360" s="13" t="s">
        <v>3041</v>
      </c>
      <c r="F360">
        <f t="shared" si="7"/>
        <v>30</v>
      </c>
      <c r="G360">
        <v>22</v>
      </c>
      <c r="H360">
        <v>2</v>
      </c>
      <c r="I360">
        <v>24</v>
      </c>
      <c r="J360" s="67">
        <v>8</v>
      </c>
    </row>
    <row r="361" spans="1:10" ht="15" thickBot="1">
      <c r="A361">
        <v>360</v>
      </c>
      <c r="B361" s="14">
        <v>42444.114293981482</v>
      </c>
      <c r="C361" s="15">
        <v>0.11429398148148148</v>
      </c>
      <c r="D361" s="16">
        <v>3</v>
      </c>
      <c r="E361" s="17" t="s">
        <v>3041</v>
      </c>
      <c r="F361">
        <f t="shared" si="7"/>
        <v>30</v>
      </c>
      <c r="G361">
        <v>23</v>
      </c>
      <c r="H361">
        <v>1</v>
      </c>
      <c r="I361">
        <v>24</v>
      </c>
      <c r="J361" s="67">
        <v>7</v>
      </c>
    </row>
    <row r="362" spans="1:10">
      <c r="A362">
        <v>361</v>
      </c>
      <c r="B362" s="6">
        <v>42444.250104166669</v>
      </c>
      <c r="C362" s="7">
        <v>0.25010416666666668</v>
      </c>
      <c r="D362" s="8">
        <v>4</v>
      </c>
      <c r="E362" s="9" t="s">
        <v>3032</v>
      </c>
      <c r="F362">
        <f t="shared" si="7"/>
        <v>30</v>
      </c>
      <c r="G362">
        <v>2</v>
      </c>
      <c r="H362">
        <v>0</v>
      </c>
      <c r="I362">
        <v>2</v>
      </c>
      <c r="J362" s="67">
        <v>28</v>
      </c>
    </row>
    <row r="363" spans="1:10">
      <c r="A363">
        <v>362</v>
      </c>
      <c r="B363" s="10">
        <v>42444.250196759262</v>
      </c>
      <c r="C363" s="11">
        <v>0.25019675925925927</v>
      </c>
      <c r="D363" s="12">
        <v>4</v>
      </c>
      <c r="E363" s="13" t="s">
        <v>3032</v>
      </c>
      <c r="F363">
        <f t="shared" si="7"/>
        <v>30</v>
      </c>
      <c r="G363">
        <v>9</v>
      </c>
      <c r="H363">
        <v>0</v>
      </c>
      <c r="I363">
        <v>9</v>
      </c>
      <c r="J363" s="67">
        <v>21</v>
      </c>
    </row>
    <row r="364" spans="1:10">
      <c r="A364">
        <v>363</v>
      </c>
      <c r="B364" s="10">
        <v>42444.250208333331</v>
      </c>
      <c r="C364" s="11">
        <v>0.25020833333333331</v>
      </c>
      <c r="D364" s="12">
        <v>4</v>
      </c>
      <c r="E364" s="13" t="s">
        <v>3032</v>
      </c>
      <c r="F364">
        <f t="shared" si="7"/>
        <v>30</v>
      </c>
      <c r="G364">
        <v>0</v>
      </c>
      <c r="H364">
        <v>0</v>
      </c>
      <c r="I364">
        <v>0</v>
      </c>
      <c r="J364" s="67">
        <v>30</v>
      </c>
    </row>
    <row r="365" spans="1:10">
      <c r="A365">
        <v>364</v>
      </c>
      <c r="B365" s="10">
        <v>42444.250277777777</v>
      </c>
      <c r="C365" s="11">
        <v>0.25027777777777777</v>
      </c>
      <c r="D365" s="12">
        <v>4</v>
      </c>
      <c r="E365" s="13" t="s">
        <v>3032</v>
      </c>
      <c r="F365">
        <f t="shared" si="7"/>
        <v>30</v>
      </c>
      <c r="G365">
        <v>16</v>
      </c>
      <c r="H365">
        <v>1</v>
      </c>
      <c r="I365">
        <v>17</v>
      </c>
      <c r="J365" s="67">
        <v>14</v>
      </c>
    </row>
    <row r="366" spans="1:10">
      <c r="A366">
        <v>365</v>
      </c>
      <c r="B366" s="10">
        <v>42444.250289351854</v>
      </c>
      <c r="C366" s="11">
        <v>0.25028935185185186</v>
      </c>
      <c r="D366" s="12">
        <v>4</v>
      </c>
      <c r="E366" s="13" t="s">
        <v>3032</v>
      </c>
      <c r="F366">
        <f t="shared" si="7"/>
        <v>30</v>
      </c>
      <c r="G366">
        <v>26</v>
      </c>
      <c r="H366">
        <v>3</v>
      </c>
      <c r="I366">
        <v>29</v>
      </c>
      <c r="J366" s="67">
        <v>4</v>
      </c>
    </row>
    <row r="367" spans="1:10">
      <c r="A367">
        <v>366</v>
      </c>
      <c r="B367" s="10">
        <v>42444.250300925924</v>
      </c>
      <c r="C367" s="11">
        <v>0.2503009259259259</v>
      </c>
      <c r="D367" s="12">
        <v>4</v>
      </c>
      <c r="E367" s="13" t="s">
        <v>3032</v>
      </c>
      <c r="F367">
        <f t="shared" si="7"/>
        <v>30</v>
      </c>
      <c r="G367">
        <v>35</v>
      </c>
      <c r="H367">
        <v>3</v>
      </c>
      <c r="I367">
        <v>38</v>
      </c>
      <c r="J367" s="67">
        <v>-5</v>
      </c>
    </row>
    <row r="368" spans="1:10">
      <c r="A368">
        <v>367</v>
      </c>
      <c r="B368" s="10">
        <v>42444.250324074077</v>
      </c>
      <c r="C368" s="11">
        <v>0.25032407407407409</v>
      </c>
      <c r="D368" s="12">
        <v>4</v>
      </c>
      <c r="E368" s="13" t="s">
        <v>3032</v>
      </c>
      <c r="F368">
        <f t="shared" si="7"/>
        <v>30</v>
      </c>
      <c r="G368">
        <v>37</v>
      </c>
      <c r="H368">
        <v>2</v>
      </c>
      <c r="I368">
        <v>39</v>
      </c>
      <c r="J368" s="67">
        <v>-7</v>
      </c>
    </row>
    <row r="369" spans="1:10" ht="15" thickBot="1">
      <c r="A369">
        <v>368</v>
      </c>
      <c r="B369" s="14">
        <v>42444.250335648147</v>
      </c>
      <c r="C369" s="15">
        <v>0.25033564814814813</v>
      </c>
      <c r="D369" s="16">
        <v>4</v>
      </c>
      <c r="E369" s="17" t="s">
        <v>3032</v>
      </c>
      <c r="F369">
        <f t="shared" si="7"/>
        <v>30</v>
      </c>
      <c r="G369">
        <v>26</v>
      </c>
      <c r="H369">
        <v>2</v>
      </c>
      <c r="I369">
        <v>28</v>
      </c>
      <c r="J369" s="67">
        <v>4</v>
      </c>
    </row>
    <row r="370" spans="1:10">
      <c r="A370">
        <v>369</v>
      </c>
      <c r="B370" s="6">
        <v>42444.58457175926</v>
      </c>
      <c r="C370" s="7">
        <v>0.5845717592592593</v>
      </c>
      <c r="D370" s="8">
        <v>4</v>
      </c>
      <c r="E370" s="9" t="s">
        <v>3041</v>
      </c>
      <c r="F370">
        <f t="shared" si="7"/>
        <v>30</v>
      </c>
      <c r="G370">
        <v>26</v>
      </c>
      <c r="H370">
        <v>6</v>
      </c>
      <c r="I370">
        <v>32</v>
      </c>
      <c r="J370" s="67">
        <v>4</v>
      </c>
    </row>
    <row r="371" spans="1:10">
      <c r="A371">
        <v>370</v>
      </c>
      <c r="B371" s="10">
        <v>42444.584583333337</v>
      </c>
      <c r="C371" s="11">
        <v>0.58458333333333334</v>
      </c>
      <c r="D371" s="12">
        <v>4</v>
      </c>
      <c r="E371" s="13" t="s">
        <v>3041</v>
      </c>
      <c r="F371">
        <f t="shared" si="7"/>
        <v>30</v>
      </c>
      <c r="G371">
        <v>32</v>
      </c>
      <c r="H371">
        <v>3</v>
      </c>
      <c r="I371">
        <v>35</v>
      </c>
      <c r="J371" s="67">
        <v>-2</v>
      </c>
    </row>
    <row r="372" spans="1:10">
      <c r="A372">
        <v>371</v>
      </c>
      <c r="B372" s="10">
        <v>42444.584606481483</v>
      </c>
      <c r="C372" s="11">
        <v>0.58460648148148153</v>
      </c>
      <c r="D372" s="12">
        <v>4</v>
      </c>
      <c r="E372" s="13" t="s">
        <v>3041</v>
      </c>
      <c r="F372">
        <f t="shared" si="7"/>
        <v>30</v>
      </c>
      <c r="G372">
        <v>30</v>
      </c>
      <c r="H372">
        <v>5</v>
      </c>
      <c r="I372">
        <v>35</v>
      </c>
      <c r="J372" s="67">
        <v>0</v>
      </c>
    </row>
    <row r="373" spans="1:10">
      <c r="A373">
        <v>372</v>
      </c>
      <c r="B373" s="10">
        <v>42444.584629629629</v>
      </c>
      <c r="C373" s="11">
        <v>0.58462962962962961</v>
      </c>
      <c r="D373" s="12">
        <v>4</v>
      </c>
      <c r="E373" s="13" t="s">
        <v>3041</v>
      </c>
      <c r="F373">
        <f t="shared" si="7"/>
        <v>30</v>
      </c>
      <c r="G373">
        <v>11</v>
      </c>
      <c r="H373">
        <v>2</v>
      </c>
      <c r="I373">
        <v>13</v>
      </c>
      <c r="J373" s="67">
        <v>19</v>
      </c>
    </row>
    <row r="374" spans="1:10">
      <c r="A374">
        <v>373</v>
      </c>
      <c r="B374" s="10">
        <v>42444.584664351853</v>
      </c>
      <c r="C374" s="11">
        <v>0.58466435185185184</v>
      </c>
      <c r="D374" s="12">
        <v>3</v>
      </c>
      <c r="E374" s="13" t="s">
        <v>3041</v>
      </c>
      <c r="F374">
        <f t="shared" si="7"/>
        <v>30</v>
      </c>
      <c r="G374">
        <v>29</v>
      </c>
      <c r="H374">
        <v>5</v>
      </c>
      <c r="I374">
        <v>34</v>
      </c>
      <c r="J374" s="67">
        <v>1</v>
      </c>
    </row>
    <row r="375" spans="1:10">
      <c r="A375">
        <v>374</v>
      </c>
      <c r="B375" s="10">
        <v>42444.584687499999</v>
      </c>
      <c r="C375" s="11">
        <v>0.58468750000000003</v>
      </c>
      <c r="D375" s="12">
        <v>3</v>
      </c>
      <c r="E375" s="13" t="s">
        <v>3041</v>
      </c>
      <c r="F375">
        <f t="shared" si="7"/>
        <v>30</v>
      </c>
      <c r="G375">
        <v>35</v>
      </c>
      <c r="H375">
        <v>3</v>
      </c>
      <c r="I375">
        <v>38</v>
      </c>
      <c r="J375" s="67">
        <v>-5</v>
      </c>
    </row>
    <row r="376" spans="1:10">
      <c r="A376">
        <v>375</v>
      </c>
      <c r="B376" s="10">
        <v>42444.584722222222</v>
      </c>
      <c r="C376" s="11">
        <v>0.58472222222222225</v>
      </c>
      <c r="D376" s="12">
        <v>3</v>
      </c>
      <c r="E376" s="13" t="s">
        <v>3041</v>
      </c>
      <c r="F376">
        <f t="shared" si="7"/>
        <v>30</v>
      </c>
      <c r="G376">
        <v>29</v>
      </c>
      <c r="H376">
        <v>5</v>
      </c>
      <c r="I376">
        <v>34</v>
      </c>
      <c r="J376" s="67">
        <v>1</v>
      </c>
    </row>
    <row r="377" spans="1:10" ht="15" thickBot="1">
      <c r="A377">
        <v>376</v>
      </c>
      <c r="B377" s="14">
        <v>42444.584745370368</v>
      </c>
      <c r="C377" s="15">
        <v>0.58474537037037033</v>
      </c>
      <c r="D377" s="16">
        <v>3</v>
      </c>
      <c r="E377" s="17" t="s">
        <v>3041</v>
      </c>
      <c r="F377">
        <f t="shared" si="7"/>
        <v>30</v>
      </c>
      <c r="G377">
        <v>9</v>
      </c>
      <c r="H377">
        <v>2</v>
      </c>
      <c r="I377">
        <v>11</v>
      </c>
      <c r="J377" s="67">
        <v>21</v>
      </c>
    </row>
    <row r="378" spans="1:10">
      <c r="A378">
        <v>377</v>
      </c>
      <c r="B378" s="6">
        <v>42444.917303240742</v>
      </c>
      <c r="C378" s="7">
        <v>0.91730324074074077</v>
      </c>
      <c r="D378" s="8">
        <v>4</v>
      </c>
      <c r="E378" s="9" t="s">
        <v>3041</v>
      </c>
      <c r="F378">
        <f t="shared" si="7"/>
        <v>30</v>
      </c>
      <c r="G378">
        <v>22</v>
      </c>
      <c r="H378">
        <v>4</v>
      </c>
      <c r="I378">
        <v>26</v>
      </c>
      <c r="J378" s="67">
        <v>8</v>
      </c>
    </row>
    <row r="379" spans="1:10">
      <c r="A379">
        <v>378</v>
      </c>
      <c r="B379" s="10">
        <v>42444.917326388888</v>
      </c>
      <c r="C379" s="11">
        <v>0.91732638888888884</v>
      </c>
      <c r="D379" s="12">
        <v>4</v>
      </c>
      <c r="E379" s="13" t="s">
        <v>3041</v>
      </c>
      <c r="F379">
        <f t="shared" si="7"/>
        <v>30</v>
      </c>
      <c r="G379">
        <v>23</v>
      </c>
      <c r="H379">
        <v>3</v>
      </c>
      <c r="I379">
        <v>26</v>
      </c>
      <c r="J379" s="67">
        <v>7</v>
      </c>
    </row>
    <row r="380" spans="1:10">
      <c r="A380">
        <v>379</v>
      </c>
      <c r="B380" s="10">
        <v>42444.917569444442</v>
      </c>
      <c r="C380" s="11">
        <v>0.91756944444444444</v>
      </c>
      <c r="D380" s="12">
        <v>4</v>
      </c>
      <c r="E380" s="13" t="s">
        <v>3041</v>
      </c>
      <c r="F380">
        <f t="shared" si="7"/>
        <v>30</v>
      </c>
      <c r="G380">
        <v>29</v>
      </c>
      <c r="H380">
        <v>5</v>
      </c>
      <c r="I380">
        <v>34</v>
      </c>
      <c r="J380" s="67">
        <v>1</v>
      </c>
    </row>
    <row r="381" spans="1:10">
      <c r="A381">
        <v>380</v>
      </c>
      <c r="B381" s="10">
        <v>42444.917581018519</v>
      </c>
      <c r="C381" s="11">
        <v>0.91758101851851848</v>
      </c>
      <c r="D381" s="12">
        <v>4</v>
      </c>
      <c r="E381" s="13" t="s">
        <v>3041</v>
      </c>
      <c r="F381">
        <f t="shared" si="7"/>
        <v>30</v>
      </c>
      <c r="G381">
        <v>21</v>
      </c>
      <c r="H381">
        <v>0</v>
      </c>
      <c r="I381">
        <v>21</v>
      </c>
      <c r="J381" s="67">
        <v>9</v>
      </c>
    </row>
    <row r="382" spans="1:10">
      <c r="A382">
        <v>381</v>
      </c>
      <c r="B382" s="10">
        <v>42444.917604166665</v>
      </c>
      <c r="C382" s="11">
        <v>0.91760416666666667</v>
      </c>
      <c r="D382" s="12">
        <v>4</v>
      </c>
      <c r="E382" s="13" t="s">
        <v>3041</v>
      </c>
      <c r="F382">
        <f t="shared" si="7"/>
        <v>30</v>
      </c>
      <c r="G382">
        <v>30</v>
      </c>
      <c r="H382">
        <v>2</v>
      </c>
      <c r="I382">
        <v>32</v>
      </c>
      <c r="J382" s="67">
        <v>0</v>
      </c>
    </row>
    <row r="383" spans="1:10">
      <c r="A383">
        <v>382</v>
      </c>
      <c r="B383" s="10">
        <v>42444.917615740742</v>
      </c>
      <c r="C383" s="11">
        <v>0.9176157407407407</v>
      </c>
      <c r="D383" s="12">
        <v>4</v>
      </c>
      <c r="E383" s="13" t="s">
        <v>3041</v>
      </c>
      <c r="F383">
        <f t="shared" si="7"/>
        <v>30</v>
      </c>
      <c r="G383">
        <v>35</v>
      </c>
      <c r="H383">
        <v>2</v>
      </c>
      <c r="I383">
        <v>37</v>
      </c>
      <c r="J383" s="67">
        <v>-5</v>
      </c>
    </row>
    <row r="384" spans="1:10">
      <c r="A384">
        <v>383</v>
      </c>
      <c r="B384" s="10">
        <v>42444.917627314811</v>
      </c>
      <c r="C384" s="11">
        <v>0.91762731481481485</v>
      </c>
      <c r="D384" s="12">
        <v>4</v>
      </c>
      <c r="E384" s="13" t="s">
        <v>3041</v>
      </c>
      <c r="F384">
        <f t="shared" si="7"/>
        <v>30</v>
      </c>
      <c r="G384">
        <v>35</v>
      </c>
      <c r="H384">
        <v>1</v>
      </c>
      <c r="I384">
        <v>36</v>
      </c>
      <c r="J384" s="67">
        <v>-5</v>
      </c>
    </row>
    <row r="385" spans="1:10" ht="15" thickBot="1">
      <c r="A385">
        <v>384</v>
      </c>
      <c r="B385" s="14">
        <v>42444.917650462965</v>
      </c>
      <c r="C385" s="15">
        <v>0.91765046296296293</v>
      </c>
      <c r="D385" s="16">
        <v>4</v>
      </c>
      <c r="E385" s="17" t="s">
        <v>3041</v>
      </c>
      <c r="F385">
        <f t="shared" si="7"/>
        <v>30</v>
      </c>
      <c r="G385">
        <v>7</v>
      </c>
      <c r="H385">
        <v>0</v>
      </c>
      <c r="I385">
        <v>7</v>
      </c>
      <c r="J385" s="67">
        <v>23</v>
      </c>
    </row>
    <row r="386" spans="1:10">
      <c r="A386">
        <v>385</v>
      </c>
      <c r="B386" s="6">
        <v>42445.255289351851</v>
      </c>
      <c r="C386" s="7">
        <v>0.25528935185185186</v>
      </c>
      <c r="D386" s="8">
        <v>4</v>
      </c>
      <c r="E386" s="9" t="s">
        <v>3032</v>
      </c>
      <c r="F386">
        <f t="shared" si="7"/>
        <v>30</v>
      </c>
      <c r="G386">
        <v>8</v>
      </c>
      <c r="H386">
        <v>0</v>
      </c>
      <c r="I386">
        <v>8</v>
      </c>
      <c r="J386" s="67">
        <v>22</v>
      </c>
    </row>
    <row r="387" spans="1:10">
      <c r="A387">
        <v>386</v>
      </c>
      <c r="B387" s="10">
        <v>42445.255324074074</v>
      </c>
      <c r="C387" s="11">
        <v>0.25532407407407409</v>
      </c>
      <c r="D387" s="12">
        <v>4</v>
      </c>
      <c r="E387" s="13" t="s">
        <v>3032</v>
      </c>
      <c r="F387">
        <f t="shared" ref="F387:F450" si="8">40*0.75</f>
        <v>30</v>
      </c>
      <c r="G387">
        <v>14</v>
      </c>
      <c r="H387">
        <v>2</v>
      </c>
      <c r="I387">
        <v>16</v>
      </c>
      <c r="J387" s="67">
        <v>16</v>
      </c>
    </row>
    <row r="388" spans="1:10">
      <c r="A388">
        <v>387</v>
      </c>
      <c r="B388" s="10">
        <v>42445.255335648151</v>
      </c>
      <c r="C388" s="11">
        <v>0.25533564814814813</v>
      </c>
      <c r="D388" s="12">
        <v>4</v>
      </c>
      <c r="E388" s="13" t="s">
        <v>3032</v>
      </c>
      <c r="F388">
        <f t="shared" si="8"/>
        <v>30</v>
      </c>
      <c r="G388">
        <v>18</v>
      </c>
      <c r="H388">
        <v>2</v>
      </c>
      <c r="I388">
        <v>20</v>
      </c>
      <c r="J388" s="67">
        <v>12</v>
      </c>
    </row>
    <row r="389" spans="1:10">
      <c r="A389">
        <v>388</v>
      </c>
      <c r="B389" s="10">
        <v>42445.255358796298</v>
      </c>
      <c r="C389" s="11">
        <v>0.25535879629629632</v>
      </c>
      <c r="D389" s="12">
        <v>4</v>
      </c>
      <c r="E389" s="13" t="s">
        <v>3032</v>
      </c>
      <c r="F389">
        <f t="shared" si="8"/>
        <v>30</v>
      </c>
      <c r="G389">
        <v>20</v>
      </c>
      <c r="H389">
        <v>2</v>
      </c>
      <c r="I389">
        <v>22</v>
      </c>
      <c r="J389" s="67">
        <v>10</v>
      </c>
    </row>
    <row r="390" spans="1:10">
      <c r="A390">
        <v>389</v>
      </c>
      <c r="B390" s="10">
        <v>42445.255370370367</v>
      </c>
      <c r="C390" s="11">
        <v>0.25537037037037036</v>
      </c>
      <c r="D390" s="12">
        <v>4</v>
      </c>
      <c r="E390" s="13" t="s">
        <v>3032</v>
      </c>
      <c r="F390">
        <f t="shared" si="8"/>
        <v>30</v>
      </c>
      <c r="G390">
        <v>29</v>
      </c>
      <c r="H390">
        <v>3</v>
      </c>
      <c r="I390">
        <v>32</v>
      </c>
      <c r="J390" s="67">
        <v>1</v>
      </c>
    </row>
    <row r="391" spans="1:10">
      <c r="A391">
        <v>390</v>
      </c>
      <c r="B391" s="10">
        <v>42445.255393518521</v>
      </c>
      <c r="C391" s="11">
        <v>0.25539351851851849</v>
      </c>
      <c r="D391" s="12">
        <v>4</v>
      </c>
      <c r="E391" s="13" t="s">
        <v>3032</v>
      </c>
      <c r="F391">
        <f t="shared" si="8"/>
        <v>30</v>
      </c>
      <c r="G391">
        <v>30</v>
      </c>
      <c r="H391">
        <v>2</v>
      </c>
      <c r="I391">
        <v>32</v>
      </c>
      <c r="J391" s="67">
        <v>0</v>
      </c>
    </row>
    <row r="392" spans="1:10">
      <c r="A392">
        <v>391</v>
      </c>
      <c r="B392" s="10">
        <v>42445.25540509259</v>
      </c>
      <c r="C392" s="11">
        <v>0.25540509259259259</v>
      </c>
      <c r="D392" s="12">
        <v>4</v>
      </c>
      <c r="E392" s="13" t="s">
        <v>3032</v>
      </c>
      <c r="F392">
        <f t="shared" si="8"/>
        <v>30</v>
      </c>
      <c r="G392">
        <v>21</v>
      </c>
      <c r="H392">
        <v>4</v>
      </c>
      <c r="I392">
        <v>25</v>
      </c>
      <c r="J392" s="67">
        <v>9</v>
      </c>
    </row>
    <row r="393" spans="1:10" ht="15" thickBot="1">
      <c r="A393">
        <v>392</v>
      </c>
      <c r="B393" s="14">
        <v>42445.25545138889</v>
      </c>
      <c r="C393" s="15">
        <v>0.25545138888888891</v>
      </c>
      <c r="D393" s="16">
        <v>4</v>
      </c>
      <c r="E393" s="17" t="s">
        <v>3032</v>
      </c>
      <c r="F393">
        <f t="shared" si="8"/>
        <v>30</v>
      </c>
      <c r="G393">
        <v>17</v>
      </c>
      <c r="H393">
        <v>2</v>
      </c>
      <c r="I393">
        <v>19</v>
      </c>
      <c r="J393" s="67">
        <v>13</v>
      </c>
    </row>
    <row r="394" spans="1:10">
      <c r="A394">
        <v>393</v>
      </c>
      <c r="B394" s="6">
        <v>42445.58384259259</v>
      </c>
      <c r="C394" s="7">
        <v>0.58384259259259264</v>
      </c>
      <c r="D394" s="8">
        <v>4</v>
      </c>
      <c r="E394" s="9" t="s">
        <v>3041</v>
      </c>
      <c r="F394">
        <f t="shared" si="8"/>
        <v>30</v>
      </c>
      <c r="G394">
        <v>26</v>
      </c>
      <c r="H394">
        <v>2</v>
      </c>
      <c r="I394">
        <v>28</v>
      </c>
      <c r="J394" s="67">
        <v>4</v>
      </c>
    </row>
    <row r="395" spans="1:10">
      <c r="A395">
        <v>394</v>
      </c>
      <c r="B395" s="10">
        <v>42445.583877314813</v>
      </c>
      <c r="C395" s="11">
        <v>0.58387731481481486</v>
      </c>
      <c r="D395" s="12">
        <v>4</v>
      </c>
      <c r="E395" s="13" t="s">
        <v>3041</v>
      </c>
      <c r="F395">
        <f t="shared" si="8"/>
        <v>30</v>
      </c>
      <c r="G395">
        <v>30</v>
      </c>
      <c r="H395">
        <v>2</v>
      </c>
      <c r="I395">
        <v>32</v>
      </c>
      <c r="J395" s="67">
        <v>0</v>
      </c>
    </row>
    <row r="396" spans="1:10">
      <c r="A396">
        <v>395</v>
      </c>
      <c r="B396" s="10">
        <v>42445.583912037036</v>
      </c>
      <c r="C396" s="11">
        <v>0.58391203703703709</v>
      </c>
      <c r="D396" s="12">
        <v>4</v>
      </c>
      <c r="E396" s="13" t="s">
        <v>3041</v>
      </c>
      <c r="F396">
        <f t="shared" si="8"/>
        <v>30</v>
      </c>
      <c r="G396">
        <v>30</v>
      </c>
      <c r="H396">
        <v>2</v>
      </c>
      <c r="I396">
        <v>32</v>
      </c>
      <c r="J396" s="67">
        <v>0</v>
      </c>
    </row>
    <row r="397" spans="1:10">
      <c r="A397">
        <v>396</v>
      </c>
      <c r="B397" s="10">
        <v>42445.583935185183</v>
      </c>
      <c r="C397" s="11">
        <v>0.58393518518518517</v>
      </c>
      <c r="D397" s="12">
        <v>4</v>
      </c>
      <c r="E397" s="13" t="s">
        <v>3041</v>
      </c>
      <c r="F397">
        <f t="shared" si="8"/>
        <v>30</v>
      </c>
      <c r="G397">
        <v>20</v>
      </c>
      <c r="H397">
        <v>2</v>
      </c>
      <c r="I397">
        <v>22</v>
      </c>
      <c r="J397" s="67">
        <v>10</v>
      </c>
    </row>
    <row r="398" spans="1:10">
      <c r="A398">
        <v>397</v>
      </c>
      <c r="B398" s="10">
        <v>42445.583969907406</v>
      </c>
      <c r="C398" s="11">
        <v>0.5839699074074074</v>
      </c>
      <c r="D398" s="12">
        <v>4</v>
      </c>
      <c r="E398" s="13" t="s">
        <v>3041</v>
      </c>
      <c r="F398">
        <f t="shared" si="8"/>
        <v>30</v>
      </c>
      <c r="G398">
        <v>35</v>
      </c>
      <c r="H398">
        <v>2</v>
      </c>
      <c r="I398">
        <v>37</v>
      </c>
      <c r="J398" s="67">
        <v>-5</v>
      </c>
    </row>
    <row r="399" spans="1:10">
      <c r="A399">
        <v>398</v>
      </c>
      <c r="B399" s="10">
        <v>42445.583993055552</v>
      </c>
      <c r="C399" s="11">
        <v>0.58399305555555558</v>
      </c>
      <c r="D399" s="12">
        <v>4</v>
      </c>
      <c r="E399" s="13" t="s">
        <v>3041</v>
      </c>
      <c r="F399">
        <f t="shared" si="8"/>
        <v>30</v>
      </c>
      <c r="G399">
        <v>30</v>
      </c>
      <c r="H399">
        <v>4</v>
      </c>
      <c r="I399">
        <v>34</v>
      </c>
      <c r="J399" s="67">
        <v>0</v>
      </c>
    </row>
    <row r="400" spans="1:10">
      <c r="A400">
        <v>399</v>
      </c>
      <c r="B400" s="10">
        <v>42445.584039351852</v>
      </c>
      <c r="C400" s="11">
        <v>0.58403935185185185</v>
      </c>
      <c r="D400" s="12">
        <v>4</v>
      </c>
      <c r="E400" s="13" t="s">
        <v>3041</v>
      </c>
      <c r="F400">
        <f t="shared" si="8"/>
        <v>30</v>
      </c>
      <c r="G400">
        <v>30</v>
      </c>
      <c r="H400">
        <v>5</v>
      </c>
      <c r="I400">
        <v>35</v>
      </c>
      <c r="J400" s="67">
        <v>0</v>
      </c>
    </row>
    <row r="401" spans="1:10" ht="15" thickBot="1">
      <c r="A401">
        <v>400</v>
      </c>
      <c r="B401" s="14">
        <v>42445.584074074075</v>
      </c>
      <c r="C401" s="15">
        <v>0.58407407407407408</v>
      </c>
      <c r="D401" s="16">
        <v>4</v>
      </c>
      <c r="E401" s="17" t="s">
        <v>3041</v>
      </c>
      <c r="F401">
        <f t="shared" si="8"/>
        <v>30</v>
      </c>
      <c r="G401">
        <v>23</v>
      </c>
      <c r="H401">
        <v>4</v>
      </c>
      <c r="I401">
        <v>27</v>
      </c>
      <c r="J401" s="67">
        <v>7</v>
      </c>
    </row>
    <row r="402" spans="1:10">
      <c r="A402">
        <v>401</v>
      </c>
      <c r="B402" s="6">
        <v>42445.957615740743</v>
      </c>
      <c r="C402" s="7">
        <v>0.95761574074074074</v>
      </c>
      <c r="D402" s="8">
        <v>4</v>
      </c>
      <c r="E402" s="9" t="s">
        <v>3041</v>
      </c>
      <c r="F402">
        <f t="shared" si="8"/>
        <v>30</v>
      </c>
      <c r="G402">
        <v>32</v>
      </c>
      <c r="H402">
        <v>0</v>
      </c>
      <c r="I402">
        <v>32</v>
      </c>
      <c r="J402" s="67">
        <v>-2</v>
      </c>
    </row>
    <row r="403" spans="1:10">
      <c r="A403">
        <v>402</v>
      </c>
      <c r="B403" s="10">
        <v>42445.957638888889</v>
      </c>
      <c r="C403" s="11">
        <v>0.95763888888888893</v>
      </c>
      <c r="D403" s="12">
        <v>4</v>
      </c>
      <c r="E403" s="13" t="s">
        <v>3041</v>
      </c>
      <c r="F403">
        <f t="shared" si="8"/>
        <v>30</v>
      </c>
      <c r="G403">
        <v>35</v>
      </c>
      <c r="H403">
        <v>2</v>
      </c>
      <c r="I403">
        <v>37</v>
      </c>
      <c r="J403" s="67">
        <v>-5</v>
      </c>
    </row>
    <row r="404" spans="1:10">
      <c r="A404">
        <v>403</v>
      </c>
      <c r="B404" s="10">
        <v>42445.957662037035</v>
      </c>
      <c r="C404" s="11">
        <v>0.95766203703703701</v>
      </c>
      <c r="D404" s="12">
        <v>4</v>
      </c>
      <c r="E404" s="13" t="s">
        <v>3041</v>
      </c>
      <c r="F404">
        <f t="shared" si="8"/>
        <v>30</v>
      </c>
      <c r="G404">
        <v>35</v>
      </c>
      <c r="H404">
        <v>4</v>
      </c>
      <c r="I404">
        <v>39</v>
      </c>
      <c r="J404" s="67">
        <v>-5</v>
      </c>
    </row>
    <row r="405" spans="1:10">
      <c r="A405">
        <v>404</v>
      </c>
      <c r="B405" s="10">
        <v>42445.957696759258</v>
      </c>
      <c r="C405" s="11">
        <v>0.95769675925925923</v>
      </c>
      <c r="D405" s="12">
        <v>4</v>
      </c>
      <c r="E405" s="13" t="s">
        <v>3041</v>
      </c>
      <c r="F405">
        <f t="shared" si="8"/>
        <v>30</v>
      </c>
      <c r="G405">
        <v>21</v>
      </c>
      <c r="H405">
        <v>3</v>
      </c>
      <c r="I405">
        <v>24</v>
      </c>
      <c r="J405" s="67">
        <v>9</v>
      </c>
    </row>
    <row r="406" spans="1:10">
      <c r="A406">
        <v>405</v>
      </c>
      <c r="B406" s="10">
        <v>42445.957731481481</v>
      </c>
      <c r="C406" s="11">
        <v>0.95773148148148146</v>
      </c>
      <c r="D406" s="12">
        <v>4</v>
      </c>
      <c r="E406" s="13" t="s">
        <v>3041</v>
      </c>
      <c r="F406">
        <f t="shared" si="8"/>
        <v>30</v>
      </c>
      <c r="G406">
        <v>35</v>
      </c>
      <c r="H406">
        <v>0</v>
      </c>
      <c r="I406">
        <v>35</v>
      </c>
      <c r="J406" s="67">
        <v>-5</v>
      </c>
    </row>
    <row r="407" spans="1:10">
      <c r="A407">
        <v>406</v>
      </c>
      <c r="B407" s="10">
        <v>42445.957743055558</v>
      </c>
      <c r="C407" s="11">
        <v>0.9577430555555555</v>
      </c>
      <c r="D407" s="12">
        <v>4</v>
      </c>
      <c r="E407" s="13" t="s">
        <v>3041</v>
      </c>
      <c r="F407">
        <f t="shared" si="8"/>
        <v>30</v>
      </c>
      <c r="G407">
        <v>26</v>
      </c>
      <c r="H407">
        <v>1</v>
      </c>
      <c r="I407">
        <v>27</v>
      </c>
      <c r="J407" s="67">
        <v>4</v>
      </c>
    </row>
    <row r="408" spans="1:10">
      <c r="A408">
        <v>407</v>
      </c>
      <c r="B408" s="10">
        <v>42445.957789351851</v>
      </c>
      <c r="C408" s="11">
        <v>0.95778935185185188</v>
      </c>
      <c r="D408" s="12">
        <v>4</v>
      </c>
      <c r="E408" s="13" t="s">
        <v>3041</v>
      </c>
      <c r="F408">
        <f t="shared" si="8"/>
        <v>30</v>
      </c>
      <c r="G408">
        <v>35</v>
      </c>
      <c r="H408">
        <v>1</v>
      </c>
      <c r="I408">
        <v>36</v>
      </c>
      <c r="J408" s="67">
        <v>-5</v>
      </c>
    </row>
    <row r="409" spans="1:10" ht="15" thickBot="1">
      <c r="A409">
        <v>408</v>
      </c>
      <c r="B409" s="14">
        <v>42445.957824074074</v>
      </c>
      <c r="C409" s="15">
        <v>0.95782407407407411</v>
      </c>
      <c r="D409" s="16">
        <v>4</v>
      </c>
      <c r="E409" s="17" t="s">
        <v>3041</v>
      </c>
      <c r="F409">
        <f t="shared" si="8"/>
        <v>30</v>
      </c>
      <c r="G409">
        <v>10</v>
      </c>
      <c r="H409">
        <v>0</v>
      </c>
      <c r="I409">
        <v>10</v>
      </c>
      <c r="J409" s="67">
        <v>20</v>
      </c>
    </row>
    <row r="410" spans="1:10">
      <c r="A410">
        <v>409</v>
      </c>
      <c r="B410" s="6">
        <v>42446.25037037037</v>
      </c>
      <c r="C410" s="7">
        <v>0.25037037037037035</v>
      </c>
      <c r="D410" s="8">
        <v>3</v>
      </c>
      <c r="E410" s="9" t="s">
        <v>3032</v>
      </c>
      <c r="F410">
        <f t="shared" si="8"/>
        <v>30</v>
      </c>
      <c r="G410">
        <v>24</v>
      </c>
      <c r="H410">
        <v>2</v>
      </c>
      <c r="I410">
        <v>26</v>
      </c>
      <c r="J410" s="67">
        <v>6</v>
      </c>
    </row>
    <row r="411" spans="1:10">
      <c r="A411">
        <v>410</v>
      </c>
      <c r="B411" s="10">
        <v>42446.250578703701</v>
      </c>
      <c r="C411" s="11">
        <v>0.25057870370370372</v>
      </c>
      <c r="D411" s="12">
        <v>3</v>
      </c>
      <c r="E411" s="13" t="s">
        <v>3032</v>
      </c>
      <c r="F411">
        <f t="shared" si="8"/>
        <v>30</v>
      </c>
      <c r="G411">
        <v>28</v>
      </c>
      <c r="H411">
        <v>3</v>
      </c>
      <c r="I411">
        <v>31</v>
      </c>
      <c r="J411" s="67">
        <v>2</v>
      </c>
    </row>
    <row r="412" spans="1:10">
      <c r="A412">
        <v>411</v>
      </c>
      <c r="B412" s="10">
        <v>42446.250590277778</v>
      </c>
      <c r="C412" s="11">
        <v>0.25059027777777776</v>
      </c>
      <c r="D412" s="12">
        <v>3</v>
      </c>
      <c r="E412" s="13" t="s">
        <v>3032</v>
      </c>
      <c r="F412">
        <f t="shared" si="8"/>
        <v>30</v>
      </c>
      <c r="G412">
        <v>20</v>
      </c>
      <c r="H412">
        <v>4</v>
      </c>
      <c r="I412">
        <v>24</v>
      </c>
      <c r="J412" s="67">
        <v>10</v>
      </c>
    </row>
    <row r="413" spans="1:10">
      <c r="A413">
        <v>412</v>
      </c>
      <c r="B413" s="10">
        <v>42446.250601851854</v>
      </c>
      <c r="C413" s="11">
        <v>0.25060185185185185</v>
      </c>
      <c r="D413" s="12">
        <v>3</v>
      </c>
      <c r="E413" s="13" t="s">
        <v>3032</v>
      </c>
      <c r="F413">
        <f t="shared" si="8"/>
        <v>30</v>
      </c>
      <c r="G413">
        <v>13</v>
      </c>
      <c r="H413">
        <v>4</v>
      </c>
      <c r="I413">
        <v>17</v>
      </c>
      <c r="J413" s="67">
        <v>17</v>
      </c>
    </row>
    <row r="414" spans="1:10">
      <c r="A414">
        <v>413</v>
      </c>
      <c r="B414" s="10">
        <v>42446.250625000001</v>
      </c>
      <c r="C414" s="11">
        <v>0.25062499999999999</v>
      </c>
      <c r="D414" s="12">
        <v>4</v>
      </c>
      <c r="E414" s="13" t="s">
        <v>3032</v>
      </c>
      <c r="F414">
        <f t="shared" si="8"/>
        <v>30</v>
      </c>
      <c r="G414">
        <v>19</v>
      </c>
      <c r="H414">
        <v>8</v>
      </c>
      <c r="I414">
        <v>27</v>
      </c>
      <c r="J414" s="67">
        <v>11</v>
      </c>
    </row>
    <row r="415" spans="1:10">
      <c r="A415">
        <v>414</v>
      </c>
      <c r="B415" s="10">
        <v>42446.250648148147</v>
      </c>
      <c r="C415" s="11">
        <v>0.25064814814814818</v>
      </c>
      <c r="D415" s="12">
        <v>4</v>
      </c>
      <c r="E415" s="13" t="s">
        <v>3032</v>
      </c>
      <c r="F415">
        <f t="shared" si="8"/>
        <v>30</v>
      </c>
      <c r="G415">
        <v>35</v>
      </c>
      <c r="H415">
        <v>7</v>
      </c>
      <c r="I415">
        <v>42</v>
      </c>
      <c r="J415" s="67">
        <v>-5</v>
      </c>
    </row>
    <row r="416" spans="1:10">
      <c r="A416">
        <v>415</v>
      </c>
      <c r="B416" s="10">
        <v>42446.250671296293</v>
      </c>
      <c r="C416" s="11">
        <v>0.25067129629629631</v>
      </c>
      <c r="D416" s="12">
        <v>4</v>
      </c>
      <c r="E416" s="13" t="s">
        <v>3032</v>
      </c>
      <c r="F416">
        <f t="shared" si="8"/>
        <v>30</v>
      </c>
      <c r="G416">
        <v>35</v>
      </c>
      <c r="H416">
        <v>3</v>
      </c>
      <c r="I416">
        <v>38</v>
      </c>
      <c r="J416" s="67">
        <v>-5</v>
      </c>
    </row>
    <row r="417" spans="1:10" ht="15" thickBot="1">
      <c r="A417">
        <v>416</v>
      </c>
      <c r="B417" s="14">
        <v>42446.25068287037</v>
      </c>
      <c r="C417" s="15">
        <v>0.25068287037037035</v>
      </c>
      <c r="D417" s="16">
        <v>4</v>
      </c>
      <c r="E417" s="17" t="s">
        <v>3032</v>
      </c>
      <c r="F417">
        <f t="shared" si="8"/>
        <v>30</v>
      </c>
      <c r="G417">
        <v>30</v>
      </c>
      <c r="H417">
        <v>4</v>
      </c>
      <c r="I417">
        <v>34</v>
      </c>
      <c r="J417" s="67">
        <v>0</v>
      </c>
    </row>
    <row r="418" spans="1:10">
      <c r="A418">
        <v>417</v>
      </c>
      <c r="B418" s="6">
        <v>42447.584687499999</v>
      </c>
      <c r="C418" s="7">
        <v>0.58468750000000003</v>
      </c>
      <c r="D418" s="8">
        <v>4</v>
      </c>
      <c r="E418" s="9" t="s">
        <v>3041</v>
      </c>
      <c r="F418">
        <f t="shared" si="8"/>
        <v>30</v>
      </c>
      <c r="G418">
        <v>18</v>
      </c>
      <c r="H418">
        <v>0</v>
      </c>
      <c r="I418">
        <v>18</v>
      </c>
      <c r="J418" s="67">
        <v>12</v>
      </c>
    </row>
    <row r="419" spans="1:10">
      <c r="A419">
        <v>418</v>
      </c>
      <c r="B419" s="10">
        <v>42447.584710648145</v>
      </c>
      <c r="C419" s="11">
        <v>0.5847106481481481</v>
      </c>
      <c r="D419" s="12">
        <v>4</v>
      </c>
      <c r="E419" s="13" t="s">
        <v>3041</v>
      </c>
      <c r="F419">
        <f t="shared" si="8"/>
        <v>30</v>
      </c>
      <c r="G419">
        <v>29</v>
      </c>
      <c r="H419">
        <v>2</v>
      </c>
      <c r="I419">
        <v>31</v>
      </c>
      <c r="J419" s="67">
        <v>1</v>
      </c>
    </row>
    <row r="420" spans="1:10">
      <c r="A420">
        <v>419</v>
      </c>
      <c r="B420" s="10">
        <v>42447.584768518522</v>
      </c>
      <c r="C420" s="11">
        <v>0.58476851851851852</v>
      </c>
      <c r="D420" s="12">
        <v>4</v>
      </c>
      <c r="E420" s="13" t="s">
        <v>3041</v>
      </c>
      <c r="F420">
        <f t="shared" si="8"/>
        <v>30</v>
      </c>
      <c r="G420">
        <v>22</v>
      </c>
      <c r="H420">
        <v>5</v>
      </c>
      <c r="I420">
        <v>27</v>
      </c>
      <c r="J420" s="67">
        <v>8</v>
      </c>
    </row>
    <row r="421" spans="1:10">
      <c r="A421">
        <v>420</v>
      </c>
      <c r="B421" s="10">
        <v>42447.584791666668</v>
      </c>
      <c r="C421" s="11">
        <v>0.58479166666666671</v>
      </c>
      <c r="D421" s="12">
        <v>3</v>
      </c>
      <c r="E421" s="13" t="s">
        <v>3041</v>
      </c>
      <c r="F421">
        <f t="shared" si="8"/>
        <v>30</v>
      </c>
      <c r="G421">
        <v>22</v>
      </c>
      <c r="H421">
        <v>2</v>
      </c>
      <c r="I421">
        <v>24</v>
      </c>
      <c r="J421" s="67">
        <v>8</v>
      </c>
    </row>
    <row r="422" spans="1:10">
      <c r="A422">
        <v>421</v>
      </c>
      <c r="B422" s="10">
        <v>42447.584814814814</v>
      </c>
      <c r="C422" s="11">
        <v>0.58481481481481479</v>
      </c>
      <c r="D422" s="12">
        <v>3</v>
      </c>
      <c r="E422" s="13" t="s">
        <v>3041</v>
      </c>
      <c r="F422">
        <f t="shared" si="8"/>
        <v>30</v>
      </c>
      <c r="G422">
        <v>26</v>
      </c>
      <c r="H422">
        <v>2</v>
      </c>
      <c r="I422">
        <v>28</v>
      </c>
      <c r="J422" s="67">
        <v>4</v>
      </c>
    </row>
    <row r="423" spans="1:10">
      <c r="A423">
        <v>422</v>
      </c>
      <c r="B423" s="10">
        <v>42447.584849537037</v>
      </c>
      <c r="C423" s="11">
        <v>0.58484953703703701</v>
      </c>
      <c r="D423" s="12">
        <v>3</v>
      </c>
      <c r="E423" s="13" t="s">
        <v>3041</v>
      </c>
      <c r="F423">
        <f t="shared" si="8"/>
        <v>30</v>
      </c>
      <c r="G423">
        <v>35</v>
      </c>
      <c r="H423">
        <v>8</v>
      </c>
      <c r="I423">
        <v>43</v>
      </c>
      <c r="J423" s="67">
        <v>-5</v>
      </c>
    </row>
    <row r="424" spans="1:10">
      <c r="A424">
        <v>423</v>
      </c>
      <c r="B424" s="10">
        <v>42447.58488425926</v>
      </c>
      <c r="C424" s="11">
        <v>0.58488425925925924</v>
      </c>
      <c r="D424" s="12">
        <v>3</v>
      </c>
      <c r="E424" s="13" t="s">
        <v>3041</v>
      </c>
      <c r="F424">
        <f t="shared" si="8"/>
        <v>30</v>
      </c>
      <c r="G424">
        <v>35</v>
      </c>
      <c r="H424">
        <v>1</v>
      </c>
      <c r="I424">
        <v>36</v>
      </c>
      <c r="J424" s="67">
        <v>-5</v>
      </c>
    </row>
    <row r="425" spans="1:10" ht="15" thickBot="1">
      <c r="A425">
        <v>424</v>
      </c>
      <c r="B425" s="14">
        <v>42447.584918981483</v>
      </c>
      <c r="C425" s="15">
        <v>0.58491898148148147</v>
      </c>
      <c r="D425" s="16">
        <v>3</v>
      </c>
      <c r="E425" s="17" t="s">
        <v>3041</v>
      </c>
      <c r="F425">
        <f t="shared" si="8"/>
        <v>30</v>
      </c>
      <c r="G425">
        <v>28</v>
      </c>
      <c r="H425">
        <v>1</v>
      </c>
      <c r="I425">
        <v>29</v>
      </c>
      <c r="J425" s="67">
        <v>2</v>
      </c>
    </row>
    <row r="426" spans="1:10">
      <c r="A426">
        <v>425</v>
      </c>
      <c r="B426" s="6">
        <v>42447.91814814815</v>
      </c>
      <c r="C426" s="7">
        <v>0.91814814814814816</v>
      </c>
      <c r="D426" s="8">
        <v>4</v>
      </c>
      <c r="E426" s="9" t="s">
        <v>3041</v>
      </c>
      <c r="F426">
        <f t="shared" si="8"/>
        <v>30</v>
      </c>
      <c r="G426">
        <v>29</v>
      </c>
      <c r="H426">
        <v>0</v>
      </c>
      <c r="I426">
        <v>29</v>
      </c>
      <c r="J426" s="67">
        <v>1</v>
      </c>
    </row>
    <row r="427" spans="1:10">
      <c r="A427">
        <v>426</v>
      </c>
      <c r="B427" s="10">
        <v>42447.918171296296</v>
      </c>
      <c r="C427" s="11">
        <v>0.91817129629629635</v>
      </c>
      <c r="D427" s="12">
        <v>4</v>
      </c>
      <c r="E427" s="13" t="s">
        <v>3041</v>
      </c>
      <c r="F427">
        <f t="shared" si="8"/>
        <v>30</v>
      </c>
      <c r="G427">
        <v>17</v>
      </c>
      <c r="H427">
        <v>2</v>
      </c>
      <c r="I427">
        <v>19</v>
      </c>
      <c r="J427" s="67">
        <v>13</v>
      </c>
    </row>
    <row r="428" spans="1:10">
      <c r="A428">
        <v>427</v>
      </c>
      <c r="B428" s="10">
        <v>42447.918194444443</v>
      </c>
      <c r="C428" s="11">
        <v>0.91819444444444442</v>
      </c>
      <c r="D428" s="12">
        <v>4</v>
      </c>
      <c r="E428" s="13" t="s">
        <v>3041</v>
      </c>
      <c r="F428">
        <f t="shared" si="8"/>
        <v>30</v>
      </c>
      <c r="G428">
        <v>15</v>
      </c>
      <c r="H428">
        <v>2</v>
      </c>
      <c r="I428">
        <v>17</v>
      </c>
      <c r="J428" s="67">
        <v>15</v>
      </c>
    </row>
    <row r="429" spans="1:10">
      <c r="A429">
        <v>428</v>
      </c>
      <c r="B429" s="10">
        <v>42447.918206018519</v>
      </c>
      <c r="C429" s="11">
        <v>0.91820601851851846</v>
      </c>
      <c r="D429" s="12">
        <v>4</v>
      </c>
      <c r="E429" s="13" t="s">
        <v>3041</v>
      </c>
      <c r="F429">
        <f t="shared" si="8"/>
        <v>30</v>
      </c>
      <c r="G429">
        <v>0</v>
      </c>
      <c r="H429">
        <v>0</v>
      </c>
      <c r="I429">
        <v>0</v>
      </c>
      <c r="J429" s="67">
        <v>30</v>
      </c>
    </row>
    <row r="430" spans="1:10">
      <c r="A430">
        <v>429</v>
      </c>
      <c r="B430" s="10">
        <v>42447.918217592596</v>
      </c>
      <c r="C430" s="11">
        <v>0.91821759259259261</v>
      </c>
      <c r="D430" s="12">
        <v>4</v>
      </c>
      <c r="E430" s="13" t="s">
        <v>3041</v>
      </c>
      <c r="F430">
        <f t="shared" si="8"/>
        <v>30</v>
      </c>
      <c r="G430">
        <v>0</v>
      </c>
      <c r="H430">
        <v>0</v>
      </c>
      <c r="I430">
        <v>0</v>
      </c>
      <c r="J430" s="67">
        <v>30</v>
      </c>
    </row>
    <row r="431" spans="1:10">
      <c r="A431">
        <v>430</v>
      </c>
      <c r="B431" s="10">
        <v>42447.918229166666</v>
      </c>
      <c r="C431" s="11">
        <v>0.91822916666666665</v>
      </c>
      <c r="D431" s="12">
        <v>4</v>
      </c>
      <c r="E431" s="13" t="s">
        <v>3041</v>
      </c>
      <c r="F431">
        <f t="shared" si="8"/>
        <v>30</v>
      </c>
      <c r="G431">
        <v>9</v>
      </c>
      <c r="H431">
        <v>0</v>
      </c>
      <c r="I431">
        <v>9</v>
      </c>
      <c r="J431" s="67">
        <v>21</v>
      </c>
    </row>
    <row r="432" spans="1:10">
      <c r="A432">
        <v>431</v>
      </c>
      <c r="B432" s="10">
        <v>42447.918240740742</v>
      </c>
      <c r="C432" s="11">
        <v>0.91824074074074069</v>
      </c>
      <c r="D432" s="12">
        <v>4</v>
      </c>
      <c r="E432" s="13" t="s">
        <v>3041</v>
      </c>
      <c r="F432">
        <f t="shared" si="8"/>
        <v>30</v>
      </c>
      <c r="G432">
        <v>26</v>
      </c>
      <c r="H432">
        <v>2</v>
      </c>
      <c r="I432">
        <v>28</v>
      </c>
      <c r="J432" s="67">
        <v>4</v>
      </c>
    </row>
    <row r="433" spans="1:10" ht="15" thickBot="1">
      <c r="A433">
        <v>432</v>
      </c>
      <c r="B433" s="14">
        <v>42447.918252314812</v>
      </c>
      <c r="C433" s="15">
        <v>0.91825231481481484</v>
      </c>
      <c r="D433" s="16">
        <v>4</v>
      </c>
      <c r="E433" s="17" t="s">
        <v>3041</v>
      </c>
      <c r="F433">
        <f t="shared" si="8"/>
        <v>30</v>
      </c>
      <c r="G433">
        <v>22</v>
      </c>
      <c r="H433">
        <v>1</v>
      </c>
      <c r="I433">
        <v>23</v>
      </c>
      <c r="J433" s="67">
        <v>8</v>
      </c>
    </row>
    <row r="434" spans="1:10">
      <c r="A434">
        <v>433</v>
      </c>
      <c r="B434" s="6">
        <v>42450.26394675926</v>
      </c>
      <c r="C434" s="7">
        <v>0.26394675925925926</v>
      </c>
      <c r="D434" s="8">
        <v>4</v>
      </c>
      <c r="E434" s="9" t="s">
        <v>3041</v>
      </c>
      <c r="F434">
        <f t="shared" si="8"/>
        <v>30</v>
      </c>
      <c r="G434">
        <v>30</v>
      </c>
      <c r="H434">
        <v>2</v>
      </c>
      <c r="I434">
        <v>32</v>
      </c>
      <c r="J434" s="67">
        <v>0</v>
      </c>
    </row>
    <row r="435" spans="1:10">
      <c r="A435">
        <v>434</v>
      </c>
      <c r="B435" s="10">
        <v>42450.263969907406</v>
      </c>
      <c r="C435" s="11">
        <v>0.26396990740740739</v>
      </c>
      <c r="D435" s="12">
        <v>4</v>
      </c>
      <c r="E435" s="13" t="s">
        <v>3041</v>
      </c>
      <c r="F435">
        <f t="shared" si="8"/>
        <v>30</v>
      </c>
      <c r="G435">
        <v>35</v>
      </c>
      <c r="H435">
        <v>2</v>
      </c>
      <c r="I435">
        <v>37</v>
      </c>
      <c r="J435" s="67">
        <v>-5</v>
      </c>
    </row>
    <row r="436" spans="1:10">
      <c r="A436">
        <v>435</v>
      </c>
      <c r="B436" s="10">
        <v>42450.264004629629</v>
      </c>
      <c r="C436" s="11">
        <v>0.26400462962962962</v>
      </c>
      <c r="D436" s="12">
        <v>4</v>
      </c>
      <c r="E436" s="13" t="s">
        <v>3041</v>
      </c>
      <c r="F436">
        <f t="shared" si="8"/>
        <v>30</v>
      </c>
      <c r="G436">
        <v>34</v>
      </c>
      <c r="H436">
        <v>3</v>
      </c>
      <c r="I436">
        <v>37</v>
      </c>
      <c r="J436" s="67">
        <v>-4</v>
      </c>
    </row>
    <row r="437" spans="1:10">
      <c r="A437">
        <v>436</v>
      </c>
      <c r="B437" s="10">
        <v>42450.264027777775</v>
      </c>
      <c r="C437" s="11">
        <v>0.26402777777777775</v>
      </c>
      <c r="D437" s="12">
        <v>4</v>
      </c>
      <c r="E437" s="13" t="s">
        <v>3041</v>
      </c>
      <c r="F437">
        <f t="shared" si="8"/>
        <v>30</v>
      </c>
      <c r="G437">
        <v>20</v>
      </c>
      <c r="H437">
        <v>4</v>
      </c>
      <c r="I437">
        <v>24</v>
      </c>
      <c r="J437" s="67">
        <v>10</v>
      </c>
    </row>
    <row r="438" spans="1:10">
      <c r="A438">
        <v>437</v>
      </c>
      <c r="B438" s="10">
        <v>42450.264050925929</v>
      </c>
      <c r="C438" s="11">
        <v>0.26405092592592594</v>
      </c>
      <c r="D438" s="12">
        <v>4</v>
      </c>
      <c r="E438" s="13" t="s">
        <v>3041</v>
      </c>
      <c r="F438">
        <f t="shared" si="8"/>
        <v>30</v>
      </c>
      <c r="G438">
        <v>35</v>
      </c>
      <c r="H438">
        <v>3</v>
      </c>
      <c r="I438">
        <v>38</v>
      </c>
      <c r="J438" s="67">
        <v>-5</v>
      </c>
    </row>
    <row r="439" spans="1:10">
      <c r="A439">
        <v>438</v>
      </c>
      <c r="B439" s="10">
        <v>42450.264074074075</v>
      </c>
      <c r="C439" s="11">
        <v>0.26407407407407407</v>
      </c>
      <c r="D439" s="12">
        <v>4</v>
      </c>
      <c r="E439" s="13" t="s">
        <v>3041</v>
      </c>
      <c r="F439">
        <f t="shared" si="8"/>
        <v>30</v>
      </c>
      <c r="G439">
        <v>35</v>
      </c>
      <c r="H439">
        <v>2</v>
      </c>
      <c r="I439">
        <v>37</v>
      </c>
      <c r="J439" s="67">
        <v>-5</v>
      </c>
    </row>
    <row r="440" spans="1:10">
      <c r="A440">
        <v>439</v>
      </c>
      <c r="B440" s="10">
        <v>42450.264108796298</v>
      </c>
      <c r="C440" s="11">
        <v>0.2641087962962963</v>
      </c>
      <c r="D440" s="12">
        <v>4</v>
      </c>
      <c r="E440" s="13" t="s">
        <v>3041</v>
      </c>
      <c r="F440">
        <f t="shared" si="8"/>
        <v>30</v>
      </c>
      <c r="G440">
        <v>32</v>
      </c>
      <c r="H440">
        <v>4</v>
      </c>
      <c r="I440">
        <v>36</v>
      </c>
      <c r="J440" s="67">
        <v>-2</v>
      </c>
    </row>
    <row r="441" spans="1:10" ht="15" thickBot="1">
      <c r="A441">
        <v>440</v>
      </c>
      <c r="B441" s="14">
        <v>42450.264131944445</v>
      </c>
      <c r="C441" s="15">
        <v>0.26413194444444443</v>
      </c>
      <c r="D441" s="16">
        <v>4</v>
      </c>
      <c r="E441" s="17" t="s">
        <v>3041</v>
      </c>
      <c r="F441">
        <f t="shared" si="8"/>
        <v>30</v>
      </c>
      <c r="G441">
        <v>26</v>
      </c>
      <c r="H441">
        <v>2</v>
      </c>
      <c r="I441">
        <v>28</v>
      </c>
      <c r="J441" s="67">
        <v>4</v>
      </c>
    </row>
    <row r="442" spans="1:10">
      <c r="A442">
        <v>441</v>
      </c>
      <c r="B442" s="6">
        <v>42450.587071759262</v>
      </c>
      <c r="C442" s="7">
        <v>0.58707175925925925</v>
      </c>
      <c r="D442" s="8">
        <v>3</v>
      </c>
      <c r="E442" s="9" t="s">
        <v>3041</v>
      </c>
      <c r="F442">
        <f t="shared" si="8"/>
        <v>30</v>
      </c>
      <c r="G442">
        <v>24</v>
      </c>
      <c r="H442">
        <v>8</v>
      </c>
      <c r="I442">
        <v>32</v>
      </c>
      <c r="J442" s="67">
        <v>6</v>
      </c>
    </row>
    <row r="443" spans="1:10">
      <c r="A443">
        <v>442</v>
      </c>
      <c r="B443" s="10">
        <v>42450.587094907409</v>
      </c>
      <c r="C443" s="11">
        <v>0.58709490740740744</v>
      </c>
      <c r="D443" s="12">
        <v>3</v>
      </c>
      <c r="E443" s="13" t="s">
        <v>3041</v>
      </c>
      <c r="F443">
        <f t="shared" si="8"/>
        <v>30</v>
      </c>
      <c r="G443">
        <v>35</v>
      </c>
      <c r="H443">
        <v>7</v>
      </c>
      <c r="I443">
        <v>42</v>
      </c>
      <c r="J443" s="67">
        <v>-5</v>
      </c>
    </row>
    <row r="444" spans="1:10">
      <c r="A444">
        <v>443</v>
      </c>
      <c r="B444" s="10">
        <v>42450.587106481478</v>
      </c>
      <c r="C444" s="11">
        <v>0.58710648148148148</v>
      </c>
      <c r="D444" s="12">
        <v>3</v>
      </c>
      <c r="E444" s="13" t="s">
        <v>3041</v>
      </c>
      <c r="F444">
        <f t="shared" si="8"/>
        <v>30</v>
      </c>
      <c r="G444">
        <v>35</v>
      </c>
      <c r="H444">
        <v>2</v>
      </c>
      <c r="I444">
        <v>37</v>
      </c>
      <c r="J444" s="67">
        <v>-5</v>
      </c>
    </row>
    <row r="445" spans="1:10">
      <c r="A445">
        <v>444</v>
      </c>
      <c r="B445" s="10">
        <v>42450.587118055555</v>
      </c>
      <c r="C445" s="11">
        <v>0.58711805555555552</v>
      </c>
      <c r="D445" s="12">
        <v>3</v>
      </c>
      <c r="E445" s="13" t="s">
        <v>3041</v>
      </c>
      <c r="F445">
        <f t="shared" si="8"/>
        <v>30</v>
      </c>
      <c r="G445">
        <v>24</v>
      </c>
      <c r="H445">
        <v>2</v>
      </c>
      <c r="I445">
        <v>26</v>
      </c>
      <c r="J445" s="67">
        <v>6</v>
      </c>
    </row>
    <row r="446" spans="1:10">
      <c r="A446">
        <v>445</v>
      </c>
      <c r="B446" s="10">
        <v>42450.587129629632</v>
      </c>
      <c r="C446" s="11">
        <v>0.58712962962962967</v>
      </c>
      <c r="D446" s="12">
        <v>3</v>
      </c>
      <c r="E446" s="13" t="s">
        <v>3041</v>
      </c>
      <c r="F446">
        <f t="shared" si="8"/>
        <v>30</v>
      </c>
      <c r="G446">
        <v>35</v>
      </c>
      <c r="H446">
        <v>2</v>
      </c>
      <c r="I446">
        <v>37</v>
      </c>
      <c r="J446" s="67">
        <v>-5</v>
      </c>
    </row>
    <row r="447" spans="1:10">
      <c r="A447">
        <v>446</v>
      </c>
      <c r="B447" s="10">
        <v>42450.587152777778</v>
      </c>
      <c r="C447" s="11">
        <v>0.58715277777777775</v>
      </c>
      <c r="D447" s="12">
        <v>3</v>
      </c>
      <c r="E447" s="13" t="s">
        <v>3041</v>
      </c>
      <c r="F447">
        <f t="shared" si="8"/>
        <v>30</v>
      </c>
      <c r="G447">
        <v>35</v>
      </c>
      <c r="H447">
        <v>2</v>
      </c>
      <c r="I447">
        <v>37</v>
      </c>
      <c r="J447" s="67">
        <v>-5</v>
      </c>
    </row>
    <row r="448" spans="1:10">
      <c r="A448">
        <v>447</v>
      </c>
      <c r="B448" s="10">
        <v>42450.587164351855</v>
      </c>
      <c r="C448" s="11">
        <v>0.5871643518518519</v>
      </c>
      <c r="D448" s="12">
        <v>3</v>
      </c>
      <c r="E448" s="13" t="s">
        <v>3041</v>
      </c>
      <c r="F448">
        <f t="shared" si="8"/>
        <v>30</v>
      </c>
      <c r="G448">
        <v>35</v>
      </c>
      <c r="H448">
        <v>5</v>
      </c>
      <c r="I448">
        <v>40</v>
      </c>
      <c r="J448" s="67">
        <v>-5</v>
      </c>
    </row>
    <row r="449" spans="1:10" ht="15" thickBot="1">
      <c r="A449">
        <v>448</v>
      </c>
      <c r="B449" s="14">
        <v>42450.587175925924</v>
      </c>
      <c r="C449" s="15">
        <v>0.58717592592592593</v>
      </c>
      <c r="D449" s="16">
        <v>3</v>
      </c>
      <c r="E449" s="17" t="s">
        <v>3041</v>
      </c>
      <c r="F449">
        <f t="shared" si="8"/>
        <v>30</v>
      </c>
      <c r="G449">
        <v>32</v>
      </c>
      <c r="H449">
        <v>1</v>
      </c>
      <c r="I449">
        <v>33</v>
      </c>
      <c r="J449" s="67">
        <v>-2</v>
      </c>
    </row>
    <row r="450" spans="1:10">
      <c r="A450">
        <v>449</v>
      </c>
      <c r="B450" s="6">
        <v>42450.91302083333</v>
      </c>
      <c r="C450" s="7">
        <v>0.91302083333333328</v>
      </c>
      <c r="D450" s="8">
        <v>4</v>
      </c>
      <c r="E450" s="9" t="s">
        <v>3032</v>
      </c>
      <c r="F450">
        <f t="shared" si="8"/>
        <v>30</v>
      </c>
      <c r="G450">
        <v>0</v>
      </c>
      <c r="H450">
        <v>0</v>
      </c>
      <c r="I450">
        <v>0</v>
      </c>
      <c r="J450" s="67">
        <v>30</v>
      </c>
    </row>
    <row r="451" spans="1:10">
      <c r="A451">
        <v>450</v>
      </c>
      <c r="B451" s="10">
        <v>42450.913043981483</v>
      </c>
      <c r="C451" s="11">
        <v>0.91304398148148147</v>
      </c>
      <c r="D451" s="12">
        <v>4</v>
      </c>
      <c r="E451" s="13" t="s">
        <v>3032</v>
      </c>
      <c r="F451">
        <f t="shared" ref="F451:F514" si="9">40*0.75</f>
        <v>30</v>
      </c>
      <c r="G451">
        <v>0</v>
      </c>
      <c r="H451">
        <v>0</v>
      </c>
      <c r="I451">
        <v>0</v>
      </c>
      <c r="J451" s="67">
        <v>30</v>
      </c>
    </row>
    <row r="452" spans="1:10">
      <c r="A452">
        <v>451</v>
      </c>
      <c r="B452" s="10">
        <v>42450.913055555553</v>
      </c>
      <c r="C452" s="11">
        <v>0.91305555555555551</v>
      </c>
      <c r="D452" s="12">
        <v>4</v>
      </c>
      <c r="E452" s="13" t="s">
        <v>3032</v>
      </c>
      <c r="F452">
        <f t="shared" si="9"/>
        <v>30</v>
      </c>
      <c r="G452">
        <v>0</v>
      </c>
      <c r="H452">
        <v>0</v>
      </c>
      <c r="I452">
        <v>0</v>
      </c>
      <c r="J452" s="67">
        <v>30</v>
      </c>
    </row>
    <row r="453" spans="1:10">
      <c r="A453">
        <v>452</v>
      </c>
      <c r="B453" s="10">
        <v>42450.913101851853</v>
      </c>
      <c r="C453" s="11">
        <v>0.91310185185185189</v>
      </c>
      <c r="D453" s="12">
        <v>4</v>
      </c>
      <c r="E453" s="13" t="s">
        <v>3032</v>
      </c>
      <c r="F453">
        <f t="shared" si="9"/>
        <v>30</v>
      </c>
      <c r="G453">
        <v>0</v>
      </c>
      <c r="H453">
        <v>0</v>
      </c>
      <c r="I453">
        <v>0</v>
      </c>
      <c r="J453" s="67">
        <v>30</v>
      </c>
    </row>
    <row r="454" spans="1:10">
      <c r="A454">
        <v>453</v>
      </c>
      <c r="B454" s="10">
        <v>42450.913124999999</v>
      </c>
      <c r="C454" s="11">
        <v>0.91312499999999996</v>
      </c>
      <c r="D454" s="12">
        <v>4</v>
      </c>
      <c r="E454" s="13" t="s">
        <v>3032</v>
      </c>
      <c r="F454">
        <f t="shared" si="9"/>
        <v>30</v>
      </c>
      <c r="G454">
        <v>0</v>
      </c>
      <c r="H454">
        <v>0</v>
      </c>
      <c r="I454">
        <v>0</v>
      </c>
      <c r="J454" s="67">
        <v>30</v>
      </c>
    </row>
    <row r="455" spans="1:10">
      <c r="A455">
        <v>454</v>
      </c>
      <c r="B455" s="10">
        <v>42450.913136574076</v>
      </c>
      <c r="C455" s="11">
        <v>0.91313657407407411</v>
      </c>
      <c r="D455" s="12">
        <v>4</v>
      </c>
      <c r="E455" s="13" t="s">
        <v>3032</v>
      </c>
      <c r="F455">
        <f t="shared" si="9"/>
        <v>30</v>
      </c>
      <c r="G455">
        <v>0</v>
      </c>
      <c r="H455">
        <v>0</v>
      </c>
      <c r="I455">
        <v>0</v>
      </c>
      <c r="J455" s="67">
        <v>30</v>
      </c>
    </row>
    <row r="456" spans="1:10">
      <c r="A456">
        <v>455</v>
      </c>
      <c r="B456" s="10">
        <v>42450.913159722222</v>
      </c>
      <c r="C456" s="11">
        <v>0.91315972222222219</v>
      </c>
      <c r="D456" s="12">
        <v>4</v>
      </c>
      <c r="E456" s="13" t="s">
        <v>3032</v>
      </c>
      <c r="F456">
        <f t="shared" si="9"/>
        <v>30</v>
      </c>
      <c r="G456">
        <v>0</v>
      </c>
      <c r="H456">
        <v>0</v>
      </c>
      <c r="I456">
        <v>0</v>
      </c>
      <c r="J456" s="67">
        <v>30</v>
      </c>
    </row>
    <row r="457" spans="1:10" ht="15" thickBot="1">
      <c r="A457">
        <v>456</v>
      </c>
      <c r="B457" s="14">
        <v>42450.913217592592</v>
      </c>
      <c r="C457" s="15">
        <v>0.91321759259259261</v>
      </c>
      <c r="D457" s="16">
        <v>4</v>
      </c>
      <c r="E457" s="17" t="s">
        <v>3032</v>
      </c>
      <c r="F457">
        <f t="shared" si="9"/>
        <v>30</v>
      </c>
      <c r="G457">
        <v>0</v>
      </c>
      <c r="H457">
        <v>0</v>
      </c>
      <c r="I457">
        <v>0</v>
      </c>
      <c r="J457" s="67">
        <v>30</v>
      </c>
    </row>
    <row r="458" spans="1:10">
      <c r="A458">
        <v>457</v>
      </c>
      <c r="B458" s="6">
        <v>42451.249895833331</v>
      </c>
      <c r="C458" s="7">
        <v>0.24989583333333334</v>
      </c>
      <c r="D458" s="8">
        <v>4</v>
      </c>
      <c r="E458" s="9" t="s">
        <v>3041</v>
      </c>
      <c r="F458">
        <f t="shared" si="9"/>
        <v>30</v>
      </c>
      <c r="G458">
        <v>29</v>
      </c>
      <c r="H458">
        <v>4</v>
      </c>
      <c r="I458">
        <v>33</v>
      </c>
      <c r="J458" s="67">
        <v>1</v>
      </c>
    </row>
    <row r="459" spans="1:10">
      <c r="A459">
        <v>458</v>
      </c>
      <c r="B459" s="10">
        <v>42451.249942129631</v>
      </c>
      <c r="C459" s="11">
        <v>0.24994212962962964</v>
      </c>
      <c r="D459" s="12">
        <v>4</v>
      </c>
      <c r="E459" s="13" t="s">
        <v>3041</v>
      </c>
      <c r="F459">
        <f t="shared" si="9"/>
        <v>30</v>
      </c>
      <c r="G459">
        <v>32</v>
      </c>
      <c r="H459">
        <v>8</v>
      </c>
      <c r="I459">
        <v>40</v>
      </c>
      <c r="J459" s="67">
        <v>-2</v>
      </c>
    </row>
    <row r="460" spans="1:10">
      <c r="A460">
        <v>459</v>
      </c>
      <c r="B460" s="10">
        <v>42451.249976851854</v>
      </c>
      <c r="C460" s="11">
        <v>0.24997685185185184</v>
      </c>
      <c r="D460" s="12">
        <v>4</v>
      </c>
      <c r="E460" s="13" t="s">
        <v>3041</v>
      </c>
      <c r="F460">
        <f t="shared" si="9"/>
        <v>30</v>
      </c>
      <c r="G460">
        <v>34</v>
      </c>
      <c r="H460">
        <v>7</v>
      </c>
      <c r="I460">
        <v>41</v>
      </c>
      <c r="J460" s="67">
        <v>-4</v>
      </c>
    </row>
    <row r="461" spans="1:10">
      <c r="A461">
        <v>460</v>
      </c>
      <c r="B461" s="10">
        <v>42451.25</v>
      </c>
      <c r="C461" s="11">
        <v>0.25</v>
      </c>
      <c r="D461" s="12">
        <v>4</v>
      </c>
      <c r="E461" s="13" t="s">
        <v>3041</v>
      </c>
      <c r="F461">
        <f t="shared" si="9"/>
        <v>30</v>
      </c>
      <c r="G461">
        <v>20</v>
      </c>
      <c r="H461">
        <v>5</v>
      </c>
      <c r="I461">
        <v>25</v>
      </c>
      <c r="J461" s="67">
        <v>10</v>
      </c>
    </row>
    <row r="462" spans="1:10">
      <c r="A462">
        <v>461</v>
      </c>
      <c r="B462" s="10">
        <v>42451.250057870369</v>
      </c>
      <c r="C462" s="11">
        <v>0.25005787037037036</v>
      </c>
      <c r="D462" s="12">
        <v>4</v>
      </c>
      <c r="E462" s="13" t="s">
        <v>3041</v>
      </c>
      <c r="F462">
        <f t="shared" si="9"/>
        <v>30</v>
      </c>
      <c r="G462">
        <v>33</v>
      </c>
      <c r="H462">
        <v>4</v>
      </c>
      <c r="I462">
        <v>37</v>
      </c>
      <c r="J462" s="67">
        <v>-3</v>
      </c>
    </row>
    <row r="463" spans="1:10">
      <c r="A463">
        <v>462</v>
      </c>
      <c r="B463" s="10">
        <v>42451.250092592592</v>
      </c>
      <c r="C463" s="11">
        <v>0.25009259259259259</v>
      </c>
      <c r="D463" s="12">
        <v>4</v>
      </c>
      <c r="E463" s="13" t="s">
        <v>3041</v>
      </c>
      <c r="F463">
        <f t="shared" si="9"/>
        <v>30</v>
      </c>
      <c r="G463">
        <v>35</v>
      </c>
      <c r="H463">
        <v>5</v>
      </c>
      <c r="I463">
        <v>40</v>
      </c>
      <c r="J463" s="67">
        <v>-5</v>
      </c>
    </row>
    <row r="464" spans="1:10">
      <c r="A464">
        <v>463</v>
      </c>
      <c r="B464" s="10">
        <v>42451.250127314815</v>
      </c>
      <c r="C464" s="11">
        <v>0.25012731481481482</v>
      </c>
      <c r="D464" s="12">
        <v>4</v>
      </c>
      <c r="E464" s="13" t="s">
        <v>3041</v>
      </c>
      <c r="F464">
        <f t="shared" si="9"/>
        <v>30</v>
      </c>
      <c r="G464">
        <v>35</v>
      </c>
      <c r="H464">
        <v>5</v>
      </c>
      <c r="I464">
        <v>40</v>
      </c>
      <c r="J464" s="67">
        <v>-5</v>
      </c>
    </row>
    <row r="465" spans="1:10" ht="15" thickBot="1">
      <c r="A465">
        <v>464</v>
      </c>
      <c r="B465" s="14">
        <v>42451.250185185185</v>
      </c>
      <c r="C465" s="15">
        <v>0.25018518518518518</v>
      </c>
      <c r="D465" s="16">
        <v>4</v>
      </c>
      <c r="E465" s="17" t="s">
        <v>3041</v>
      </c>
      <c r="F465">
        <f t="shared" si="9"/>
        <v>30</v>
      </c>
      <c r="G465">
        <v>24</v>
      </c>
      <c r="H465">
        <v>4</v>
      </c>
      <c r="I465">
        <v>28</v>
      </c>
      <c r="J465" s="67">
        <v>6</v>
      </c>
    </row>
    <row r="466" spans="1:10">
      <c r="A466">
        <v>465</v>
      </c>
      <c r="B466" s="6">
        <v>42451.620567129627</v>
      </c>
      <c r="C466" s="7">
        <v>0.62056712962962968</v>
      </c>
      <c r="D466" s="8">
        <v>4</v>
      </c>
      <c r="E466" s="9" t="s">
        <v>3041</v>
      </c>
      <c r="F466">
        <f t="shared" si="9"/>
        <v>30</v>
      </c>
      <c r="G466">
        <v>23</v>
      </c>
      <c r="H466">
        <v>3</v>
      </c>
      <c r="I466">
        <v>26</v>
      </c>
      <c r="J466" s="67">
        <v>7</v>
      </c>
    </row>
    <row r="467" spans="1:10">
      <c r="A467">
        <v>466</v>
      </c>
      <c r="B467" s="10">
        <v>42451.620393518519</v>
      </c>
      <c r="C467" s="11">
        <v>0.62039351851851854</v>
      </c>
      <c r="D467" s="12">
        <v>4</v>
      </c>
      <c r="E467" s="13" t="s">
        <v>3041</v>
      </c>
      <c r="F467">
        <f t="shared" si="9"/>
        <v>30</v>
      </c>
      <c r="G467">
        <v>8</v>
      </c>
      <c r="H467">
        <v>2</v>
      </c>
      <c r="I467">
        <v>10</v>
      </c>
      <c r="J467" s="67">
        <v>22</v>
      </c>
    </row>
    <row r="468" spans="1:10">
      <c r="A468">
        <v>467</v>
      </c>
      <c r="B468" s="10">
        <v>42451.620405092595</v>
      </c>
      <c r="C468" s="11">
        <v>0.62040509259259258</v>
      </c>
      <c r="D468" s="12">
        <v>4</v>
      </c>
      <c r="E468" s="13" t="s">
        <v>3041</v>
      </c>
      <c r="F468">
        <f t="shared" si="9"/>
        <v>30</v>
      </c>
      <c r="G468">
        <v>23</v>
      </c>
      <c r="H468">
        <v>0</v>
      </c>
      <c r="I468">
        <v>23</v>
      </c>
      <c r="J468" s="67">
        <v>7</v>
      </c>
    </row>
    <row r="469" spans="1:10">
      <c r="A469">
        <v>468</v>
      </c>
      <c r="B469" s="10">
        <v>42451.620416666665</v>
      </c>
      <c r="C469" s="11">
        <v>0.62041666666666662</v>
      </c>
      <c r="D469" s="12">
        <v>4</v>
      </c>
      <c r="E469" s="13" t="s">
        <v>3041</v>
      </c>
      <c r="F469">
        <f t="shared" si="9"/>
        <v>30</v>
      </c>
      <c r="G469">
        <v>13</v>
      </c>
      <c r="H469">
        <v>0</v>
      </c>
      <c r="I469">
        <v>13</v>
      </c>
      <c r="J469" s="67">
        <v>17</v>
      </c>
    </row>
    <row r="470" spans="1:10">
      <c r="A470">
        <v>469</v>
      </c>
      <c r="B470" s="10">
        <v>42451.620439814818</v>
      </c>
      <c r="C470" s="11">
        <v>0.62043981481481481</v>
      </c>
      <c r="D470" s="12">
        <v>4</v>
      </c>
      <c r="E470" s="13" t="s">
        <v>3041</v>
      </c>
      <c r="F470">
        <f t="shared" si="9"/>
        <v>30</v>
      </c>
      <c r="G470">
        <v>0</v>
      </c>
      <c r="H470">
        <v>0</v>
      </c>
      <c r="I470">
        <v>0</v>
      </c>
      <c r="J470" s="67">
        <v>30</v>
      </c>
    </row>
    <row r="471" spans="1:10">
      <c r="A471">
        <v>470</v>
      </c>
      <c r="B471" s="10">
        <v>42451.620451388888</v>
      </c>
      <c r="C471" s="11">
        <v>0.62045138888888884</v>
      </c>
      <c r="D471" s="12">
        <v>4</v>
      </c>
      <c r="E471" s="13" t="s">
        <v>3041</v>
      </c>
      <c r="F471">
        <f t="shared" si="9"/>
        <v>30</v>
      </c>
      <c r="G471">
        <v>10</v>
      </c>
      <c r="H471">
        <v>0</v>
      </c>
      <c r="I471">
        <v>10</v>
      </c>
      <c r="J471" s="67">
        <v>20</v>
      </c>
    </row>
    <row r="472" spans="1:10">
      <c r="A472">
        <v>471</v>
      </c>
      <c r="B472" s="10">
        <v>42451.620486111111</v>
      </c>
      <c r="C472" s="11">
        <v>0.62048611111111107</v>
      </c>
      <c r="D472" s="12">
        <v>4</v>
      </c>
      <c r="E472" s="13" t="s">
        <v>3041</v>
      </c>
      <c r="F472">
        <f t="shared" si="9"/>
        <v>30</v>
      </c>
      <c r="G472">
        <v>32</v>
      </c>
      <c r="H472">
        <v>0</v>
      </c>
      <c r="I472">
        <v>32</v>
      </c>
      <c r="J472" s="67">
        <v>-2</v>
      </c>
    </row>
    <row r="473" spans="1:10" ht="15" thickBot="1">
      <c r="A473">
        <v>472</v>
      </c>
      <c r="B473" s="14">
        <v>42451.620509259257</v>
      </c>
      <c r="C473" s="15">
        <v>0.62050925925925926</v>
      </c>
      <c r="D473" s="16">
        <v>4</v>
      </c>
      <c r="E473" s="17" t="s">
        <v>3041</v>
      </c>
      <c r="F473">
        <f t="shared" si="9"/>
        <v>30</v>
      </c>
      <c r="G473">
        <v>27</v>
      </c>
      <c r="H473">
        <v>0</v>
      </c>
      <c r="I473">
        <v>27</v>
      </c>
      <c r="J473" s="67">
        <v>3</v>
      </c>
    </row>
    <row r="474" spans="1:10">
      <c r="A474">
        <v>473</v>
      </c>
      <c r="B474" s="6">
        <v>42451.620567129627</v>
      </c>
      <c r="C474" s="7">
        <v>0.62056712962962968</v>
      </c>
      <c r="D474" s="8">
        <v>4</v>
      </c>
      <c r="E474" s="9" t="s">
        <v>3041</v>
      </c>
      <c r="F474">
        <f t="shared" si="9"/>
        <v>30</v>
      </c>
      <c r="G474">
        <v>31</v>
      </c>
      <c r="H474">
        <v>2</v>
      </c>
      <c r="I474">
        <v>33</v>
      </c>
      <c r="J474" s="67">
        <v>-1</v>
      </c>
    </row>
    <row r="475" spans="1:10">
      <c r="A475">
        <v>474</v>
      </c>
      <c r="B475" s="10">
        <v>42451.620393518519</v>
      </c>
      <c r="C475" s="11">
        <v>0.62039351851851854</v>
      </c>
      <c r="D475" s="12">
        <v>4</v>
      </c>
      <c r="E475" s="13" t="s">
        <v>3041</v>
      </c>
      <c r="F475">
        <f t="shared" si="9"/>
        <v>30</v>
      </c>
      <c r="G475">
        <v>30</v>
      </c>
      <c r="H475">
        <v>2</v>
      </c>
      <c r="I475">
        <v>32</v>
      </c>
      <c r="J475" s="67">
        <v>0</v>
      </c>
    </row>
    <row r="476" spans="1:10">
      <c r="A476">
        <v>475</v>
      </c>
      <c r="B476" s="10">
        <v>42451.620405092595</v>
      </c>
      <c r="C476" s="11">
        <v>0.62040509259259258</v>
      </c>
      <c r="D476" s="12">
        <v>4</v>
      </c>
      <c r="E476" s="13" t="s">
        <v>3041</v>
      </c>
      <c r="F476">
        <f t="shared" si="9"/>
        <v>30</v>
      </c>
      <c r="G476">
        <v>35</v>
      </c>
      <c r="H476">
        <v>2</v>
      </c>
      <c r="I476">
        <v>37</v>
      </c>
      <c r="J476" s="67">
        <v>-5</v>
      </c>
    </row>
    <row r="477" spans="1:10">
      <c r="A477">
        <v>476</v>
      </c>
      <c r="B477" s="10">
        <v>42451.620416666665</v>
      </c>
      <c r="C477" s="11">
        <v>0.62041666666666662</v>
      </c>
      <c r="D477" s="12">
        <v>4</v>
      </c>
      <c r="E477" s="13" t="s">
        <v>3041</v>
      </c>
      <c r="F477">
        <f t="shared" si="9"/>
        <v>30</v>
      </c>
      <c r="G477">
        <v>17</v>
      </c>
      <c r="H477">
        <v>1</v>
      </c>
      <c r="I477">
        <v>18</v>
      </c>
      <c r="J477" s="67">
        <v>13</v>
      </c>
    </row>
    <row r="478" spans="1:10">
      <c r="A478">
        <v>477</v>
      </c>
      <c r="B478" s="10">
        <v>42451.620439814818</v>
      </c>
      <c r="C478" s="11">
        <v>0.62043981481481481</v>
      </c>
      <c r="D478" s="12">
        <v>4</v>
      </c>
      <c r="E478" s="13" t="s">
        <v>3041</v>
      </c>
      <c r="F478">
        <f t="shared" si="9"/>
        <v>30</v>
      </c>
      <c r="G478">
        <v>35</v>
      </c>
      <c r="H478">
        <v>1</v>
      </c>
      <c r="I478">
        <v>36</v>
      </c>
      <c r="J478" s="67">
        <v>-5</v>
      </c>
    </row>
    <row r="479" spans="1:10">
      <c r="A479">
        <v>478</v>
      </c>
      <c r="B479" s="10">
        <v>42451.620451388888</v>
      </c>
      <c r="C479" s="11">
        <v>0.62045138888888884</v>
      </c>
      <c r="D479" s="12">
        <v>4</v>
      </c>
      <c r="E479" s="13" t="s">
        <v>3041</v>
      </c>
      <c r="F479">
        <f t="shared" si="9"/>
        <v>30</v>
      </c>
      <c r="G479">
        <v>35</v>
      </c>
      <c r="H479">
        <v>2</v>
      </c>
      <c r="I479">
        <v>37</v>
      </c>
      <c r="J479" s="67">
        <v>-5</v>
      </c>
    </row>
    <row r="480" spans="1:10">
      <c r="A480">
        <v>479</v>
      </c>
      <c r="B480" s="10">
        <v>42451.620486111111</v>
      </c>
      <c r="C480" s="11">
        <v>0.62048611111111107</v>
      </c>
      <c r="D480" s="12">
        <v>4</v>
      </c>
      <c r="E480" s="13" t="s">
        <v>3041</v>
      </c>
      <c r="F480">
        <f t="shared" si="9"/>
        <v>30</v>
      </c>
      <c r="G480">
        <v>32</v>
      </c>
      <c r="H480">
        <v>0</v>
      </c>
      <c r="I480">
        <v>32</v>
      </c>
      <c r="J480" s="67">
        <v>-2</v>
      </c>
    </row>
    <row r="481" spans="1:10" ht="15" thickBot="1">
      <c r="A481">
        <v>480</v>
      </c>
      <c r="B481" s="14">
        <v>42451.620509259257</v>
      </c>
      <c r="C481" s="15">
        <v>0.62050925925925926</v>
      </c>
      <c r="D481" s="16">
        <v>4</v>
      </c>
      <c r="E481" s="17" t="s">
        <v>3041</v>
      </c>
      <c r="F481">
        <f t="shared" si="9"/>
        <v>30</v>
      </c>
      <c r="G481">
        <v>19</v>
      </c>
      <c r="H481">
        <v>0</v>
      </c>
      <c r="I481">
        <v>19</v>
      </c>
      <c r="J481" s="67">
        <v>11</v>
      </c>
    </row>
    <row r="482" spans="1:10">
      <c r="A482">
        <v>481</v>
      </c>
      <c r="B482" s="6">
        <v>42451.620567129627</v>
      </c>
      <c r="C482" s="7">
        <v>0.62056712962962968</v>
      </c>
      <c r="D482" s="8">
        <v>4</v>
      </c>
      <c r="E482" s="9" t="s">
        <v>3041</v>
      </c>
      <c r="F482">
        <f t="shared" si="9"/>
        <v>30</v>
      </c>
      <c r="G482">
        <v>31</v>
      </c>
      <c r="H482">
        <v>2</v>
      </c>
      <c r="I482">
        <v>33</v>
      </c>
      <c r="J482" s="67">
        <v>-1</v>
      </c>
    </row>
    <row r="483" spans="1:10">
      <c r="A483">
        <v>482</v>
      </c>
      <c r="B483" s="10">
        <v>42451.620393518519</v>
      </c>
      <c r="C483" s="11">
        <v>0.62039351851851854</v>
      </c>
      <c r="D483" s="12">
        <v>4</v>
      </c>
      <c r="E483" s="13" t="s">
        <v>3041</v>
      </c>
      <c r="F483">
        <f t="shared" si="9"/>
        <v>30</v>
      </c>
      <c r="G483">
        <v>35</v>
      </c>
      <c r="H483">
        <v>0</v>
      </c>
      <c r="I483">
        <v>35</v>
      </c>
      <c r="J483" s="67">
        <v>-5</v>
      </c>
    </row>
    <row r="484" spans="1:10">
      <c r="A484">
        <v>483</v>
      </c>
      <c r="B484" s="10">
        <v>42451.620405092595</v>
      </c>
      <c r="C484" s="11">
        <v>0.62040509259259258</v>
      </c>
      <c r="D484" s="12">
        <v>4</v>
      </c>
      <c r="E484" s="13" t="s">
        <v>3041</v>
      </c>
      <c r="F484">
        <f t="shared" si="9"/>
        <v>30</v>
      </c>
      <c r="G484">
        <v>33</v>
      </c>
      <c r="H484">
        <v>1</v>
      </c>
      <c r="I484">
        <v>34</v>
      </c>
      <c r="J484" s="67">
        <v>-3</v>
      </c>
    </row>
    <row r="485" spans="1:10">
      <c r="A485">
        <v>484</v>
      </c>
      <c r="B485" s="10">
        <v>42451.620416666665</v>
      </c>
      <c r="C485" s="11">
        <v>0.62041666666666662</v>
      </c>
      <c r="D485" s="12">
        <v>4</v>
      </c>
      <c r="E485" s="13" t="s">
        <v>3041</v>
      </c>
      <c r="F485">
        <f t="shared" si="9"/>
        <v>30</v>
      </c>
      <c r="G485">
        <v>21</v>
      </c>
      <c r="H485">
        <v>0</v>
      </c>
      <c r="I485">
        <v>21</v>
      </c>
      <c r="J485" s="67">
        <v>9</v>
      </c>
    </row>
    <row r="486" spans="1:10">
      <c r="A486">
        <v>485</v>
      </c>
      <c r="B486" s="10">
        <v>42451.620439814818</v>
      </c>
      <c r="C486" s="11">
        <v>0.62043981481481481</v>
      </c>
      <c r="D486" s="12">
        <v>4</v>
      </c>
      <c r="E486" s="13" t="s">
        <v>3041</v>
      </c>
      <c r="F486">
        <f t="shared" si="9"/>
        <v>30</v>
      </c>
      <c r="G486">
        <v>32</v>
      </c>
      <c r="H486">
        <v>0</v>
      </c>
      <c r="I486">
        <v>32</v>
      </c>
      <c r="J486" s="67">
        <v>-2</v>
      </c>
    </row>
    <row r="487" spans="1:10">
      <c r="A487">
        <v>486</v>
      </c>
      <c r="B487" s="10">
        <v>42451.620451388888</v>
      </c>
      <c r="C487" s="11">
        <v>0.62045138888888884</v>
      </c>
      <c r="D487" s="12">
        <v>4</v>
      </c>
      <c r="E487" s="13" t="s">
        <v>3041</v>
      </c>
      <c r="F487">
        <f t="shared" si="9"/>
        <v>30</v>
      </c>
      <c r="G487">
        <v>32</v>
      </c>
      <c r="H487">
        <v>1</v>
      </c>
      <c r="I487">
        <v>33</v>
      </c>
      <c r="J487" s="67">
        <v>-2</v>
      </c>
    </row>
    <row r="488" spans="1:10">
      <c r="A488">
        <v>487</v>
      </c>
      <c r="B488" s="10">
        <v>42451.620486111111</v>
      </c>
      <c r="C488" s="11">
        <v>0.62048611111111107</v>
      </c>
      <c r="D488" s="12">
        <v>4</v>
      </c>
      <c r="E488" s="13" t="s">
        <v>3041</v>
      </c>
      <c r="F488">
        <f t="shared" si="9"/>
        <v>30</v>
      </c>
      <c r="G488">
        <v>33</v>
      </c>
      <c r="H488">
        <v>2</v>
      </c>
      <c r="I488">
        <v>35</v>
      </c>
      <c r="J488" s="67">
        <v>-3</v>
      </c>
    </row>
    <row r="489" spans="1:10" ht="15" thickBot="1">
      <c r="A489">
        <v>488</v>
      </c>
      <c r="B489" s="14">
        <v>42451.620509259257</v>
      </c>
      <c r="C489" s="15">
        <v>0.62050925925925926</v>
      </c>
      <c r="D489" s="16">
        <v>4</v>
      </c>
      <c r="E489" s="17" t="s">
        <v>3041</v>
      </c>
      <c r="F489">
        <f t="shared" si="9"/>
        <v>30</v>
      </c>
      <c r="G489">
        <v>17</v>
      </c>
      <c r="H489">
        <v>2</v>
      </c>
      <c r="I489">
        <v>19</v>
      </c>
      <c r="J489" s="67">
        <v>13</v>
      </c>
    </row>
    <row r="490" spans="1:10">
      <c r="A490">
        <v>489</v>
      </c>
      <c r="B490" s="6">
        <v>42452.250254629631</v>
      </c>
      <c r="C490" s="7">
        <v>0.25025462962962963</v>
      </c>
      <c r="D490" s="8">
        <v>4</v>
      </c>
      <c r="E490" s="9" t="s">
        <v>3041</v>
      </c>
      <c r="F490">
        <f t="shared" si="9"/>
        <v>30</v>
      </c>
      <c r="G490">
        <v>17</v>
      </c>
      <c r="H490">
        <v>1</v>
      </c>
      <c r="I490">
        <v>18</v>
      </c>
      <c r="J490" s="67">
        <v>13</v>
      </c>
    </row>
    <row r="491" spans="1:10">
      <c r="A491">
        <v>490</v>
      </c>
      <c r="B491" s="10">
        <v>42452.250289351854</v>
      </c>
      <c r="C491" s="11">
        <v>0.25028935185185186</v>
      </c>
      <c r="D491" s="12">
        <v>4</v>
      </c>
      <c r="E491" s="13" t="s">
        <v>3041</v>
      </c>
      <c r="F491">
        <f t="shared" si="9"/>
        <v>30</v>
      </c>
      <c r="G491">
        <v>0</v>
      </c>
      <c r="H491">
        <v>0</v>
      </c>
      <c r="I491">
        <v>0</v>
      </c>
      <c r="J491" s="67">
        <v>30</v>
      </c>
    </row>
    <row r="492" spans="1:10">
      <c r="A492">
        <v>491</v>
      </c>
      <c r="B492" s="10">
        <v>42452.2503125</v>
      </c>
      <c r="C492" s="11">
        <v>0.25031249999999999</v>
      </c>
      <c r="D492" s="12">
        <v>4</v>
      </c>
      <c r="E492" s="13" t="s">
        <v>3041</v>
      </c>
      <c r="F492">
        <f t="shared" si="9"/>
        <v>30</v>
      </c>
      <c r="G492">
        <v>19</v>
      </c>
      <c r="H492">
        <v>1</v>
      </c>
      <c r="I492">
        <v>20</v>
      </c>
      <c r="J492" s="67">
        <v>11</v>
      </c>
    </row>
    <row r="493" spans="1:10">
      <c r="A493">
        <v>492</v>
      </c>
      <c r="B493" s="10">
        <v>42452.250347222223</v>
      </c>
      <c r="C493" s="11">
        <v>0.25034722222222222</v>
      </c>
      <c r="D493" s="12">
        <v>4</v>
      </c>
      <c r="E493" s="13" t="s">
        <v>3041</v>
      </c>
      <c r="F493">
        <f t="shared" si="9"/>
        <v>30</v>
      </c>
      <c r="G493">
        <v>24</v>
      </c>
      <c r="H493">
        <v>2</v>
      </c>
      <c r="I493">
        <v>26</v>
      </c>
      <c r="J493" s="67">
        <v>6</v>
      </c>
    </row>
    <row r="494" spans="1:10">
      <c r="A494">
        <v>493</v>
      </c>
      <c r="B494" s="10">
        <v>42452.25037037037</v>
      </c>
      <c r="C494" s="11">
        <v>0.25037037037037035</v>
      </c>
      <c r="D494" s="12">
        <v>4</v>
      </c>
      <c r="E494" s="13" t="s">
        <v>3041</v>
      </c>
      <c r="F494">
        <f t="shared" si="9"/>
        <v>30</v>
      </c>
      <c r="G494">
        <v>35</v>
      </c>
      <c r="H494">
        <v>1</v>
      </c>
      <c r="I494">
        <v>36</v>
      </c>
      <c r="J494" s="67">
        <v>-5</v>
      </c>
    </row>
    <row r="495" spans="1:10">
      <c r="A495">
        <v>494</v>
      </c>
      <c r="B495" s="10">
        <v>42452.250405092593</v>
      </c>
      <c r="C495" s="11">
        <v>0.25040509259259258</v>
      </c>
      <c r="D495" s="12">
        <v>4</v>
      </c>
      <c r="E495" s="13" t="s">
        <v>3041</v>
      </c>
      <c r="F495">
        <f t="shared" si="9"/>
        <v>30</v>
      </c>
      <c r="G495">
        <v>35</v>
      </c>
      <c r="H495">
        <v>2</v>
      </c>
      <c r="I495">
        <v>37</v>
      </c>
      <c r="J495" s="67">
        <v>-5</v>
      </c>
    </row>
    <row r="496" spans="1:10">
      <c r="A496">
        <v>495</v>
      </c>
      <c r="B496" s="10">
        <v>42452.250439814816</v>
      </c>
      <c r="C496" s="11">
        <v>0.25043981481481481</v>
      </c>
      <c r="D496" s="12">
        <v>4</v>
      </c>
      <c r="E496" s="13" t="s">
        <v>3041</v>
      </c>
      <c r="F496">
        <f t="shared" si="9"/>
        <v>30</v>
      </c>
      <c r="G496">
        <v>24</v>
      </c>
      <c r="H496">
        <v>2</v>
      </c>
      <c r="I496">
        <v>26</v>
      </c>
      <c r="J496" s="67">
        <v>6</v>
      </c>
    </row>
    <row r="497" spans="1:10" ht="15" thickBot="1">
      <c r="A497">
        <v>496</v>
      </c>
      <c r="B497" s="14">
        <v>42452.250474537039</v>
      </c>
      <c r="C497" s="15">
        <v>0.25047453703703704</v>
      </c>
      <c r="D497" s="16">
        <v>4</v>
      </c>
      <c r="E497" s="17" t="s">
        <v>3041</v>
      </c>
      <c r="F497">
        <f t="shared" si="9"/>
        <v>30</v>
      </c>
      <c r="G497">
        <v>27</v>
      </c>
      <c r="H497">
        <v>2</v>
      </c>
      <c r="I497">
        <v>29</v>
      </c>
      <c r="J497" s="67">
        <v>3</v>
      </c>
    </row>
    <row r="498" spans="1:10">
      <c r="A498">
        <v>497</v>
      </c>
      <c r="B498" s="6">
        <v>42452.586585648147</v>
      </c>
      <c r="C498" s="7">
        <v>0.58658564814814818</v>
      </c>
      <c r="D498" s="8">
        <v>4</v>
      </c>
      <c r="E498" s="9" t="s">
        <v>3041</v>
      </c>
      <c r="F498">
        <f t="shared" si="9"/>
        <v>30</v>
      </c>
      <c r="G498">
        <v>28</v>
      </c>
      <c r="H498">
        <v>5</v>
      </c>
      <c r="I498">
        <v>33</v>
      </c>
      <c r="J498" s="67">
        <v>2</v>
      </c>
    </row>
    <row r="499" spans="1:10">
      <c r="A499">
        <v>498</v>
      </c>
      <c r="B499" s="10">
        <v>42452.586597222224</v>
      </c>
      <c r="C499" s="11">
        <v>0.58659722222222221</v>
      </c>
      <c r="D499" s="12">
        <v>4</v>
      </c>
      <c r="E499" s="13" t="s">
        <v>3041</v>
      </c>
      <c r="F499">
        <f t="shared" si="9"/>
        <v>30</v>
      </c>
      <c r="G499">
        <v>29</v>
      </c>
      <c r="H499">
        <v>5</v>
      </c>
      <c r="I499">
        <v>34</v>
      </c>
      <c r="J499" s="67">
        <v>1</v>
      </c>
    </row>
    <row r="500" spans="1:10">
      <c r="A500">
        <v>499</v>
      </c>
      <c r="B500" s="10">
        <v>42452.586608796293</v>
      </c>
      <c r="C500" s="11">
        <v>0.58660879629629625</v>
      </c>
      <c r="D500" s="12">
        <v>4</v>
      </c>
      <c r="E500" s="13" t="s">
        <v>3041</v>
      </c>
      <c r="F500">
        <f t="shared" si="9"/>
        <v>30</v>
      </c>
      <c r="G500">
        <v>29</v>
      </c>
      <c r="H500">
        <v>9</v>
      </c>
      <c r="I500">
        <v>38</v>
      </c>
      <c r="J500" s="67">
        <v>1</v>
      </c>
    </row>
    <row r="501" spans="1:10">
      <c r="A501">
        <v>500</v>
      </c>
      <c r="B501" s="10">
        <v>42452.58662037037</v>
      </c>
      <c r="C501" s="11">
        <v>0.5866203703703704</v>
      </c>
      <c r="D501" s="12">
        <v>4</v>
      </c>
      <c r="E501" s="13" t="s">
        <v>3041</v>
      </c>
      <c r="F501">
        <f t="shared" si="9"/>
        <v>30</v>
      </c>
      <c r="G501">
        <v>17</v>
      </c>
      <c r="H501">
        <v>2</v>
      </c>
      <c r="I501">
        <v>19</v>
      </c>
      <c r="J501" s="67">
        <v>13</v>
      </c>
    </row>
    <row r="502" spans="1:10">
      <c r="A502">
        <v>501</v>
      </c>
      <c r="B502" s="10">
        <v>42452.586631944447</v>
      </c>
      <c r="C502" s="11">
        <v>0.58663194444444444</v>
      </c>
      <c r="D502" s="12">
        <v>4</v>
      </c>
      <c r="E502" s="13" t="s">
        <v>3041</v>
      </c>
      <c r="F502">
        <f t="shared" si="9"/>
        <v>30</v>
      </c>
      <c r="G502">
        <v>25</v>
      </c>
      <c r="H502">
        <v>2</v>
      </c>
      <c r="I502">
        <v>27</v>
      </c>
      <c r="J502" s="67">
        <v>5</v>
      </c>
    </row>
    <row r="503" spans="1:10">
      <c r="A503">
        <v>502</v>
      </c>
      <c r="B503" s="10">
        <v>42452.586643518516</v>
      </c>
      <c r="C503" s="11">
        <v>0.58664351851851848</v>
      </c>
      <c r="D503" s="12">
        <v>4</v>
      </c>
      <c r="E503" s="13" t="s">
        <v>3041</v>
      </c>
      <c r="F503">
        <f t="shared" si="9"/>
        <v>30</v>
      </c>
      <c r="G503">
        <v>14</v>
      </c>
      <c r="H503">
        <v>5</v>
      </c>
      <c r="I503">
        <v>19</v>
      </c>
      <c r="J503" s="67">
        <v>16</v>
      </c>
    </row>
    <row r="504" spans="1:10">
      <c r="A504">
        <v>503</v>
      </c>
      <c r="B504" s="10">
        <v>42452.586655092593</v>
      </c>
      <c r="C504" s="11">
        <v>0.58665509259259263</v>
      </c>
      <c r="D504" s="12">
        <v>4</v>
      </c>
      <c r="E504" s="13" t="s">
        <v>3041</v>
      </c>
      <c r="F504">
        <f t="shared" si="9"/>
        <v>30</v>
      </c>
      <c r="G504">
        <v>24</v>
      </c>
      <c r="H504">
        <v>5</v>
      </c>
      <c r="I504">
        <v>29</v>
      </c>
      <c r="J504" s="67">
        <v>6</v>
      </c>
    </row>
    <row r="505" spans="1:10" ht="15" thickBot="1">
      <c r="A505">
        <v>504</v>
      </c>
      <c r="B505" s="14">
        <v>42452.586678240739</v>
      </c>
      <c r="C505" s="15">
        <v>0.58667824074074071</v>
      </c>
      <c r="D505" s="16">
        <v>4</v>
      </c>
      <c r="E505" s="17" t="s">
        <v>3041</v>
      </c>
      <c r="F505">
        <f t="shared" si="9"/>
        <v>30</v>
      </c>
      <c r="G505">
        <v>18</v>
      </c>
      <c r="H505">
        <v>5</v>
      </c>
      <c r="I505">
        <v>23</v>
      </c>
      <c r="J505" s="67">
        <v>12</v>
      </c>
    </row>
    <row r="506" spans="1:10">
      <c r="A506">
        <v>505</v>
      </c>
      <c r="B506" s="6">
        <v>42452.915497685186</v>
      </c>
      <c r="C506" s="7">
        <v>0.91549768518518515</v>
      </c>
      <c r="D506" s="8">
        <v>4</v>
      </c>
      <c r="E506" s="9" t="s">
        <v>3032</v>
      </c>
      <c r="F506">
        <f t="shared" si="9"/>
        <v>30</v>
      </c>
      <c r="G506">
        <v>30</v>
      </c>
      <c r="H506">
        <v>9</v>
      </c>
      <c r="I506">
        <v>39</v>
      </c>
      <c r="J506" s="67">
        <v>0</v>
      </c>
    </row>
    <row r="507" spans="1:10">
      <c r="A507">
        <v>506</v>
      </c>
      <c r="B507" s="10">
        <v>42452.915520833332</v>
      </c>
      <c r="C507" s="11">
        <v>0.91552083333333334</v>
      </c>
      <c r="D507" s="12">
        <v>4</v>
      </c>
      <c r="E507" s="13" t="s">
        <v>3032</v>
      </c>
      <c r="F507">
        <f t="shared" si="9"/>
        <v>30</v>
      </c>
      <c r="G507">
        <v>34</v>
      </c>
      <c r="H507">
        <v>7</v>
      </c>
      <c r="I507">
        <v>41</v>
      </c>
      <c r="J507" s="67">
        <v>-4</v>
      </c>
    </row>
    <row r="508" spans="1:10">
      <c r="A508">
        <v>507</v>
      </c>
      <c r="B508" s="10">
        <v>42452.915543981479</v>
      </c>
      <c r="C508" s="11">
        <v>0.91554398148148153</v>
      </c>
      <c r="D508" s="12">
        <v>4</v>
      </c>
      <c r="E508" s="13" t="s">
        <v>3032</v>
      </c>
      <c r="F508">
        <f t="shared" si="9"/>
        <v>30</v>
      </c>
      <c r="G508">
        <v>33</v>
      </c>
      <c r="H508">
        <v>4</v>
      </c>
      <c r="I508">
        <v>37</v>
      </c>
      <c r="J508" s="67">
        <v>-3</v>
      </c>
    </row>
    <row r="509" spans="1:10">
      <c r="A509">
        <v>508</v>
      </c>
      <c r="B509" s="10">
        <v>42452.915555555555</v>
      </c>
      <c r="C509" s="11">
        <v>0.91555555555555557</v>
      </c>
      <c r="D509" s="12">
        <v>4</v>
      </c>
      <c r="E509" s="13" t="s">
        <v>3032</v>
      </c>
      <c r="F509">
        <f t="shared" si="9"/>
        <v>30</v>
      </c>
      <c r="G509">
        <v>20</v>
      </c>
      <c r="H509">
        <v>2</v>
      </c>
      <c r="I509">
        <v>22</v>
      </c>
      <c r="J509" s="67">
        <v>10</v>
      </c>
    </row>
    <row r="510" spans="1:10">
      <c r="A510">
        <v>509</v>
      </c>
      <c r="B510" s="10">
        <v>42452.915578703702</v>
      </c>
      <c r="C510" s="11">
        <v>0.91557870370370376</v>
      </c>
      <c r="D510" s="12">
        <v>4</v>
      </c>
      <c r="E510" s="13" t="s">
        <v>3032</v>
      </c>
      <c r="F510">
        <f t="shared" si="9"/>
        <v>30</v>
      </c>
      <c r="G510">
        <v>29</v>
      </c>
      <c r="H510">
        <v>2</v>
      </c>
      <c r="I510">
        <v>31</v>
      </c>
      <c r="J510" s="67">
        <v>1</v>
      </c>
    </row>
    <row r="511" spans="1:10">
      <c r="A511">
        <v>510</v>
      </c>
      <c r="B511" s="10">
        <v>42452.915590277778</v>
      </c>
      <c r="C511" s="11">
        <v>0.91559027777777779</v>
      </c>
      <c r="D511" s="12">
        <v>4</v>
      </c>
      <c r="E511" s="13" t="s">
        <v>3032</v>
      </c>
      <c r="F511">
        <f t="shared" si="9"/>
        <v>30</v>
      </c>
      <c r="G511">
        <v>34</v>
      </c>
      <c r="H511">
        <v>2</v>
      </c>
      <c r="I511">
        <v>36</v>
      </c>
      <c r="J511" s="67">
        <v>-4</v>
      </c>
    </row>
    <row r="512" spans="1:10">
      <c r="A512">
        <v>511</v>
      </c>
      <c r="B512" s="10">
        <v>42452.915706018517</v>
      </c>
      <c r="C512" s="11">
        <v>0.91570601851851852</v>
      </c>
      <c r="D512" s="12">
        <v>4</v>
      </c>
      <c r="E512" s="13" t="s">
        <v>3032</v>
      </c>
      <c r="F512">
        <f t="shared" si="9"/>
        <v>30</v>
      </c>
      <c r="G512">
        <v>33</v>
      </c>
      <c r="H512">
        <v>2</v>
      </c>
      <c r="I512">
        <v>35</v>
      </c>
      <c r="J512" s="67">
        <v>-3</v>
      </c>
    </row>
    <row r="513" spans="1:10" ht="15" thickBot="1">
      <c r="A513">
        <v>512</v>
      </c>
      <c r="B513" s="14">
        <v>42452.915729166663</v>
      </c>
      <c r="C513" s="15">
        <v>0.91572916666666671</v>
      </c>
      <c r="D513" s="16">
        <v>4</v>
      </c>
      <c r="E513" s="17" t="s">
        <v>3032</v>
      </c>
      <c r="F513">
        <f t="shared" si="9"/>
        <v>30</v>
      </c>
      <c r="G513">
        <v>26</v>
      </c>
      <c r="H513">
        <v>2</v>
      </c>
      <c r="I513">
        <v>28</v>
      </c>
      <c r="J513" s="67">
        <v>4</v>
      </c>
    </row>
    <row r="514" spans="1:10">
      <c r="A514">
        <v>513</v>
      </c>
      <c r="B514" s="6">
        <v>42453.250821759262</v>
      </c>
      <c r="C514" s="7">
        <v>0.25082175925925926</v>
      </c>
      <c r="D514" s="8">
        <v>4</v>
      </c>
      <c r="E514" s="9" t="s">
        <v>3041</v>
      </c>
      <c r="F514">
        <f t="shared" si="9"/>
        <v>30</v>
      </c>
      <c r="G514">
        <v>32</v>
      </c>
      <c r="H514">
        <v>2</v>
      </c>
      <c r="I514">
        <v>34</v>
      </c>
      <c r="J514" s="67">
        <v>-2</v>
      </c>
    </row>
    <row r="515" spans="1:10">
      <c r="A515">
        <v>514</v>
      </c>
      <c r="B515" s="10">
        <v>42453.250856481478</v>
      </c>
      <c r="C515" s="11">
        <v>0.25085648148148149</v>
      </c>
      <c r="D515" s="12">
        <v>4</v>
      </c>
      <c r="E515" s="13" t="s">
        <v>3041</v>
      </c>
      <c r="F515">
        <f t="shared" ref="F515:F578" si="10">40*0.75</f>
        <v>30</v>
      </c>
      <c r="G515">
        <v>35</v>
      </c>
      <c r="H515">
        <v>2</v>
      </c>
      <c r="I515">
        <v>37</v>
      </c>
      <c r="J515" s="67">
        <v>-5</v>
      </c>
    </row>
    <row r="516" spans="1:10">
      <c r="A516">
        <v>515</v>
      </c>
      <c r="B516" s="10">
        <v>42453.250891203701</v>
      </c>
      <c r="C516" s="11">
        <v>0.25089120370370371</v>
      </c>
      <c r="D516" s="12">
        <v>4</v>
      </c>
      <c r="E516" s="13" t="s">
        <v>3041</v>
      </c>
      <c r="F516">
        <f t="shared" si="10"/>
        <v>30</v>
      </c>
      <c r="G516">
        <v>35</v>
      </c>
      <c r="H516">
        <v>2</v>
      </c>
      <c r="I516">
        <v>37</v>
      </c>
      <c r="J516" s="67">
        <v>-5</v>
      </c>
    </row>
    <row r="517" spans="1:10">
      <c r="A517">
        <v>516</v>
      </c>
      <c r="B517" s="10">
        <v>42453.250914351855</v>
      </c>
      <c r="C517" s="11">
        <v>0.25091435185185185</v>
      </c>
      <c r="D517" s="12">
        <v>4</v>
      </c>
      <c r="E517" s="13" t="s">
        <v>3041</v>
      </c>
      <c r="F517">
        <f t="shared" si="10"/>
        <v>30</v>
      </c>
      <c r="G517">
        <v>24</v>
      </c>
      <c r="H517">
        <v>0</v>
      </c>
      <c r="I517">
        <v>24</v>
      </c>
      <c r="J517" s="67">
        <v>6</v>
      </c>
    </row>
    <row r="518" spans="1:10">
      <c r="A518">
        <v>517</v>
      </c>
      <c r="B518" s="10">
        <v>42453.250949074078</v>
      </c>
      <c r="C518" s="11">
        <v>0.25094907407407407</v>
      </c>
      <c r="D518" s="12">
        <v>4</v>
      </c>
      <c r="E518" s="13" t="s">
        <v>3041</v>
      </c>
      <c r="F518">
        <f t="shared" si="10"/>
        <v>30</v>
      </c>
      <c r="G518">
        <v>23</v>
      </c>
      <c r="H518">
        <v>9</v>
      </c>
      <c r="I518">
        <v>32</v>
      </c>
      <c r="J518" s="67">
        <v>7</v>
      </c>
    </row>
    <row r="519" spans="1:10">
      <c r="A519">
        <v>518</v>
      </c>
      <c r="B519" s="10">
        <v>42453.250972222224</v>
      </c>
      <c r="C519" s="11">
        <v>0.25097222222222221</v>
      </c>
      <c r="D519" s="12">
        <v>4</v>
      </c>
      <c r="E519" s="13" t="s">
        <v>3041</v>
      </c>
      <c r="F519">
        <f t="shared" si="10"/>
        <v>30</v>
      </c>
      <c r="G519">
        <v>0</v>
      </c>
      <c r="H519">
        <v>0</v>
      </c>
      <c r="I519">
        <v>0</v>
      </c>
      <c r="J519" s="67">
        <v>30</v>
      </c>
    </row>
    <row r="520" spans="1:10">
      <c r="A520">
        <v>519</v>
      </c>
      <c r="B520" s="10">
        <v>42453.251006944447</v>
      </c>
      <c r="C520" s="11">
        <v>0.25100694444444444</v>
      </c>
      <c r="D520" s="12">
        <v>4</v>
      </c>
      <c r="E520" s="13" t="s">
        <v>3041</v>
      </c>
      <c r="F520">
        <f t="shared" si="10"/>
        <v>30</v>
      </c>
      <c r="G520">
        <v>2</v>
      </c>
      <c r="H520">
        <v>0</v>
      </c>
      <c r="I520">
        <v>2</v>
      </c>
      <c r="J520" s="67">
        <v>28</v>
      </c>
    </row>
    <row r="521" spans="1:10" ht="15" thickBot="1">
      <c r="A521">
        <v>520</v>
      </c>
      <c r="B521" s="14">
        <v>42453.251030092593</v>
      </c>
      <c r="C521" s="15">
        <v>0.25103009259259257</v>
      </c>
      <c r="D521" s="16">
        <v>4</v>
      </c>
      <c r="E521" s="17" t="s">
        <v>3041</v>
      </c>
      <c r="F521">
        <f t="shared" si="10"/>
        <v>30</v>
      </c>
      <c r="G521">
        <v>0</v>
      </c>
      <c r="H521">
        <v>0</v>
      </c>
      <c r="I521">
        <v>0</v>
      </c>
      <c r="J521" s="67">
        <v>30</v>
      </c>
    </row>
    <row r="522" spans="1:10">
      <c r="A522">
        <v>521</v>
      </c>
      <c r="B522" s="6">
        <v>42453.584861111114</v>
      </c>
      <c r="C522" s="7">
        <v>0.58486111111111116</v>
      </c>
      <c r="D522" s="8">
        <v>3</v>
      </c>
      <c r="E522" s="9" t="s">
        <v>3041</v>
      </c>
      <c r="F522">
        <f t="shared" si="10"/>
        <v>30</v>
      </c>
      <c r="G522">
        <v>29</v>
      </c>
      <c r="H522">
        <v>6</v>
      </c>
      <c r="I522">
        <v>35</v>
      </c>
      <c r="J522" s="67">
        <v>1</v>
      </c>
    </row>
    <row r="523" spans="1:10">
      <c r="A523">
        <v>522</v>
      </c>
      <c r="B523" s="10">
        <v>42453.58488425926</v>
      </c>
      <c r="C523" s="11">
        <v>0.58488425925925924</v>
      </c>
      <c r="D523" s="12">
        <v>3</v>
      </c>
      <c r="E523" s="13" t="s">
        <v>3041</v>
      </c>
      <c r="F523">
        <f t="shared" si="10"/>
        <v>30</v>
      </c>
      <c r="G523">
        <v>33</v>
      </c>
      <c r="H523">
        <v>5</v>
      </c>
      <c r="I523">
        <v>38</v>
      </c>
      <c r="J523" s="67">
        <v>-3</v>
      </c>
    </row>
    <row r="524" spans="1:10">
      <c r="A524">
        <v>523</v>
      </c>
      <c r="B524" s="10">
        <v>42453.584907407407</v>
      </c>
      <c r="C524" s="11">
        <v>0.58490740740740743</v>
      </c>
      <c r="D524" s="12">
        <v>3</v>
      </c>
      <c r="E524" s="13" t="s">
        <v>3041</v>
      </c>
      <c r="F524">
        <f t="shared" si="10"/>
        <v>30</v>
      </c>
      <c r="G524">
        <v>35</v>
      </c>
      <c r="H524">
        <v>1</v>
      </c>
      <c r="I524">
        <v>36</v>
      </c>
      <c r="J524" s="67">
        <v>-5</v>
      </c>
    </row>
    <row r="525" spans="1:10">
      <c r="A525">
        <v>524</v>
      </c>
      <c r="B525" s="10">
        <v>42453.58494212963</v>
      </c>
      <c r="C525" s="11">
        <v>0.58494212962962966</v>
      </c>
      <c r="D525" s="12">
        <v>3</v>
      </c>
      <c r="E525" s="13" t="s">
        <v>3041</v>
      </c>
      <c r="F525">
        <f t="shared" si="10"/>
        <v>30</v>
      </c>
      <c r="G525">
        <v>11</v>
      </c>
      <c r="H525">
        <v>2</v>
      </c>
      <c r="I525">
        <v>13</v>
      </c>
      <c r="J525" s="67">
        <v>19</v>
      </c>
    </row>
    <row r="526" spans="1:10">
      <c r="A526">
        <v>525</v>
      </c>
      <c r="B526" s="10">
        <v>42453.584976851853</v>
      </c>
      <c r="C526" s="11">
        <v>0.58497685185185189</v>
      </c>
      <c r="D526" s="12">
        <v>3</v>
      </c>
      <c r="E526" s="13" t="s">
        <v>3041</v>
      </c>
      <c r="F526">
        <f t="shared" si="10"/>
        <v>30</v>
      </c>
      <c r="G526">
        <v>26</v>
      </c>
      <c r="H526">
        <v>3</v>
      </c>
      <c r="I526">
        <v>29</v>
      </c>
      <c r="J526" s="67">
        <v>4</v>
      </c>
    </row>
    <row r="527" spans="1:10">
      <c r="A527">
        <v>526</v>
      </c>
      <c r="B527" s="10">
        <v>42453.584999999999</v>
      </c>
      <c r="C527" s="11">
        <v>0.58499999999999996</v>
      </c>
      <c r="D527" s="12">
        <v>3</v>
      </c>
      <c r="E527" s="13" t="s">
        <v>3041</v>
      </c>
      <c r="F527">
        <f t="shared" si="10"/>
        <v>30</v>
      </c>
      <c r="G527">
        <v>23</v>
      </c>
      <c r="H527">
        <v>5</v>
      </c>
      <c r="I527">
        <v>28</v>
      </c>
      <c r="J527" s="67">
        <v>7</v>
      </c>
    </row>
    <row r="528" spans="1:10">
      <c r="A528">
        <v>527</v>
      </c>
      <c r="B528" s="10">
        <v>42453.585023148145</v>
      </c>
      <c r="C528" s="11">
        <v>0.58502314814814815</v>
      </c>
      <c r="D528" s="12">
        <v>3</v>
      </c>
      <c r="E528" s="13" t="s">
        <v>3041</v>
      </c>
      <c r="F528">
        <f t="shared" si="10"/>
        <v>30</v>
      </c>
      <c r="G528">
        <v>26</v>
      </c>
      <c r="H528">
        <v>4</v>
      </c>
      <c r="I528">
        <v>30</v>
      </c>
      <c r="J528" s="67">
        <v>4</v>
      </c>
    </row>
    <row r="529" spans="1:10" ht="15" thickBot="1">
      <c r="A529">
        <v>528</v>
      </c>
      <c r="B529" s="14">
        <v>42453.585046296299</v>
      </c>
      <c r="C529" s="15">
        <v>0.58504629629629634</v>
      </c>
      <c r="D529" s="16">
        <v>3</v>
      </c>
      <c r="E529" s="17" t="s">
        <v>3041</v>
      </c>
      <c r="F529">
        <f t="shared" si="10"/>
        <v>30</v>
      </c>
      <c r="G529">
        <v>19</v>
      </c>
      <c r="H529">
        <v>1</v>
      </c>
      <c r="I529">
        <v>20</v>
      </c>
      <c r="J529" s="67">
        <v>11</v>
      </c>
    </row>
    <row r="530" spans="1:10">
      <c r="A530">
        <v>529</v>
      </c>
      <c r="B530" s="6">
        <v>42453.915682870371</v>
      </c>
      <c r="C530" s="7">
        <v>0.91568287037037033</v>
      </c>
      <c r="D530" s="8">
        <v>4</v>
      </c>
      <c r="E530" s="9" t="s">
        <v>3032</v>
      </c>
      <c r="F530">
        <f t="shared" si="10"/>
        <v>30</v>
      </c>
      <c r="G530">
        <v>30</v>
      </c>
      <c r="H530">
        <v>2</v>
      </c>
      <c r="I530">
        <v>32</v>
      </c>
      <c r="J530" s="67">
        <v>0</v>
      </c>
    </row>
    <row r="531" spans="1:10">
      <c r="A531">
        <v>530</v>
      </c>
      <c r="B531" s="10">
        <v>42453.91574074074</v>
      </c>
      <c r="C531" s="11">
        <v>0.91574074074074074</v>
      </c>
      <c r="D531" s="12">
        <v>4</v>
      </c>
      <c r="E531" s="13" t="s">
        <v>3032</v>
      </c>
      <c r="F531">
        <f t="shared" si="10"/>
        <v>30</v>
      </c>
      <c r="G531">
        <v>35</v>
      </c>
      <c r="H531">
        <v>2</v>
      </c>
      <c r="I531">
        <v>37</v>
      </c>
      <c r="J531" s="67">
        <v>-5</v>
      </c>
    </row>
    <row r="532" spans="1:10">
      <c r="A532">
        <v>531</v>
      </c>
      <c r="B532" s="10">
        <v>42453.915775462963</v>
      </c>
      <c r="C532" s="11">
        <v>0.91577546296296297</v>
      </c>
      <c r="D532" s="12">
        <v>4</v>
      </c>
      <c r="E532" s="13" t="s">
        <v>3032</v>
      </c>
      <c r="F532">
        <f t="shared" si="10"/>
        <v>30</v>
      </c>
      <c r="G532">
        <v>34</v>
      </c>
      <c r="H532">
        <v>4</v>
      </c>
      <c r="I532">
        <v>38</v>
      </c>
      <c r="J532" s="67">
        <v>-4</v>
      </c>
    </row>
    <row r="533" spans="1:10">
      <c r="A533">
        <v>532</v>
      </c>
      <c r="B533" s="10">
        <v>42453.915798611109</v>
      </c>
      <c r="C533" s="11">
        <v>0.91579861111111116</v>
      </c>
      <c r="D533" s="12">
        <v>4</v>
      </c>
      <c r="E533" s="13" t="s">
        <v>3032</v>
      </c>
      <c r="F533">
        <f t="shared" si="10"/>
        <v>30</v>
      </c>
      <c r="G533">
        <v>20</v>
      </c>
      <c r="H533">
        <v>2</v>
      </c>
      <c r="I533">
        <v>22</v>
      </c>
      <c r="J533" s="67">
        <v>10</v>
      </c>
    </row>
    <row r="534" spans="1:10">
      <c r="A534">
        <v>533</v>
      </c>
      <c r="B534" s="10">
        <v>42453.915833333333</v>
      </c>
      <c r="C534" s="11">
        <v>0.91583333333333339</v>
      </c>
      <c r="D534" s="12">
        <v>4</v>
      </c>
      <c r="E534" s="13" t="s">
        <v>3032</v>
      </c>
      <c r="F534">
        <f t="shared" si="10"/>
        <v>30</v>
      </c>
      <c r="G534">
        <v>29</v>
      </c>
      <c r="H534">
        <v>3</v>
      </c>
      <c r="I534">
        <v>32</v>
      </c>
      <c r="J534" s="67">
        <v>1</v>
      </c>
    </row>
    <row r="535" spans="1:10">
      <c r="A535">
        <v>534</v>
      </c>
      <c r="B535" s="10">
        <v>42453.915856481479</v>
      </c>
      <c r="C535" s="11">
        <v>0.91585648148148147</v>
      </c>
      <c r="D535" s="12">
        <v>4</v>
      </c>
      <c r="E535" s="13" t="s">
        <v>3032</v>
      </c>
      <c r="F535">
        <f t="shared" si="10"/>
        <v>30</v>
      </c>
      <c r="G535">
        <v>35</v>
      </c>
      <c r="H535">
        <v>2</v>
      </c>
      <c r="I535">
        <v>37</v>
      </c>
      <c r="J535" s="67">
        <v>-5</v>
      </c>
    </row>
    <row r="536" spans="1:10">
      <c r="A536">
        <v>535</v>
      </c>
      <c r="B536" s="10">
        <v>42453.915879629632</v>
      </c>
      <c r="C536" s="11">
        <v>0.91587962962962965</v>
      </c>
      <c r="D536" s="12">
        <v>4</v>
      </c>
      <c r="E536" s="13" t="s">
        <v>3032</v>
      </c>
      <c r="F536">
        <f t="shared" si="10"/>
        <v>30</v>
      </c>
      <c r="G536">
        <v>35</v>
      </c>
      <c r="H536">
        <v>2</v>
      </c>
      <c r="I536">
        <v>37</v>
      </c>
      <c r="J536" s="67">
        <v>-5</v>
      </c>
    </row>
    <row r="537" spans="1:10" ht="15" thickBot="1">
      <c r="A537">
        <v>536</v>
      </c>
      <c r="B537" s="14">
        <v>42453.915902777779</v>
      </c>
      <c r="C537" s="15">
        <v>0.91590277777777773</v>
      </c>
      <c r="D537" s="16">
        <v>4</v>
      </c>
      <c r="E537" s="17" t="s">
        <v>3032</v>
      </c>
      <c r="F537">
        <f t="shared" si="10"/>
        <v>30</v>
      </c>
      <c r="G537">
        <v>26</v>
      </c>
      <c r="H537">
        <v>2</v>
      </c>
      <c r="I537">
        <v>28</v>
      </c>
      <c r="J537" s="67">
        <v>4</v>
      </c>
    </row>
    <row r="538" spans="1:10">
      <c r="A538">
        <v>537</v>
      </c>
      <c r="B538" s="6">
        <v>42454.249606481484</v>
      </c>
      <c r="C538" s="7">
        <v>0.24960648148148148</v>
      </c>
      <c r="D538" s="8">
        <v>1</v>
      </c>
      <c r="E538" s="9" t="s">
        <v>3041</v>
      </c>
      <c r="F538">
        <f t="shared" si="10"/>
        <v>30</v>
      </c>
      <c r="G538">
        <v>23</v>
      </c>
      <c r="H538">
        <v>2</v>
      </c>
      <c r="I538">
        <v>25</v>
      </c>
      <c r="J538" s="67">
        <v>7</v>
      </c>
    </row>
    <row r="539" spans="1:10">
      <c r="A539">
        <v>538</v>
      </c>
      <c r="B539" s="10">
        <v>42454.249641203707</v>
      </c>
      <c r="C539" s="11">
        <v>0.24964120370370371</v>
      </c>
      <c r="D539" s="12">
        <v>1</v>
      </c>
      <c r="E539" s="13" t="s">
        <v>3041</v>
      </c>
      <c r="F539">
        <f t="shared" si="10"/>
        <v>30</v>
      </c>
      <c r="G539">
        <v>26</v>
      </c>
      <c r="H539">
        <v>7</v>
      </c>
      <c r="I539">
        <v>33</v>
      </c>
      <c r="J539" s="67">
        <v>4</v>
      </c>
    </row>
    <row r="540" spans="1:10">
      <c r="A540">
        <v>539</v>
      </c>
      <c r="B540" s="10">
        <v>42454.249675925923</v>
      </c>
      <c r="C540" s="11">
        <v>0.24967592592592591</v>
      </c>
      <c r="D540" s="12">
        <v>1</v>
      </c>
      <c r="E540" s="13" t="s">
        <v>3041</v>
      </c>
      <c r="F540">
        <f t="shared" si="10"/>
        <v>30</v>
      </c>
      <c r="G540">
        <v>28</v>
      </c>
      <c r="H540">
        <v>5</v>
      </c>
      <c r="I540">
        <v>33</v>
      </c>
      <c r="J540" s="67">
        <v>2</v>
      </c>
    </row>
    <row r="541" spans="1:10">
      <c r="A541">
        <v>540</v>
      </c>
      <c r="B541" s="10">
        <v>42454.249699074076</v>
      </c>
      <c r="C541" s="11">
        <v>0.24969907407407407</v>
      </c>
      <c r="D541" s="12">
        <v>1</v>
      </c>
      <c r="E541" s="13" t="s">
        <v>3041</v>
      </c>
      <c r="F541">
        <f t="shared" si="10"/>
        <v>30</v>
      </c>
      <c r="G541">
        <v>16</v>
      </c>
      <c r="H541">
        <v>2</v>
      </c>
      <c r="I541">
        <v>18</v>
      </c>
      <c r="J541" s="67">
        <v>14</v>
      </c>
    </row>
    <row r="542" spans="1:10">
      <c r="A542">
        <v>541</v>
      </c>
      <c r="B542" s="10">
        <v>42454.433680555558</v>
      </c>
      <c r="C542" s="11">
        <v>0.43368055555555557</v>
      </c>
      <c r="D542" s="12">
        <v>1</v>
      </c>
      <c r="E542" s="13" t="s">
        <v>3056</v>
      </c>
      <c r="F542">
        <f t="shared" si="10"/>
        <v>30</v>
      </c>
      <c r="G542">
        <v>27</v>
      </c>
      <c r="H542">
        <v>2</v>
      </c>
      <c r="I542">
        <v>29</v>
      </c>
      <c r="J542" s="67">
        <v>3</v>
      </c>
    </row>
    <row r="543" spans="1:10">
      <c r="A543">
        <v>542</v>
      </c>
      <c r="B543" s="10">
        <v>42454.43372685185</v>
      </c>
      <c r="C543" s="11">
        <v>0.43372685185185184</v>
      </c>
      <c r="D543" s="12">
        <v>1</v>
      </c>
      <c r="E543" s="13" t="s">
        <v>3056</v>
      </c>
      <c r="F543">
        <f t="shared" si="10"/>
        <v>30</v>
      </c>
      <c r="G543">
        <v>28</v>
      </c>
      <c r="H543">
        <v>5</v>
      </c>
      <c r="I543">
        <v>33</v>
      </c>
      <c r="J543" s="67">
        <v>2</v>
      </c>
    </row>
    <row r="544" spans="1:10">
      <c r="A544">
        <v>543</v>
      </c>
      <c r="B544" s="10">
        <v>42454.249884259261</v>
      </c>
      <c r="C544" s="11">
        <v>0.24988425925925925</v>
      </c>
      <c r="D544" s="12">
        <v>1</v>
      </c>
      <c r="E544" s="13" t="s">
        <v>3041</v>
      </c>
      <c r="F544">
        <f t="shared" si="10"/>
        <v>30</v>
      </c>
      <c r="G544">
        <v>27</v>
      </c>
      <c r="H544">
        <v>3</v>
      </c>
      <c r="I544">
        <v>30</v>
      </c>
      <c r="J544" s="67">
        <v>3</v>
      </c>
    </row>
    <row r="545" spans="1:10" ht="15" thickBot="1">
      <c r="A545">
        <v>544</v>
      </c>
      <c r="B545" s="14">
        <v>42454.249918981484</v>
      </c>
      <c r="C545" s="15">
        <v>0.24991898148148148</v>
      </c>
      <c r="D545" s="16">
        <v>1</v>
      </c>
      <c r="E545" s="17" t="s">
        <v>3041</v>
      </c>
      <c r="F545">
        <f t="shared" si="10"/>
        <v>30</v>
      </c>
      <c r="G545">
        <v>23</v>
      </c>
      <c r="H545">
        <v>1</v>
      </c>
      <c r="I545">
        <v>24</v>
      </c>
      <c r="J545" s="67">
        <v>7</v>
      </c>
    </row>
    <row r="546" spans="1:10">
      <c r="A546">
        <v>545</v>
      </c>
      <c r="B546" s="6">
        <v>42454.589305555557</v>
      </c>
      <c r="C546" s="7">
        <v>0.58930555555555553</v>
      </c>
      <c r="D546" s="8">
        <v>4</v>
      </c>
      <c r="E546" s="9" t="s">
        <v>3041</v>
      </c>
      <c r="F546">
        <f t="shared" si="10"/>
        <v>30</v>
      </c>
      <c r="G546">
        <v>31</v>
      </c>
      <c r="H546">
        <v>5</v>
      </c>
      <c r="I546">
        <v>36</v>
      </c>
      <c r="J546" s="67">
        <v>-1</v>
      </c>
    </row>
    <row r="547" spans="1:10">
      <c r="A547">
        <v>546</v>
      </c>
      <c r="B547" s="10">
        <v>42454.589317129627</v>
      </c>
      <c r="C547" s="11">
        <v>0.58931712962962968</v>
      </c>
      <c r="D547" s="12">
        <v>4</v>
      </c>
      <c r="E547" s="13" t="s">
        <v>3041</v>
      </c>
      <c r="F547">
        <f t="shared" si="10"/>
        <v>30</v>
      </c>
      <c r="G547">
        <v>35</v>
      </c>
      <c r="H547">
        <v>6</v>
      </c>
      <c r="I547">
        <v>41</v>
      </c>
      <c r="J547" s="67">
        <v>-5</v>
      </c>
    </row>
    <row r="548" spans="1:10">
      <c r="A548">
        <v>547</v>
      </c>
      <c r="B548" s="10">
        <v>42454.58934027778</v>
      </c>
      <c r="C548" s="11">
        <v>0.58934027777777775</v>
      </c>
      <c r="D548" s="12">
        <v>4</v>
      </c>
      <c r="E548" s="13" t="s">
        <v>3041</v>
      </c>
      <c r="F548">
        <f t="shared" si="10"/>
        <v>30</v>
      </c>
      <c r="G548">
        <v>33</v>
      </c>
      <c r="H548">
        <v>5</v>
      </c>
      <c r="I548">
        <v>38</v>
      </c>
      <c r="J548" s="67">
        <v>-3</v>
      </c>
    </row>
    <row r="549" spans="1:10">
      <c r="A549">
        <v>548</v>
      </c>
      <c r="B549" s="10">
        <v>42454.58935185185</v>
      </c>
      <c r="C549" s="11">
        <v>0.5893518518518519</v>
      </c>
      <c r="D549" s="12">
        <v>4</v>
      </c>
      <c r="E549" s="13" t="s">
        <v>3041</v>
      </c>
      <c r="F549">
        <f t="shared" si="10"/>
        <v>30</v>
      </c>
      <c r="G549">
        <v>20</v>
      </c>
      <c r="H549">
        <v>2</v>
      </c>
      <c r="I549">
        <v>22</v>
      </c>
      <c r="J549" s="67">
        <v>10</v>
      </c>
    </row>
    <row r="550" spans="1:10">
      <c r="A550">
        <v>549</v>
      </c>
      <c r="B550" s="10">
        <v>42454.58935185185</v>
      </c>
      <c r="C550" s="11">
        <v>0.5893518518518519</v>
      </c>
      <c r="D550" s="12">
        <v>3</v>
      </c>
      <c r="E550" s="13" t="s">
        <v>3041</v>
      </c>
      <c r="F550">
        <f t="shared" si="10"/>
        <v>30</v>
      </c>
      <c r="G550">
        <v>34</v>
      </c>
      <c r="H550">
        <v>3</v>
      </c>
      <c r="I550">
        <v>37</v>
      </c>
      <c r="J550" s="67">
        <v>-4</v>
      </c>
    </row>
    <row r="551" spans="1:10">
      <c r="A551">
        <v>550</v>
      </c>
      <c r="B551" s="10">
        <v>42454.589363425926</v>
      </c>
      <c r="C551" s="11">
        <v>0.58936342592592594</v>
      </c>
      <c r="D551" s="12">
        <v>3</v>
      </c>
      <c r="E551" s="13" t="s">
        <v>3041</v>
      </c>
      <c r="F551">
        <f t="shared" si="10"/>
        <v>30</v>
      </c>
      <c r="G551">
        <v>35</v>
      </c>
      <c r="H551">
        <v>4</v>
      </c>
      <c r="I551">
        <v>39</v>
      </c>
      <c r="J551" s="67">
        <v>-5</v>
      </c>
    </row>
    <row r="552" spans="1:10">
      <c r="A552">
        <v>551</v>
      </c>
      <c r="B552" s="10">
        <v>42454.589375000003</v>
      </c>
      <c r="C552" s="11">
        <v>0.58937499999999998</v>
      </c>
      <c r="D552" s="12">
        <v>3</v>
      </c>
      <c r="E552" s="13" t="s">
        <v>3041</v>
      </c>
      <c r="F552">
        <f t="shared" si="10"/>
        <v>30</v>
      </c>
      <c r="G552">
        <v>35</v>
      </c>
      <c r="H552">
        <v>2</v>
      </c>
      <c r="I552">
        <v>37</v>
      </c>
      <c r="J552" s="67">
        <v>-5</v>
      </c>
    </row>
    <row r="553" spans="1:10" ht="15" thickBot="1">
      <c r="A553">
        <v>552</v>
      </c>
      <c r="B553" s="14">
        <v>42454.589386574073</v>
      </c>
      <c r="C553" s="15">
        <v>0.58938657407407402</v>
      </c>
      <c r="D553" s="16">
        <v>3</v>
      </c>
      <c r="E553" s="17" t="s">
        <v>3041</v>
      </c>
      <c r="F553">
        <f t="shared" si="10"/>
        <v>30</v>
      </c>
      <c r="G553">
        <v>26</v>
      </c>
      <c r="H553">
        <v>2</v>
      </c>
      <c r="I553">
        <v>28</v>
      </c>
      <c r="J553" s="67">
        <v>4</v>
      </c>
    </row>
    <row r="554" spans="1:10">
      <c r="A554">
        <v>553</v>
      </c>
      <c r="B554" s="6">
        <v>42454.927361111113</v>
      </c>
      <c r="C554" s="7">
        <v>0.92736111111111108</v>
      </c>
      <c r="D554" s="8">
        <v>4</v>
      </c>
      <c r="E554" s="9" t="s">
        <v>3032</v>
      </c>
      <c r="F554">
        <f t="shared" si="10"/>
        <v>30</v>
      </c>
      <c r="G554">
        <v>17</v>
      </c>
      <c r="H554">
        <v>0</v>
      </c>
      <c r="I554">
        <v>17</v>
      </c>
      <c r="J554" s="67">
        <v>13</v>
      </c>
    </row>
    <row r="555" spans="1:10">
      <c r="A555">
        <v>554</v>
      </c>
      <c r="B555" s="10">
        <v>42454.927384259259</v>
      </c>
      <c r="C555" s="11">
        <v>0.92738425925925927</v>
      </c>
      <c r="D555" s="12">
        <v>4</v>
      </c>
      <c r="E555" s="13" t="s">
        <v>3032</v>
      </c>
      <c r="F555">
        <f t="shared" si="10"/>
        <v>30</v>
      </c>
      <c r="G555">
        <v>0</v>
      </c>
      <c r="H555">
        <v>0</v>
      </c>
      <c r="I555">
        <v>0</v>
      </c>
      <c r="J555" s="67">
        <v>30</v>
      </c>
    </row>
    <row r="556" spans="1:10">
      <c r="A556">
        <v>555</v>
      </c>
      <c r="B556" s="10">
        <v>42454.927430555559</v>
      </c>
      <c r="C556" s="11">
        <v>0.92743055555555554</v>
      </c>
      <c r="D556" s="12">
        <v>4</v>
      </c>
      <c r="E556" s="13" t="s">
        <v>3032</v>
      </c>
      <c r="F556">
        <f t="shared" si="10"/>
        <v>30</v>
      </c>
      <c r="G556">
        <v>0</v>
      </c>
      <c r="H556">
        <v>0</v>
      </c>
      <c r="I556">
        <v>0</v>
      </c>
      <c r="J556" s="67">
        <v>30</v>
      </c>
    </row>
    <row r="557" spans="1:10">
      <c r="A557">
        <v>556</v>
      </c>
      <c r="B557" s="10">
        <v>42454.927453703705</v>
      </c>
      <c r="C557" s="11">
        <v>0.92745370370370372</v>
      </c>
      <c r="D557" s="12">
        <v>4</v>
      </c>
      <c r="E557" s="13" t="s">
        <v>3032</v>
      </c>
      <c r="F557">
        <f t="shared" si="10"/>
        <v>30</v>
      </c>
      <c r="G557">
        <v>0</v>
      </c>
      <c r="H557">
        <v>0</v>
      </c>
      <c r="I557">
        <v>0</v>
      </c>
      <c r="J557" s="67">
        <v>30</v>
      </c>
    </row>
    <row r="558" spans="1:10">
      <c r="A558">
        <v>557</v>
      </c>
      <c r="B558" s="10">
        <v>42454.927465277775</v>
      </c>
      <c r="C558" s="11">
        <v>0.92746527777777776</v>
      </c>
      <c r="D558" s="12">
        <v>4</v>
      </c>
      <c r="E558" s="13" t="s">
        <v>3032</v>
      </c>
      <c r="F558">
        <f t="shared" si="10"/>
        <v>30</v>
      </c>
      <c r="G558">
        <v>0</v>
      </c>
      <c r="H558">
        <v>0</v>
      </c>
      <c r="I558">
        <v>0</v>
      </c>
      <c r="J558" s="67">
        <v>30</v>
      </c>
    </row>
    <row r="559" spans="1:10">
      <c r="A559">
        <v>558</v>
      </c>
      <c r="B559" s="10">
        <v>42454.927488425928</v>
      </c>
      <c r="C559" s="11">
        <v>0.92748842592592595</v>
      </c>
      <c r="D559" s="12">
        <v>4</v>
      </c>
      <c r="E559" s="13" t="s">
        <v>3032</v>
      </c>
      <c r="F559">
        <f t="shared" si="10"/>
        <v>30</v>
      </c>
      <c r="G559">
        <v>0</v>
      </c>
      <c r="H559">
        <v>0</v>
      </c>
      <c r="I559">
        <v>0</v>
      </c>
      <c r="J559" s="67">
        <v>30</v>
      </c>
    </row>
    <row r="560" spans="1:10">
      <c r="A560">
        <v>559</v>
      </c>
      <c r="B560" s="10">
        <v>42454.927499999998</v>
      </c>
      <c r="C560" s="11">
        <v>0.92749999999999999</v>
      </c>
      <c r="D560" s="12">
        <v>4</v>
      </c>
      <c r="E560" s="13" t="s">
        <v>3032</v>
      </c>
      <c r="F560">
        <f t="shared" si="10"/>
        <v>30</v>
      </c>
      <c r="G560">
        <v>0</v>
      </c>
      <c r="H560">
        <v>0</v>
      </c>
      <c r="I560">
        <v>0</v>
      </c>
      <c r="J560" s="67">
        <v>30</v>
      </c>
    </row>
    <row r="561" spans="1:10" ht="15" thickBot="1">
      <c r="A561">
        <v>560</v>
      </c>
      <c r="B561" s="14">
        <v>42454.927523148152</v>
      </c>
      <c r="C561" s="15">
        <v>0.92752314814814818</v>
      </c>
      <c r="D561" s="16">
        <v>4</v>
      </c>
      <c r="E561" s="17" t="s">
        <v>3032</v>
      </c>
      <c r="F561">
        <f t="shared" si="10"/>
        <v>30</v>
      </c>
      <c r="G561">
        <v>0</v>
      </c>
      <c r="H561">
        <v>0</v>
      </c>
      <c r="I561">
        <v>0</v>
      </c>
      <c r="J561" s="67">
        <v>30</v>
      </c>
    </row>
    <row r="562" spans="1:10">
      <c r="A562">
        <v>561</v>
      </c>
      <c r="B562" s="6">
        <v>42457.256099537037</v>
      </c>
      <c r="C562" s="7">
        <v>0.25609953703703703</v>
      </c>
      <c r="D562" s="8">
        <v>3</v>
      </c>
      <c r="E562" s="9" t="s">
        <v>3041</v>
      </c>
      <c r="F562">
        <f t="shared" si="10"/>
        <v>30</v>
      </c>
      <c r="G562">
        <v>0</v>
      </c>
      <c r="H562">
        <v>0</v>
      </c>
      <c r="I562">
        <v>0</v>
      </c>
      <c r="J562" s="67">
        <v>30</v>
      </c>
    </row>
    <row r="563" spans="1:10">
      <c r="A563">
        <v>562</v>
      </c>
      <c r="B563" s="10">
        <v>42457.256111111114</v>
      </c>
      <c r="C563" s="11">
        <v>0.25611111111111112</v>
      </c>
      <c r="D563" s="12">
        <v>3</v>
      </c>
      <c r="E563" s="13" t="s">
        <v>3041</v>
      </c>
      <c r="F563">
        <f t="shared" si="10"/>
        <v>30</v>
      </c>
      <c r="G563">
        <v>0</v>
      </c>
      <c r="H563">
        <v>0</v>
      </c>
      <c r="I563">
        <v>0</v>
      </c>
      <c r="J563" s="67">
        <v>30</v>
      </c>
    </row>
    <row r="564" spans="1:10">
      <c r="A564">
        <v>563</v>
      </c>
      <c r="B564" s="10">
        <v>42457.25613425926</v>
      </c>
      <c r="C564" s="11">
        <v>0.25613425925925926</v>
      </c>
      <c r="D564" s="12">
        <v>3</v>
      </c>
      <c r="E564" s="13" t="s">
        <v>3041</v>
      </c>
      <c r="F564">
        <f t="shared" si="10"/>
        <v>30</v>
      </c>
      <c r="G564">
        <v>9</v>
      </c>
      <c r="H564">
        <v>2</v>
      </c>
      <c r="I564">
        <v>11</v>
      </c>
      <c r="J564" s="67">
        <v>21</v>
      </c>
    </row>
    <row r="565" spans="1:10">
      <c r="A565">
        <v>564</v>
      </c>
      <c r="B565" s="10">
        <v>42457.256145833337</v>
      </c>
      <c r="C565" s="11">
        <v>0.25614583333333335</v>
      </c>
      <c r="D565" s="12">
        <v>3</v>
      </c>
      <c r="E565" s="13" t="s">
        <v>3041</v>
      </c>
      <c r="F565">
        <f t="shared" si="10"/>
        <v>30</v>
      </c>
      <c r="G565">
        <v>6</v>
      </c>
      <c r="H565">
        <v>3</v>
      </c>
      <c r="I565">
        <v>9</v>
      </c>
      <c r="J565" s="67">
        <v>24</v>
      </c>
    </row>
    <row r="566" spans="1:10">
      <c r="A566">
        <v>565</v>
      </c>
      <c r="B566" s="10">
        <v>42457.256157407406</v>
      </c>
      <c r="C566" s="11">
        <v>0.25615740740740739</v>
      </c>
      <c r="D566" s="12">
        <v>3</v>
      </c>
      <c r="E566" s="13" t="s">
        <v>3041</v>
      </c>
      <c r="F566">
        <f t="shared" si="10"/>
        <v>30</v>
      </c>
      <c r="G566">
        <v>0</v>
      </c>
      <c r="H566">
        <v>0</v>
      </c>
      <c r="I566">
        <v>0</v>
      </c>
      <c r="J566" s="67">
        <v>30</v>
      </c>
    </row>
    <row r="567" spans="1:10">
      <c r="A567">
        <v>566</v>
      </c>
      <c r="B567" s="10">
        <v>42457.256168981483</v>
      </c>
      <c r="C567" s="11">
        <v>0.25616898148148148</v>
      </c>
      <c r="D567" s="12">
        <v>3</v>
      </c>
      <c r="E567" s="13" t="s">
        <v>3041</v>
      </c>
      <c r="F567">
        <f t="shared" si="10"/>
        <v>30</v>
      </c>
      <c r="G567">
        <v>0</v>
      </c>
      <c r="H567">
        <v>0</v>
      </c>
      <c r="I567">
        <v>0</v>
      </c>
      <c r="J567" s="67">
        <v>30</v>
      </c>
    </row>
    <row r="568" spans="1:10">
      <c r="A568">
        <v>567</v>
      </c>
      <c r="B568" s="10">
        <v>42457.256180555552</v>
      </c>
      <c r="C568" s="11">
        <v>0.25618055555555558</v>
      </c>
      <c r="D568" s="12">
        <v>3</v>
      </c>
      <c r="E568" s="13" t="s">
        <v>3041</v>
      </c>
      <c r="F568">
        <f t="shared" si="10"/>
        <v>30</v>
      </c>
      <c r="G568">
        <v>0</v>
      </c>
      <c r="H568">
        <v>0</v>
      </c>
      <c r="I568">
        <v>0</v>
      </c>
      <c r="J568" s="67">
        <v>30</v>
      </c>
    </row>
    <row r="569" spans="1:10" ht="15" thickBot="1">
      <c r="A569">
        <v>568</v>
      </c>
      <c r="B569" s="14">
        <v>42457.256192129629</v>
      </c>
      <c r="C569" s="15">
        <v>0.25619212962962962</v>
      </c>
      <c r="D569" s="16">
        <v>3</v>
      </c>
      <c r="E569" s="17" t="s">
        <v>3041</v>
      </c>
      <c r="F569">
        <f t="shared" si="10"/>
        <v>30</v>
      </c>
      <c r="G569">
        <v>0</v>
      </c>
      <c r="H569">
        <v>0</v>
      </c>
      <c r="I569">
        <v>0</v>
      </c>
      <c r="J569" s="67">
        <v>30</v>
      </c>
    </row>
    <row r="570" spans="1:10">
      <c r="A570">
        <v>569</v>
      </c>
      <c r="B570" s="6">
        <v>42457.583611111113</v>
      </c>
      <c r="C570" s="7">
        <v>0.58361111111111108</v>
      </c>
      <c r="D570" s="8">
        <v>4</v>
      </c>
      <c r="E570" s="9" t="s">
        <v>3032</v>
      </c>
      <c r="F570">
        <f t="shared" si="10"/>
        <v>30</v>
      </c>
      <c r="G570">
        <v>29</v>
      </c>
      <c r="H570">
        <v>2</v>
      </c>
      <c r="I570">
        <v>31</v>
      </c>
      <c r="J570" s="67">
        <v>1</v>
      </c>
    </row>
    <row r="571" spans="1:10">
      <c r="A571">
        <v>570</v>
      </c>
      <c r="B571" s="10">
        <v>42457.583634259259</v>
      </c>
      <c r="C571" s="11">
        <v>0.58363425925925927</v>
      </c>
      <c r="D571" s="12">
        <v>4</v>
      </c>
      <c r="E571" s="13" t="s">
        <v>3032</v>
      </c>
      <c r="F571">
        <f t="shared" si="10"/>
        <v>30</v>
      </c>
      <c r="G571">
        <v>35</v>
      </c>
      <c r="H571">
        <v>4</v>
      </c>
      <c r="I571">
        <v>39</v>
      </c>
      <c r="J571" s="67">
        <v>-5</v>
      </c>
    </row>
    <row r="572" spans="1:10">
      <c r="A572">
        <v>571</v>
      </c>
      <c r="B572" s="10">
        <v>42457.583645833336</v>
      </c>
      <c r="C572" s="11">
        <v>0.58364583333333331</v>
      </c>
      <c r="D572" s="12">
        <v>4</v>
      </c>
      <c r="E572" s="13" t="s">
        <v>3032</v>
      </c>
      <c r="F572">
        <f t="shared" si="10"/>
        <v>30</v>
      </c>
      <c r="G572">
        <v>20</v>
      </c>
      <c r="H572">
        <v>8</v>
      </c>
      <c r="I572">
        <v>28</v>
      </c>
      <c r="J572" s="67">
        <v>10</v>
      </c>
    </row>
    <row r="573" spans="1:10">
      <c r="A573">
        <v>572</v>
      </c>
      <c r="B573" s="10">
        <v>42457.583668981482</v>
      </c>
      <c r="C573" s="11">
        <v>0.5836689814814815</v>
      </c>
      <c r="D573" s="12">
        <v>4</v>
      </c>
      <c r="E573" s="13" t="s">
        <v>3032</v>
      </c>
      <c r="F573">
        <f t="shared" si="10"/>
        <v>30</v>
      </c>
      <c r="G573">
        <v>13</v>
      </c>
      <c r="H573">
        <v>5</v>
      </c>
      <c r="I573">
        <v>18</v>
      </c>
      <c r="J573" s="67">
        <v>17</v>
      </c>
    </row>
    <row r="574" spans="1:10">
      <c r="A574">
        <v>573</v>
      </c>
      <c r="B574" s="10">
        <v>42457.583692129629</v>
      </c>
      <c r="C574" s="11">
        <v>0.58369212962962957</v>
      </c>
      <c r="D574" s="12">
        <v>4</v>
      </c>
      <c r="E574" s="13" t="s">
        <v>3032</v>
      </c>
      <c r="F574">
        <f t="shared" si="10"/>
        <v>30</v>
      </c>
      <c r="G574">
        <v>19</v>
      </c>
      <c r="H574">
        <v>5</v>
      </c>
      <c r="I574">
        <v>24</v>
      </c>
      <c r="J574" s="67">
        <v>11</v>
      </c>
    </row>
    <row r="575" spans="1:10">
      <c r="A575">
        <v>574</v>
      </c>
      <c r="B575" s="10">
        <v>42457.583726851852</v>
      </c>
      <c r="C575" s="11">
        <v>0.5837268518518518</v>
      </c>
      <c r="D575" s="12">
        <v>4</v>
      </c>
      <c r="E575" s="13" t="s">
        <v>3032</v>
      </c>
      <c r="F575">
        <f t="shared" si="10"/>
        <v>30</v>
      </c>
      <c r="G575">
        <v>17</v>
      </c>
      <c r="H575">
        <v>5</v>
      </c>
      <c r="I575">
        <v>22</v>
      </c>
      <c r="J575" s="67">
        <v>13</v>
      </c>
    </row>
    <row r="576" spans="1:10">
      <c r="A576">
        <v>575</v>
      </c>
      <c r="B576" s="10">
        <v>42457.583749999998</v>
      </c>
      <c r="C576" s="11">
        <v>0.58374999999999999</v>
      </c>
      <c r="D576" s="12">
        <v>4</v>
      </c>
      <c r="E576" s="13" t="s">
        <v>3032</v>
      </c>
      <c r="F576">
        <f t="shared" si="10"/>
        <v>30</v>
      </c>
      <c r="G576">
        <v>29</v>
      </c>
      <c r="H576">
        <v>2</v>
      </c>
      <c r="I576">
        <v>31</v>
      </c>
      <c r="J576" s="67">
        <v>1</v>
      </c>
    </row>
    <row r="577" spans="1:10" ht="15" thickBot="1">
      <c r="A577">
        <v>576</v>
      </c>
      <c r="B577" s="14">
        <v>42457.583761574075</v>
      </c>
      <c r="C577" s="15">
        <v>0.58376157407407403</v>
      </c>
      <c r="D577" s="16">
        <v>4</v>
      </c>
      <c r="E577" s="17" t="s">
        <v>3032</v>
      </c>
      <c r="F577">
        <f t="shared" si="10"/>
        <v>30</v>
      </c>
      <c r="G577">
        <v>20</v>
      </c>
      <c r="H577">
        <v>3</v>
      </c>
      <c r="I577">
        <v>23</v>
      </c>
      <c r="J577" s="67">
        <v>10</v>
      </c>
    </row>
    <row r="578" spans="1:10">
      <c r="A578">
        <v>577</v>
      </c>
      <c r="B578" s="6">
        <v>42457.91909722222</v>
      </c>
      <c r="C578" s="7">
        <v>0.91909722222222223</v>
      </c>
      <c r="D578" s="8">
        <v>4</v>
      </c>
      <c r="E578" s="9" t="s">
        <v>3041</v>
      </c>
      <c r="F578">
        <f t="shared" si="10"/>
        <v>30</v>
      </c>
      <c r="G578">
        <v>20</v>
      </c>
      <c r="H578">
        <v>3</v>
      </c>
      <c r="I578">
        <v>23</v>
      </c>
      <c r="J578" s="67">
        <v>10</v>
      </c>
    </row>
    <row r="579" spans="1:10">
      <c r="A579">
        <v>578</v>
      </c>
      <c r="B579" s="10">
        <v>42457.919131944444</v>
      </c>
      <c r="C579" s="11">
        <v>0.91913194444444446</v>
      </c>
      <c r="D579" s="12">
        <v>4</v>
      </c>
      <c r="E579" s="13" t="s">
        <v>3041</v>
      </c>
      <c r="F579">
        <f t="shared" ref="F579:F642" si="11">40*0.75</f>
        <v>30</v>
      </c>
      <c r="G579">
        <v>31</v>
      </c>
      <c r="H579">
        <v>15</v>
      </c>
      <c r="I579">
        <v>46</v>
      </c>
      <c r="J579" s="67">
        <v>-1</v>
      </c>
    </row>
    <row r="580" spans="1:10">
      <c r="A580">
        <v>579</v>
      </c>
      <c r="B580" s="10">
        <v>42457.91915509259</v>
      </c>
      <c r="C580" s="11">
        <v>0.91915509259259254</v>
      </c>
      <c r="D580" s="12">
        <v>4</v>
      </c>
      <c r="E580" s="13" t="s">
        <v>3041</v>
      </c>
      <c r="F580">
        <f t="shared" si="11"/>
        <v>30</v>
      </c>
      <c r="G580">
        <v>27</v>
      </c>
      <c r="H580">
        <v>11</v>
      </c>
      <c r="I580">
        <v>38</v>
      </c>
      <c r="J580" s="67">
        <v>3</v>
      </c>
    </row>
    <row r="581" spans="1:10">
      <c r="A581">
        <v>580</v>
      </c>
      <c r="B581" s="10">
        <v>42457.919212962966</v>
      </c>
      <c r="C581" s="11">
        <v>0.91921296296296295</v>
      </c>
      <c r="D581" s="12">
        <v>4</v>
      </c>
      <c r="E581" s="13" t="s">
        <v>3041</v>
      </c>
      <c r="F581">
        <f t="shared" si="11"/>
        <v>30</v>
      </c>
      <c r="G581">
        <v>23</v>
      </c>
      <c r="H581">
        <v>5</v>
      </c>
      <c r="I581">
        <v>28</v>
      </c>
      <c r="J581" s="67">
        <v>7</v>
      </c>
    </row>
    <row r="582" spans="1:10">
      <c r="A582">
        <v>581</v>
      </c>
      <c r="B582" s="10">
        <v>42457.919259259259</v>
      </c>
      <c r="C582" s="11">
        <v>0.91925925925925922</v>
      </c>
      <c r="D582" s="12">
        <v>4</v>
      </c>
      <c r="E582" s="13" t="s">
        <v>3041</v>
      </c>
      <c r="F582">
        <f t="shared" si="11"/>
        <v>30</v>
      </c>
      <c r="G582">
        <v>35</v>
      </c>
      <c r="H582">
        <v>4</v>
      </c>
      <c r="I582">
        <v>39</v>
      </c>
      <c r="J582" s="67">
        <v>-5</v>
      </c>
    </row>
    <row r="583" spans="1:10">
      <c r="A583">
        <v>582</v>
      </c>
      <c r="B583" s="10">
        <v>42457.919293981482</v>
      </c>
      <c r="C583" s="11">
        <v>0.91929398148148145</v>
      </c>
      <c r="D583" s="12">
        <v>4</v>
      </c>
      <c r="E583" s="13" t="s">
        <v>3041</v>
      </c>
      <c r="F583">
        <f t="shared" si="11"/>
        <v>30</v>
      </c>
      <c r="G583">
        <v>35</v>
      </c>
      <c r="H583">
        <v>1</v>
      </c>
      <c r="I583">
        <v>36</v>
      </c>
      <c r="J583" s="67">
        <v>-5</v>
      </c>
    </row>
    <row r="584" spans="1:10">
      <c r="A584">
        <v>583</v>
      </c>
      <c r="B584" s="10">
        <v>42457.919317129628</v>
      </c>
      <c r="C584" s="11">
        <v>0.91931712962962964</v>
      </c>
      <c r="D584" s="12">
        <v>4</v>
      </c>
      <c r="E584" s="13" t="s">
        <v>3041</v>
      </c>
      <c r="F584">
        <f t="shared" si="11"/>
        <v>30</v>
      </c>
      <c r="G584">
        <v>35</v>
      </c>
      <c r="H584">
        <v>2</v>
      </c>
      <c r="I584">
        <v>37</v>
      </c>
      <c r="J584" s="67">
        <v>-5</v>
      </c>
    </row>
    <row r="585" spans="1:10" ht="15" thickBot="1">
      <c r="A585">
        <v>584</v>
      </c>
      <c r="B585" s="14">
        <v>42457.919340277775</v>
      </c>
      <c r="C585" s="15">
        <v>0.91934027777777783</v>
      </c>
      <c r="D585" s="16">
        <v>4</v>
      </c>
      <c r="E585" s="17" t="s">
        <v>3041</v>
      </c>
      <c r="F585">
        <f t="shared" si="11"/>
        <v>30</v>
      </c>
      <c r="G585">
        <v>24</v>
      </c>
      <c r="H585">
        <v>2</v>
      </c>
      <c r="I585">
        <v>26</v>
      </c>
      <c r="J585" s="67">
        <v>6</v>
      </c>
    </row>
    <row r="586" spans="1:10">
      <c r="A586">
        <v>585</v>
      </c>
      <c r="B586" s="6">
        <v>42458.259305555555</v>
      </c>
      <c r="C586" s="7">
        <v>0.25930555555555557</v>
      </c>
      <c r="D586" s="8">
        <v>1</v>
      </c>
      <c r="E586" s="9" t="s">
        <v>3041</v>
      </c>
      <c r="F586">
        <f t="shared" si="11"/>
        <v>30</v>
      </c>
      <c r="G586">
        <v>2</v>
      </c>
      <c r="H586">
        <v>2</v>
      </c>
      <c r="I586">
        <v>4</v>
      </c>
      <c r="J586" s="67">
        <v>28</v>
      </c>
    </row>
    <row r="587" spans="1:10">
      <c r="A587">
        <v>586</v>
      </c>
      <c r="B587" s="10">
        <v>42458.340150462966</v>
      </c>
      <c r="C587" s="11">
        <v>0.34015046296296297</v>
      </c>
      <c r="D587" s="12">
        <v>1</v>
      </c>
      <c r="E587" s="13" t="s">
        <v>3041</v>
      </c>
      <c r="F587">
        <f t="shared" si="11"/>
        <v>30</v>
      </c>
      <c r="G587">
        <v>26</v>
      </c>
      <c r="H587">
        <v>5</v>
      </c>
      <c r="I587">
        <v>31</v>
      </c>
      <c r="J587" s="67">
        <v>4</v>
      </c>
    </row>
    <row r="588" spans="1:10">
      <c r="A588">
        <v>587</v>
      </c>
      <c r="B588" s="10">
        <v>42458.34034722222</v>
      </c>
      <c r="C588" s="11">
        <v>0.34034722222222225</v>
      </c>
      <c r="D588" s="12">
        <v>3</v>
      </c>
      <c r="E588" s="13" t="s">
        <v>3041</v>
      </c>
      <c r="F588">
        <f t="shared" si="11"/>
        <v>30</v>
      </c>
      <c r="G588">
        <v>27</v>
      </c>
      <c r="H588">
        <v>4</v>
      </c>
      <c r="I588">
        <v>31</v>
      </c>
      <c r="J588" s="67">
        <v>3</v>
      </c>
    </row>
    <row r="589" spans="1:10">
      <c r="A589">
        <v>588</v>
      </c>
      <c r="B589" s="10">
        <v>42458.340381944443</v>
      </c>
      <c r="C589" s="11">
        <v>0.34038194444444442</v>
      </c>
      <c r="D589" s="12">
        <v>3</v>
      </c>
      <c r="E589" s="13" t="s">
        <v>3041</v>
      </c>
      <c r="F589">
        <f t="shared" si="11"/>
        <v>30</v>
      </c>
      <c r="G589">
        <v>16</v>
      </c>
      <c r="H589">
        <v>4</v>
      </c>
      <c r="I589">
        <v>20</v>
      </c>
      <c r="J589" s="67">
        <v>14</v>
      </c>
    </row>
    <row r="590" spans="1:10">
      <c r="A590">
        <v>589</v>
      </c>
      <c r="B590" s="10">
        <v>42458.340405092589</v>
      </c>
      <c r="C590" s="11">
        <v>0.34040509259259261</v>
      </c>
      <c r="D590" s="12">
        <v>3</v>
      </c>
      <c r="E590" s="13" t="s">
        <v>3041</v>
      </c>
      <c r="F590">
        <f t="shared" si="11"/>
        <v>30</v>
      </c>
      <c r="G590">
        <v>23</v>
      </c>
      <c r="H590">
        <v>4</v>
      </c>
      <c r="I590">
        <v>27</v>
      </c>
      <c r="J590" s="67">
        <v>7</v>
      </c>
    </row>
    <row r="591" spans="1:10">
      <c r="A591">
        <v>590</v>
      </c>
      <c r="B591" s="10">
        <v>42458.340428240743</v>
      </c>
      <c r="C591" s="11">
        <v>0.34042824074074074</v>
      </c>
      <c r="D591" s="12">
        <v>3</v>
      </c>
      <c r="E591" s="13" t="s">
        <v>3041</v>
      </c>
      <c r="F591">
        <f t="shared" si="11"/>
        <v>30</v>
      </c>
      <c r="G591">
        <v>4</v>
      </c>
      <c r="H591">
        <v>3</v>
      </c>
      <c r="I591">
        <v>7</v>
      </c>
      <c r="J591" s="67">
        <v>26</v>
      </c>
    </row>
    <row r="592" spans="1:10">
      <c r="A592">
        <v>591</v>
      </c>
      <c r="B592" s="10">
        <v>42458.340439814812</v>
      </c>
      <c r="C592" s="11">
        <v>0.34043981481481483</v>
      </c>
      <c r="D592" s="12">
        <v>3</v>
      </c>
      <c r="E592" s="13" t="s">
        <v>3041</v>
      </c>
      <c r="F592">
        <f t="shared" si="11"/>
        <v>30</v>
      </c>
      <c r="G592">
        <v>28</v>
      </c>
      <c r="H592">
        <v>5</v>
      </c>
      <c r="I592">
        <v>33</v>
      </c>
      <c r="J592" s="67">
        <v>2</v>
      </c>
    </row>
    <row r="593" spans="1:10" ht="15" thickBot="1">
      <c r="A593">
        <v>592</v>
      </c>
      <c r="B593" s="14">
        <v>42458.340451388889</v>
      </c>
      <c r="C593" s="15">
        <v>0.34045138888888887</v>
      </c>
      <c r="D593" s="16">
        <v>3</v>
      </c>
      <c r="E593" s="17" t="s">
        <v>3041</v>
      </c>
      <c r="F593">
        <f t="shared" si="11"/>
        <v>30</v>
      </c>
      <c r="G593">
        <v>20</v>
      </c>
      <c r="H593">
        <v>2</v>
      </c>
      <c r="I593">
        <v>22</v>
      </c>
      <c r="J593" s="67">
        <v>10</v>
      </c>
    </row>
    <row r="594" spans="1:10">
      <c r="A594">
        <v>593</v>
      </c>
      <c r="B594" s="6">
        <v>42458.581875000003</v>
      </c>
      <c r="C594" s="7">
        <v>0.58187500000000003</v>
      </c>
      <c r="D594" s="8">
        <v>4</v>
      </c>
      <c r="E594" s="9" t="s">
        <v>3032</v>
      </c>
      <c r="F594">
        <f t="shared" si="11"/>
        <v>30</v>
      </c>
      <c r="G594">
        <v>27</v>
      </c>
      <c r="H594">
        <v>3</v>
      </c>
      <c r="I594">
        <v>30</v>
      </c>
      <c r="J594" s="67">
        <v>3</v>
      </c>
    </row>
    <row r="595" spans="1:10">
      <c r="A595">
        <v>594</v>
      </c>
      <c r="B595" s="10">
        <v>42458.58189814815</v>
      </c>
      <c r="C595" s="11">
        <v>0.58189814814814811</v>
      </c>
      <c r="D595" s="12">
        <v>4</v>
      </c>
      <c r="E595" s="13" t="s">
        <v>3032</v>
      </c>
      <c r="F595">
        <f t="shared" si="11"/>
        <v>30</v>
      </c>
      <c r="G595">
        <v>35</v>
      </c>
      <c r="H595">
        <v>5</v>
      </c>
      <c r="I595">
        <v>40</v>
      </c>
      <c r="J595" s="67">
        <v>-5</v>
      </c>
    </row>
    <row r="596" spans="1:10">
      <c r="A596">
        <v>595</v>
      </c>
      <c r="B596" s="10">
        <v>42458.581909722219</v>
      </c>
      <c r="C596" s="11">
        <v>0.58190972222222226</v>
      </c>
      <c r="D596" s="12">
        <v>3</v>
      </c>
      <c r="E596" s="13" t="s">
        <v>3032</v>
      </c>
      <c r="F596">
        <f t="shared" si="11"/>
        <v>30</v>
      </c>
      <c r="G596">
        <v>35</v>
      </c>
      <c r="H596">
        <v>5</v>
      </c>
      <c r="I596">
        <v>40</v>
      </c>
      <c r="J596" s="67">
        <v>-5</v>
      </c>
    </row>
    <row r="597" spans="1:10">
      <c r="A597">
        <v>596</v>
      </c>
      <c r="B597" s="10">
        <v>42458.581932870373</v>
      </c>
      <c r="C597" s="11">
        <v>0.58193287037037034</v>
      </c>
      <c r="D597" s="12">
        <v>3</v>
      </c>
      <c r="E597" s="13" t="s">
        <v>3032</v>
      </c>
      <c r="F597">
        <f t="shared" si="11"/>
        <v>30</v>
      </c>
      <c r="G597">
        <v>21</v>
      </c>
      <c r="H597">
        <v>2</v>
      </c>
      <c r="I597">
        <v>23</v>
      </c>
      <c r="J597" s="67">
        <v>9</v>
      </c>
    </row>
    <row r="598" spans="1:10">
      <c r="A598">
        <v>597</v>
      </c>
      <c r="B598" s="10">
        <v>42458.772893518515</v>
      </c>
      <c r="C598" s="11">
        <v>0.77289351851851851</v>
      </c>
      <c r="D598" s="12">
        <v>3</v>
      </c>
      <c r="E598" s="13" t="s">
        <v>3056</v>
      </c>
      <c r="F598">
        <f t="shared" si="11"/>
        <v>30</v>
      </c>
      <c r="G598">
        <v>35</v>
      </c>
      <c r="H598">
        <v>4</v>
      </c>
      <c r="I598">
        <v>39</v>
      </c>
      <c r="J598" s="67">
        <v>-5</v>
      </c>
    </row>
    <row r="599" spans="1:10">
      <c r="A599">
        <v>598</v>
      </c>
      <c r="B599" s="10">
        <v>42458.794918981483</v>
      </c>
      <c r="C599" s="11">
        <v>0.79491898148148143</v>
      </c>
      <c r="D599" s="12">
        <v>3</v>
      </c>
      <c r="E599" s="13" t="s">
        <v>3056</v>
      </c>
      <c r="F599">
        <f t="shared" si="11"/>
        <v>30</v>
      </c>
      <c r="G599">
        <v>35</v>
      </c>
      <c r="H599">
        <v>7</v>
      </c>
      <c r="I599">
        <v>42</v>
      </c>
      <c r="J599" s="67">
        <v>-5</v>
      </c>
    </row>
    <row r="600" spans="1:10">
      <c r="A600">
        <v>599</v>
      </c>
      <c r="B600" s="10">
        <v>42458.581990740742</v>
      </c>
      <c r="C600" s="11">
        <v>0.58199074074074075</v>
      </c>
      <c r="D600" s="12">
        <v>4</v>
      </c>
      <c r="E600" s="13" t="s">
        <v>3032</v>
      </c>
      <c r="F600">
        <f t="shared" si="11"/>
        <v>30</v>
      </c>
      <c r="G600">
        <v>9</v>
      </c>
      <c r="H600">
        <v>1</v>
      </c>
      <c r="I600">
        <v>10</v>
      </c>
      <c r="J600" s="67">
        <v>21</v>
      </c>
    </row>
    <row r="601" spans="1:10" ht="15" thickBot="1">
      <c r="A601">
        <v>600</v>
      </c>
      <c r="B601" s="14">
        <v>42458.582013888888</v>
      </c>
      <c r="C601" s="15">
        <v>0.58201388888888894</v>
      </c>
      <c r="D601" s="16">
        <v>4</v>
      </c>
      <c r="E601" s="17" t="s">
        <v>3032</v>
      </c>
      <c r="F601">
        <f t="shared" si="11"/>
        <v>30</v>
      </c>
      <c r="G601">
        <v>17</v>
      </c>
      <c r="H601">
        <v>4</v>
      </c>
      <c r="I601">
        <v>21</v>
      </c>
      <c r="J601" s="67">
        <v>13</v>
      </c>
    </row>
    <row r="602" spans="1:10">
      <c r="A602">
        <v>601</v>
      </c>
      <c r="B602" s="6">
        <v>42458.915972222225</v>
      </c>
      <c r="C602" s="7">
        <v>0.91597222222222219</v>
      </c>
      <c r="D602" s="8">
        <v>4</v>
      </c>
      <c r="E602" s="9" t="s">
        <v>3041</v>
      </c>
      <c r="F602">
        <f t="shared" si="11"/>
        <v>30</v>
      </c>
      <c r="G602">
        <v>0</v>
      </c>
      <c r="H602">
        <v>0</v>
      </c>
      <c r="I602">
        <v>0</v>
      </c>
      <c r="J602" s="67">
        <v>30</v>
      </c>
    </row>
    <row r="603" spans="1:10">
      <c r="A603">
        <v>602</v>
      </c>
      <c r="B603" s="10">
        <v>42458.916006944448</v>
      </c>
      <c r="C603" s="11">
        <v>0.91600694444444442</v>
      </c>
      <c r="D603" s="12">
        <v>4</v>
      </c>
      <c r="E603" s="13" t="s">
        <v>3041</v>
      </c>
      <c r="F603">
        <f t="shared" si="11"/>
        <v>30</v>
      </c>
      <c r="G603">
        <v>11</v>
      </c>
      <c r="H603">
        <v>1</v>
      </c>
      <c r="I603">
        <v>12</v>
      </c>
      <c r="J603" s="67">
        <v>19</v>
      </c>
    </row>
    <row r="604" spans="1:10">
      <c r="A604">
        <v>603</v>
      </c>
      <c r="B604" s="10">
        <v>42458.916041666664</v>
      </c>
      <c r="C604" s="11">
        <v>0.91604166666666664</v>
      </c>
      <c r="D604" s="12">
        <v>4</v>
      </c>
      <c r="E604" s="13" t="s">
        <v>3041</v>
      </c>
      <c r="F604">
        <f t="shared" si="11"/>
        <v>30</v>
      </c>
      <c r="G604">
        <v>35</v>
      </c>
      <c r="H604">
        <v>8</v>
      </c>
      <c r="I604">
        <v>43</v>
      </c>
      <c r="J604" s="67">
        <v>-5</v>
      </c>
    </row>
    <row r="605" spans="1:10">
      <c r="A605">
        <v>604</v>
      </c>
      <c r="B605" s="10">
        <v>42458.916064814817</v>
      </c>
      <c r="C605" s="11">
        <v>0.91606481481481483</v>
      </c>
      <c r="D605" s="12">
        <v>4</v>
      </c>
      <c r="E605" s="13" t="s">
        <v>3041</v>
      </c>
      <c r="F605">
        <f t="shared" si="11"/>
        <v>30</v>
      </c>
      <c r="G605">
        <v>24</v>
      </c>
      <c r="H605">
        <v>2</v>
      </c>
      <c r="I605">
        <v>26</v>
      </c>
      <c r="J605" s="67">
        <v>6</v>
      </c>
    </row>
    <row r="606" spans="1:10">
      <c r="A606">
        <v>605</v>
      </c>
      <c r="B606" s="10">
        <v>42458.916087962964</v>
      </c>
      <c r="C606" s="11">
        <v>0.91608796296296291</v>
      </c>
      <c r="D606" s="12">
        <v>4</v>
      </c>
      <c r="E606" s="13" t="s">
        <v>3041</v>
      </c>
      <c r="F606">
        <f t="shared" si="11"/>
        <v>30</v>
      </c>
      <c r="G606">
        <v>35</v>
      </c>
      <c r="H606">
        <v>3</v>
      </c>
      <c r="I606">
        <v>38</v>
      </c>
      <c r="J606" s="67">
        <v>-5</v>
      </c>
    </row>
    <row r="607" spans="1:10">
      <c r="A607">
        <v>606</v>
      </c>
      <c r="B607" s="10">
        <v>42458.91611111111</v>
      </c>
      <c r="C607" s="11">
        <v>0.9161111111111111</v>
      </c>
      <c r="D607" s="12">
        <v>4</v>
      </c>
      <c r="E607" s="13" t="s">
        <v>3041</v>
      </c>
      <c r="F607">
        <f t="shared" si="11"/>
        <v>30</v>
      </c>
      <c r="G607">
        <v>35</v>
      </c>
      <c r="H607">
        <v>3</v>
      </c>
      <c r="I607">
        <v>38</v>
      </c>
      <c r="J607" s="67">
        <v>-5</v>
      </c>
    </row>
    <row r="608" spans="1:10">
      <c r="A608">
        <v>607</v>
      </c>
      <c r="B608" s="10">
        <v>42458.916145833333</v>
      </c>
      <c r="C608" s="11">
        <v>0.91614583333333333</v>
      </c>
      <c r="D608" s="12">
        <v>4</v>
      </c>
      <c r="E608" s="13" t="s">
        <v>3041</v>
      </c>
      <c r="F608">
        <f t="shared" si="11"/>
        <v>30</v>
      </c>
      <c r="G608">
        <v>30</v>
      </c>
      <c r="H608">
        <v>3</v>
      </c>
      <c r="I608">
        <v>33</v>
      </c>
      <c r="J608" s="67">
        <v>0</v>
      </c>
    </row>
    <row r="609" spans="1:10" ht="15" thickBot="1">
      <c r="A609">
        <v>608</v>
      </c>
      <c r="B609" s="14">
        <v>42458.916180555556</v>
      </c>
      <c r="C609" s="15">
        <v>0.91618055555555555</v>
      </c>
      <c r="D609" s="16">
        <v>4</v>
      </c>
      <c r="E609" s="17" t="s">
        <v>3041</v>
      </c>
      <c r="F609">
        <f t="shared" si="11"/>
        <v>30</v>
      </c>
      <c r="G609">
        <v>31</v>
      </c>
      <c r="H609">
        <v>2</v>
      </c>
      <c r="I609">
        <v>33</v>
      </c>
      <c r="J609" s="67">
        <v>-1</v>
      </c>
    </row>
    <row r="610" spans="1:10">
      <c r="A610">
        <v>609</v>
      </c>
      <c r="B610" s="6">
        <v>42459.250405092593</v>
      </c>
      <c r="C610" s="7">
        <v>0.25040509259259258</v>
      </c>
      <c r="D610" s="8">
        <v>3</v>
      </c>
      <c r="E610" s="9" t="s">
        <v>3041</v>
      </c>
      <c r="F610">
        <f t="shared" si="11"/>
        <v>30</v>
      </c>
      <c r="G610">
        <v>23</v>
      </c>
      <c r="H610">
        <v>4</v>
      </c>
      <c r="I610">
        <v>27</v>
      </c>
      <c r="J610" s="67">
        <v>7</v>
      </c>
    </row>
    <row r="611" spans="1:10">
      <c r="A611">
        <v>610</v>
      </c>
      <c r="B611" s="10">
        <v>42459.250428240739</v>
      </c>
      <c r="C611" s="11">
        <v>0.25042824074074072</v>
      </c>
      <c r="D611" s="12">
        <v>3</v>
      </c>
      <c r="E611" s="13" t="s">
        <v>3041</v>
      </c>
      <c r="F611">
        <f t="shared" si="11"/>
        <v>30</v>
      </c>
      <c r="G611">
        <v>26</v>
      </c>
      <c r="H611">
        <v>4</v>
      </c>
      <c r="I611">
        <v>30</v>
      </c>
      <c r="J611" s="67">
        <v>4</v>
      </c>
    </row>
    <row r="612" spans="1:10">
      <c r="A612">
        <v>611</v>
      </c>
      <c r="B612" s="10">
        <v>42459.250451388885</v>
      </c>
      <c r="C612" s="11">
        <v>0.2504513888888889</v>
      </c>
      <c r="D612" s="12">
        <v>3</v>
      </c>
      <c r="E612" s="13" t="s">
        <v>3041</v>
      </c>
      <c r="F612">
        <f t="shared" si="11"/>
        <v>30</v>
      </c>
      <c r="G612">
        <v>25</v>
      </c>
      <c r="H612">
        <v>7</v>
      </c>
      <c r="I612">
        <v>32</v>
      </c>
      <c r="J612" s="67">
        <v>5</v>
      </c>
    </row>
    <row r="613" spans="1:10">
      <c r="A613">
        <v>612</v>
      </c>
      <c r="B613" s="10">
        <v>42459.250486111108</v>
      </c>
      <c r="C613" s="11">
        <v>0.25048611111111113</v>
      </c>
      <c r="D613" s="12">
        <v>3</v>
      </c>
      <c r="E613" s="13" t="s">
        <v>3041</v>
      </c>
      <c r="F613">
        <f t="shared" si="11"/>
        <v>30</v>
      </c>
      <c r="G613">
        <v>13</v>
      </c>
      <c r="H613">
        <v>5</v>
      </c>
      <c r="I613">
        <v>18</v>
      </c>
      <c r="J613" s="67">
        <v>17</v>
      </c>
    </row>
    <row r="614" spans="1:10">
      <c r="A614">
        <v>613</v>
      </c>
      <c r="B614" s="10">
        <v>42459.250532407408</v>
      </c>
      <c r="C614" s="11">
        <v>0.2505324074074074</v>
      </c>
      <c r="D614" s="12">
        <v>3</v>
      </c>
      <c r="E614" s="13" t="s">
        <v>3041</v>
      </c>
      <c r="F614">
        <f t="shared" si="11"/>
        <v>30</v>
      </c>
      <c r="G614">
        <v>11</v>
      </c>
      <c r="H614">
        <v>11</v>
      </c>
      <c r="I614">
        <v>22</v>
      </c>
      <c r="J614" s="67">
        <v>19</v>
      </c>
    </row>
    <row r="615" spans="1:10">
      <c r="A615">
        <v>614</v>
      </c>
      <c r="B615" s="10">
        <v>42459.250601851854</v>
      </c>
      <c r="C615" s="11">
        <v>0.25060185185185185</v>
      </c>
      <c r="D615" s="12">
        <v>3</v>
      </c>
      <c r="E615" s="13" t="s">
        <v>3041</v>
      </c>
      <c r="F615">
        <f t="shared" si="11"/>
        <v>30</v>
      </c>
      <c r="G615">
        <v>25</v>
      </c>
      <c r="H615">
        <v>8</v>
      </c>
      <c r="I615">
        <v>33</v>
      </c>
      <c r="J615" s="67">
        <v>5</v>
      </c>
    </row>
    <row r="616" spans="1:10">
      <c r="A616">
        <v>615</v>
      </c>
      <c r="B616" s="10">
        <v>42459.250625000001</v>
      </c>
      <c r="C616" s="11">
        <v>0.25062499999999999</v>
      </c>
      <c r="D616" s="12">
        <v>3</v>
      </c>
      <c r="E616" s="13" t="s">
        <v>3041</v>
      </c>
      <c r="F616">
        <f t="shared" si="11"/>
        <v>30</v>
      </c>
      <c r="G616">
        <v>11</v>
      </c>
      <c r="H616">
        <v>4</v>
      </c>
      <c r="I616">
        <v>15</v>
      </c>
      <c r="J616" s="67">
        <v>19</v>
      </c>
    </row>
    <row r="617" spans="1:10" ht="15" thickBot="1">
      <c r="A617">
        <v>616</v>
      </c>
      <c r="B617" s="14">
        <v>42459.250648148147</v>
      </c>
      <c r="C617" s="15">
        <v>0.25064814814814818</v>
      </c>
      <c r="D617" s="16">
        <v>3</v>
      </c>
      <c r="E617" s="17" t="s">
        <v>3041</v>
      </c>
      <c r="F617">
        <f t="shared" si="11"/>
        <v>30</v>
      </c>
      <c r="G617">
        <v>15</v>
      </c>
      <c r="H617">
        <v>6</v>
      </c>
      <c r="I617">
        <v>21</v>
      </c>
      <c r="J617" s="67">
        <v>15</v>
      </c>
    </row>
    <row r="618" spans="1:10">
      <c r="A618">
        <v>617</v>
      </c>
      <c r="B618" s="6">
        <v>42459.583148148151</v>
      </c>
      <c r="C618" s="7">
        <v>0.58314814814814819</v>
      </c>
      <c r="D618" s="8">
        <v>4</v>
      </c>
      <c r="E618" s="9" t="s">
        <v>3032</v>
      </c>
      <c r="F618">
        <f t="shared" si="11"/>
        <v>30</v>
      </c>
      <c r="G618">
        <v>31</v>
      </c>
      <c r="H618">
        <v>5</v>
      </c>
      <c r="I618">
        <v>36</v>
      </c>
      <c r="J618" s="67">
        <v>-1</v>
      </c>
    </row>
    <row r="619" spans="1:10">
      <c r="A619">
        <v>618</v>
      </c>
      <c r="B619" s="10">
        <v>42459.583171296297</v>
      </c>
      <c r="C619" s="11">
        <v>0.58317129629629627</v>
      </c>
      <c r="D619" s="12">
        <v>4</v>
      </c>
      <c r="E619" s="13" t="s">
        <v>3032</v>
      </c>
      <c r="F619">
        <f t="shared" si="11"/>
        <v>30</v>
      </c>
      <c r="G619">
        <v>35</v>
      </c>
      <c r="H619">
        <v>3</v>
      </c>
      <c r="I619">
        <v>38</v>
      </c>
      <c r="J619" s="67">
        <v>-5</v>
      </c>
    </row>
    <row r="620" spans="1:10">
      <c r="A620">
        <v>619</v>
      </c>
      <c r="B620" s="10">
        <v>42459.583194444444</v>
      </c>
      <c r="C620" s="11">
        <v>0.58319444444444446</v>
      </c>
      <c r="D620" s="12">
        <v>4</v>
      </c>
      <c r="E620" s="13" t="s">
        <v>3032</v>
      </c>
      <c r="F620">
        <f t="shared" si="11"/>
        <v>30</v>
      </c>
      <c r="G620">
        <v>34</v>
      </c>
      <c r="H620">
        <v>8</v>
      </c>
      <c r="I620">
        <v>42</v>
      </c>
      <c r="J620" s="67">
        <v>-4</v>
      </c>
    </row>
    <row r="621" spans="1:10">
      <c r="A621">
        <v>620</v>
      </c>
      <c r="B621" s="10">
        <v>42459.58320601852</v>
      </c>
      <c r="C621" s="11">
        <v>0.5832060185185185</v>
      </c>
      <c r="D621" s="12">
        <v>4</v>
      </c>
      <c r="E621" s="13" t="s">
        <v>3032</v>
      </c>
      <c r="F621">
        <f t="shared" si="11"/>
        <v>30</v>
      </c>
      <c r="G621">
        <v>13</v>
      </c>
      <c r="H621">
        <v>9</v>
      </c>
      <c r="I621">
        <v>22</v>
      </c>
      <c r="J621" s="67">
        <v>17</v>
      </c>
    </row>
    <row r="622" spans="1:10">
      <c r="A622">
        <v>621</v>
      </c>
      <c r="B622" s="10">
        <v>42459.583275462966</v>
      </c>
      <c r="C622" s="11">
        <v>0.58327546296296295</v>
      </c>
      <c r="D622" s="12">
        <v>4</v>
      </c>
      <c r="E622" s="13" t="s">
        <v>3032</v>
      </c>
      <c r="F622">
        <f t="shared" si="11"/>
        <v>30</v>
      </c>
      <c r="G622">
        <v>17</v>
      </c>
      <c r="H622">
        <v>17</v>
      </c>
      <c r="I622">
        <v>34</v>
      </c>
      <c r="J622" s="67">
        <v>13</v>
      </c>
    </row>
    <row r="623" spans="1:10">
      <c r="A623">
        <v>622</v>
      </c>
      <c r="B623" s="10">
        <v>42459.583252314813</v>
      </c>
      <c r="C623" s="11">
        <v>0.58325231481481477</v>
      </c>
      <c r="D623" s="12">
        <v>4</v>
      </c>
      <c r="E623" s="13" t="s">
        <v>3032</v>
      </c>
      <c r="F623">
        <f t="shared" si="11"/>
        <v>30</v>
      </c>
      <c r="G623">
        <v>11</v>
      </c>
      <c r="H623">
        <v>11</v>
      </c>
      <c r="I623">
        <v>22</v>
      </c>
      <c r="J623" s="67">
        <v>19</v>
      </c>
    </row>
    <row r="624" spans="1:10">
      <c r="A624">
        <v>623</v>
      </c>
      <c r="B624" s="10">
        <v>42459.583298611113</v>
      </c>
      <c r="C624" s="11">
        <v>0.58329861111111114</v>
      </c>
      <c r="D624" s="12">
        <v>4</v>
      </c>
      <c r="E624" s="13" t="s">
        <v>3032</v>
      </c>
      <c r="F624">
        <f t="shared" si="11"/>
        <v>30</v>
      </c>
      <c r="G624">
        <v>19</v>
      </c>
      <c r="H624">
        <v>2</v>
      </c>
      <c r="I624">
        <v>21</v>
      </c>
      <c r="J624" s="67">
        <v>11</v>
      </c>
    </row>
    <row r="625" spans="1:10" ht="15" thickBot="1">
      <c r="A625">
        <v>624</v>
      </c>
      <c r="B625" s="14">
        <v>42459.583321759259</v>
      </c>
      <c r="C625" s="15">
        <v>0.58332175925925922</v>
      </c>
      <c r="D625" s="16">
        <v>4</v>
      </c>
      <c r="E625" s="17" t="s">
        <v>3032</v>
      </c>
      <c r="F625">
        <f t="shared" si="11"/>
        <v>30</v>
      </c>
      <c r="G625">
        <v>27</v>
      </c>
      <c r="H625">
        <v>3</v>
      </c>
      <c r="I625">
        <v>30</v>
      </c>
      <c r="J625" s="67">
        <v>3</v>
      </c>
    </row>
    <row r="626" spans="1:10">
      <c r="A626">
        <v>625</v>
      </c>
      <c r="B626" s="6">
        <v>42459.916458333333</v>
      </c>
      <c r="C626" s="7">
        <v>0.91645833333333337</v>
      </c>
      <c r="D626" s="8">
        <v>4</v>
      </c>
      <c r="E626" s="9" t="s">
        <v>3041</v>
      </c>
      <c r="F626">
        <f t="shared" si="11"/>
        <v>30</v>
      </c>
      <c r="G626">
        <v>30</v>
      </c>
      <c r="H626">
        <v>7</v>
      </c>
      <c r="I626">
        <v>37</v>
      </c>
      <c r="J626" s="67">
        <v>0</v>
      </c>
    </row>
    <row r="627" spans="1:10">
      <c r="A627">
        <v>626</v>
      </c>
      <c r="B627" s="10">
        <v>42459.916493055556</v>
      </c>
      <c r="C627" s="11">
        <v>0.9164930555555556</v>
      </c>
      <c r="D627" s="12">
        <v>4</v>
      </c>
      <c r="E627" s="13" t="s">
        <v>3041</v>
      </c>
      <c r="F627">
        <f t="shared" si="11"/>
        <v>30</v>
      </c>
      <c r="G627">
        <v>35</v>
      </c>
      <c r="H627">
        <v>5</v>
      </c>
      <c r="I627">
        <v>40</v>
      </c>
      <c r="J627" s="67">
        <v>-5</v>
      </c>
    </row>
    <row r="628" spans="1:10">
      <c r="A628">
        <v>627</v>
      </c>
      <c r="B628" s="10">
        <v>42459.916585648149</v>
      </c>
      <c r="C628" s="11">
        <v>0.91658564814814814</v>
      </c>
      <c r="D628" s="12">
        <v>4</v>
      </c>
      <c r="E628" s="13" t="s">
        <v>3041</v>
      </c>
      <c r="F628">
        <f t="shared" si="11"/>
        <v>30</v>
      </c>
      <c r="G628">
        <v>35</v>
      </c>
      <c r="H628">
        <v>6</v>
      </c>
      <c r="I628">
        <v>41</v>
      </c>
      <c r="J628" s="67">
        <v>-5</v>
      </c>
    </row>
    <row r="629" spans="1:10">
      <c r="A629">
        <v>628</v>
      </c>
      <c r="B629" s="10">
        <v>42459.916608796295</v>
      </c>
      <c r="C629" s="11">
        <v>0.91660879629629632</v>
      </c>
      <c r="D629" s="12">
        <v>4</v>
      </c>
      <c r="E629" s="13" t="s">
        <v>3041</v>
      </c>
      <c r="F629">
        <f t="shared" si="11"/>
        <v>30</v>
      </c>
      <c r="G629">
        <v>24</v>
      </c>
      <c r="H629">
        <v>4</v>
      </c>
      <c r="I629">
        <v>28</v>
      </c>
      <c r="J629" s="67">
        <v>6</v>
      </c>
    </row>
    <row r="630" spans="1:10">
      <c r="A630">
        <v>629</v>
      </c>
      <c r="B630" s="10">
        <v>42459.916643518518</v>
      </c>
      <c r="C630" s="11">
        <v>0.91664351851851855</v>
      </c>
      <c r="D630" s="12">
        <v>4</v>
      </c>
      <c r="E630" s="13" t="s">
        <v>3041</v>
      </c>
      <c r="F630">
        <f t="shared" si="11"/>
        <v>30</v>
      </c>
      <c r="G630">
        <v>30</v>
      </c>
      <c r="H630">
        <v>9</v>
      </c>
      <c r="I630">
        <v>39</v>
      </c>
      <c r="J630" s="67">
        <v>0</v>
      </c>
    </row>
    <row r="631" spans="1:10">
      <c r="A631">
        <v>630</v>
      </c>
      <c r="B631" s="10">
        <v>42459.916678240741</v>
      </c>
      <c r="C631" s="11">
        <v>0.91667824074074078</v>
      </c>
      <c r="D631" s="12">
        <v>4</v>
      </c>
      <c r="E631" s="13" t="s">
        <v>3041</v>
      </c>
      <c r="F631">
        <f t="shared" si="11"/>
        <v>30</v>
      </c>
      <c r="G631">
        <v>8</v>
      </c>
      <c r="H631">
        <v>8</v>
      </c>
      <c r="I631">
        <v>16</v>
      </c>
      <c r="J631" s="67">
        <v>22</v>
      </c>
    </row>
    <row r="632" spans="1:10">
      <c r="A632">
        <v>631</v>
      </c>
      <c r="B632" s="10">
        <v>42459.916701388887</v>
      </c>
      <c r="C632" s="11">
        <v>0.91670138888888886</v>
      </c>
      <c r="D632" s="12">
        <v>4</v>
      </c>
      <c r="E632" s="13" t="s">
        <v>3041</v>
      </c>
      <c r="F632">
        <f t="shared" si="11"/>
        <v>30</v>
      </c>
      <c r="G632">
        <v>7</v>
      </c>
      <c r="H632">
        <v>5</v>
      </c>
      <c r="I632">
        <v>12</v>
      </c>
      <c r="J632" s="67">
        <v>23</v>
      </c>
    </row>
    <row r="633" spans="1:10" ht="15" thickBot="1">
      <c r="A633">
        <v>632</v>
      </c>
      <c r="B633" s="14">
        <v>42459.91673611111</v>
      </c>
      <c r="C633" s="15">
        <v>0.91673611111111108</v>
      </c>
      <c r="D633" s="16">
        <v>4</v>
      </c>
      <c r="E633" s="17" t="s">
        <v>3041</v>
      </c>
      <c r="F633">
        <f t="shared" si="11"/>
        <v>30</v>
      </c>
      <c r="G633">
        <v>0</v>
      </c>
      <c r="H633">
        <v>0</v>
      </c>
      <c r="I633">
        <v>0</v>
      </c>
      <c r="J633" s="67">
        <v>30</v>
      </c>
    </row>
    <row r="634" spans="1:10">
      <c r="A634">
        <v>633</v>
      </c>
      <c r="B634" s="6">
        <v>42460.251250000001</v>
      </c>
      <c r="C634" s="7">
        <v>0.25124999999999997</v>
      </c>
      <c r="D634" s="8">
        <v>3</v>
      </c>
      <c r="E634" s="9" t="s">
        <v>3041</v>
      </c>
      <c r="F634">
        <f t="shared" si="11"/>
        <v>30</v>
      </c>
      <c r="G634">
        <v>0</v>
      </c>
      <c r="H634">
        <v>0</v>
      </c>
      <c r="I634">
        <v>0</v>
      </c>
      <c r="J634" s="67">
        <v>30</v>
      </c>
    </row>
    <row r="635" spans="1:10">
      <c r="A635">
        <v>634</v>
      </c>
      <c r="B635" s="10">
        <v>42460.251261574071</v>
      </c>
      <c r="C635" s="11">
        <v>0.25126157407407407</v>
      </c>
      <c r="D635" s="12">
        <v>3</v>
      </c>
      <c r="E635" s="13" t="s">
        <v>3041</v>
      </c>
      <c r="F635">
        <f t="shared" si="11"/>
        <v>30</v>
      </c>
      <c r="G635">
        <v>0</v>
      </c>
      <c r="H635">
        <v>0</v>
      </c>
      <c r="I635">
        <v>0</v>
      </c>
      <c r="J635" s="67">
        <v>30</v>
      </c>
    </row>
    <row r="636" spans="1:10">
      <c r="A636">
        <v>635</v>
      </c>
      <c r="B636" s="10">
        <v>42460.251423611109</v>
      </c>
      <c r="C636" s="11">
        <v>0.25142361111111111</v>
      </c>
      <c r="D636" s="12">
        <v>3</v>
      </c>
      <c r="E636" s="13" t="s">
        <v>3041</v>
      </c>
      <c r="F636">
        <f t="shared" si="11"/>
        <v>30</v>
      </c>
      <c r="G636">
        <v>0</v>
      </c>
      <c r="H636">
        <v>0</v>
      </c>
      <c r="I636">
        <v>0</v>
      </c>
      <c r="J636" s="67">
        <v>30</v>
      </c>
    </row>
    <row r="637" spans="1:10">
      <c r="A637">
        <v>636</v>
      </c>
      <c r="B637" s="10">
        <v>42460.251446759263</v>
      </c>
      <c r="C637" s="11">
        <v>0.25144675925925924</v>
      </c>
      <c r="D637" s="12">
        <v>3</v>
      </c>
      <c r="E637" s="13" t="s">
        <v>3041</v>
      </c>
      <c r="F637">
        <f t="shared" si="11"/>
        <v>30</v>
      </c>
      <c r="G637">
        <v>0</v>
      </c>
      <c r="H637">
        <v>0</v>
      </c>
      <c r="I637">
        <v>0</v>
      </c>
      <c r="J637" s="67">
        <v>30</v>
      </c>
    </row>
    <row r="638" spans="1:10">
      <c r="A638">
        <v>637</v>
      </c>
      <c r="B638" s="10">
        <v>42460.251458333332</v>
      </c>
      <c r="C638" s="11">
        <v>0.25145833333333334</v>
      </c>
      <c r="D638" s="12">
        <v>3</v>
      </c>
      <c r="E638" s="13" t="s">
        <v>3041</v>
      </c>
      <c r="F638">
        <f t="shared" si="11"/>
        <v>30</v>
      </c>
      <c r="G638">
        <v>27</v>
      </c>
      <c r="H638">
        <v>6</v>
      </c>
      <c r="I638">
        <v>33</v>
      </c>
      <c r="J638" s="67">
        <v>3</v>
      </c>
    </row>
    <row r="639" spans="1:10">
      <c r="A639">
        <v>638</v>
      </c>
      <c r="B639" s="10">
        <v>42460.251469907409</v>
      </c>
      <c r="C639" s="11">
        <v>0.25146990740740743</v>
      </c>
      <c r="D639" s="12">
        <v>3</v>
      </c>
      <c r="E639" s="13" t="s">
        <v>3041</v>
      </c>
      <c r="F639">
        <f t="shared" si="11"/>
        <v>30</v>
      </c>
      <c r="G639">
        <v>35</v>
      </c>
      <c r="H639">
        <v>10</v>
      </c>
      <c r="I639">
        <v>45</v>
      </c>
      <c r="J639" s="67">
        <v>-5</v>
      </c>
    </row>
    <row r="640" spans="1:10">
      <c r="A640">
        <v>639</v>
      </c>
      <c r="B640" s="10">
        <v>42460.251481481479</v>
      </c>
      <c r="C640" s="11">
        <v>0.25148148148148147</v>
      </c>
      <c r="D640" s="12">
        <v>3</v>
      </c>
      <c r="E640" s="13" t="s">
        <v>3041</v>
      </c>
      <c r="F640">
        <f t="shared" si="11"/>
        <v>30</v>
      </c>
      <c r="G640">
        <v>15</v>
      </c>
      <c r="H640">
        <v>8</v>
      </c>
      <c r="I640">
        <v>23</v>
      </c>
      <c r="J640" s="67">
        <v>15</v>
      </c>
    </row>
    <row r="641" spans="1:10" ht="15" thickBot="1">
      <c r="A641">
        <v>640</v>
      </c>
      <c r="B641" s="14">
        <v>42460.251493055555</v>
      </c>
      <c r="C641" s="15">
        <v>0.25149305555555557</v>
      </c>
      <c r="D641" s="16">
        <v>3</v>
      </c>
      <c r="E641" s="17" t="s">
        <v>3041</v>
      </c>
      <c r="F641">
        <f t="shared" si="11"/>
        <v>30</v>
      </c>
      <c r="G641">
        <v>21</v>
      </c>
      <c r="H641">
        <v>8</v>
      </c>
      <c r="I641">
        <v>29</v>
      </c>
      <c r="J641" s="67">
        <v>9</v>
      </c>
    </row>
    <row r="642" spans="1:10">
      <c r="A642">
        <v>641</v>
      </c>
      <c r="B642" s="6">
        <v>42460.582881944443</v>
      </c>
      <c r="C642" s="7">
        <v>0.58288194444444441</v>
      </c>
      <c r="D642" s="8">
        <v>4</v>
      </c>
      <c r="E642" s="9" t="s">
        <v>3032</v>
      </c>
      <c r="F642">
        <f t="shared" si="11"/>
        <v>30</v>
      </c>
      <c r="G642">
        <v>28</v>
      </c>
      <c r="H642">
        <v>6</v>
      </c>
      <c r="I642">
        <v>34</v>
      </c>
      <c r="J642" s="67">
        <v>2</v>
      </c>
    </row>
    <row r="643" spans="1:10">
      <c r="A643">
        <v>642</v>
      </c>
      <c r="B643" s="10">
        <v>42460.582951388889</v>
      </c>
      <c r="C643" s="11">
        <v>0.58295138888888887</v>
      </c>
      <c r="D643" s="12">
        <v>4</v>
      </c>
      <c r="E643" s="13" t="s">
        <v>3032</v>
      </c>
      <c r="F643">
        <f t="shared" ref="F643:F706" si="12">40*0.75</f>
        <v>30</v>
      </c>
      <c r="G643">
        <v>30</v>
      </c>
      <c r="H643">
        <v>4</v>
      </c>
      <c r="I643">
        <v>34</v>
      </c>
      <c r="J643" s="67">
        <v>0</v>
      </c>
    </row>
    <row r="644" spans="1:10">
      <c r="A644">
        <v>643</v>
      </c>
      <c r="B644" s="10">
        <v>42460.582986111112</v>
      </c>
      <c r="C644" s="11">
        <v>0.58298611111111109</v>
      </c>
      <c r="D644" s="12">
        <v>4</v>
      </c>
      <c r="E644" s="13" t="s">
        <v>3032</v>
      </c>
      <c r="F644">
        <f t="shared" si="12"/>
        <v>30</v>
      </c>
      <c r="G644">
        <v>29</v>
      </c>
      <c r="H644">
        <v>2</v>
      </c>
      <c r="I644">
        <v>31</v>
      </c>
      <c r="J644" s="67">
        <v>1</v>
      </c>
    </row>
    <row r="645" spans="1:10">
      <c r="A645">
        <v>644</v>
      </c>
      <c r="B645" s="10">
        <v>42460.583009259259</v>
      </c>
      <c r="C645" s="11">
        <v>0.58300925925925928</v>
      </c>
      <c r="D645" s="12">
        <v>4</v>
      </c>
      <c r="E645" s="13" t="s">
        <v>3032</v>
      </c>
      <c r="F645">
        <f t="shared" si="12"/>
        <v>30</v>
      </c>
      <c r="G645">
        <v>18</v>
      </c>
      <c r="H645">
        <v>2</v>
      </c>
      <c r="I645">
        <v>20</v>
      </c>
      <c r="J645" s="67">
        <v>12</v>
      </c>
    </row>
    <row r="646" spans="1:10">
      <c r="A646">
        <v>645</v>
      </c>
      <c r="B646" s="10">
        <v>42460.583032407405</v>
      </c>
      <c r="C646" s="11">
        <v>0.58303240740740736</v>
      </c>
      <c r="D646" s="12">
        <v>4</v>
      </c>
      <c r="E646" s="13" t="s">
        <v>3032</v>
      </c>
      <c r="F646">
        <f t="shared" si="12"/>
        <v>30</v>
      </c>
      <c r="G646">
        <v>30</v>
      </c>
      <c r="H646">
        <v>2</v>
      </c>
      <c r="I646">
        <v>32</v>
      </c>
      <c r="J646" s="67">
        <v>0</v>
      </c>
    </row>
    <row r="647" spans="1:10">
      <c r="A647">
        <v>646</v>
      </c>
      <c r="B647" s="10">
        <v>42460.583067129628</v>
      </c>
      <c r="C647" s="11">
        <v>0.58306712962962959</v>
      </c>
      <c r="D647" s="12">
        <v>4</v>
      </c>
      <c r="E647" s="13" t="s">
        <v>3032</v>
      </c>
      <c r="F647">
        <f t="shared" si="12"/>
        <v>30</v>
      </c>
      <c r="G647">
        <v>29</v>
      </c>
      <c r="H647">
        <v>2</v>
      </c>
      <c r="I647">
        <v>31</v>
      </c>
      <c r="J647" s="67">
        <v>1</v>
      </c>
    </row>
    <row r="648" spans="1:10">
      <c r="A648">
        <v>647</v>
      </c>
      <c r="B648" s="10">
        <v>42460.583090277774</v>
      </c>
      <c r="C648" s="11">
        <v>0.58309027777777778</v>
      </c>
      <c r="D648" s="12">
        <v>4</v>
      </c>
      <c r="E648" s="13" t="s">
        <v>3032</v>
      </c>
      <c r="F648">
        <f t="shared" si="12"/>
        <v>30</v>
      </c>
      <c r="G648">
        <v>10</v>
      </c>
      <c r="H648">
        <v>0</v>
      </c>
      <c r="I648">
        <v>10</v>
      </c>
      <c r="J648" s="67">
        <v>20</v>
      </c>
    </row>
    <row r="649" spans="1:10" ht="15" thickBot="1">
      <c r="A649">
        <v>648</v>
      </c>
      <c r="B649" s="14">
        <v>42460.583136574074</v>
      </c>
      <c r="C649" s="15">
        <v>0.58313657407407404</v>
      </c>
      <c r="D649" s="16">
        <v>4</v>
      </c>
      <c r="E649" s="17" t="s">
        <v>3032</v>
      </c>
      <c r="F649">
        <f t="shared" si="12"/>
        <v>30</v>
      </c>
      <c r="G649">
        <v>26</v>
      </c>
      <c r="H649">
        <v>3</v>
      </c>
      <c r="I649">
        <v>29</v>
      </c>
      <c r="J649" s="67">
        <v>4</v>
      </c>
    </row>
    <row r="650" spans="1:10">
      <c r="A650">
        <v>649</v>
      </c>
      <c r="B650" s="6">
        <v>42460.917337962965</v>
      </c>
      <c r="C650" s="7">
        <v>0.91733796296296299</v>
      </c>
      <c r="D650" s="8">
        <v>4</v>
      </c>
      <c r="E650" s="9" t="s">
        <v>3041</v>
      </c>
      <c r="F650">
        <f t="shared" si="12"/>
        <v>30</v>
      </c>
      <c r="G650">
        <v>32</v>
      </c>
      <c r="H650">
        <v>5</v>
      </c>
      <c r="I650">
        <v>37</v>
      </c>
      <c r="J650" s="67">
        <v>-2</v>
      </c>
    </row>
    <row r="651" spans="1:10">
      <c r="A651">
        <v>650</v>
      </c>
      <c r="B651" s="10">
        <v>42460.917372685188</v>
      </c>
      <c r="C651" s="11">
        <v>0.91737268518518522</v>
      </c>
      <c r="D651" s="12">
        <v>4</v>
      </c>
      <c r="E651" s="13" t="s">
        <v>3041</v>
      </c>
      <c r="F651">
        <f t="shared" si="12"/>
        <v>30</v>
      </c>
      <c r="G651">
        <v>35</v>
      </c>
      <c r="H651">
        <v>6</v>
      </c>
      <c r="I651">
        <v>41</v>
      </c>
      <c r="J651" s="67">
        <v>-5</v>
      </c>
    </row>
    <row r="652" spans="1:10">
      <c r="A652">
        <v>651</v>
      </c>
      <c r="B652" s="10">
        <v>42460.917395833334</v>
      </c>
      <c r="C652" s="11">
        <v>0.9173958333333333</v>
      </c>
      <c r="D652" s="12">
        <v>4</v>
      </c>
      <c r="E652" s="13" t="s">
        <v>3041</v>
      </c>
      <c r="F652">
        <f t="shared" si="12"/>
        <v>30</v>
      </c>
      <c r="G652">
        <v>35</v>
      </c>
      <c r="H652">
        <v>2</v>
      </c>
      <c r="I652">
        <v>37</v>
      </c>
      <c r="J652" s="67">
        <v>-5</v>
      </c>
    </row>
    <row r="653" spans="1:10">
      <c r="A653">
        <v>652</v>
      </c>
      <c r="B653" s="10">
        <v>42460.917430555557</v>
      </c>
      <c r="C653" s="11">
        <v>0.91743055555555553</v>
      </c>
      <c r="D653" s="12">
        <v>4</v>
      </c>
      <c r="E653" s="13" t="s">
        <v>3041</v>
      </c>
      <c r="F653">
        <f t="shared" si="12"/>
        <v>30</v>
      </c>
      <c r="G653">
        <v>24</v>
      </c>
      <c r="H653">
        <v>5</v>
      </c>
      <c r="I653">
        <v>29</v>
      </c>
      <c r="J653" s="67">
        <v>6</v>
      </c>
    </row>
    <row r="654" spans="1:10">
      <c r="A654">
        <v>653</v>
      </c>
      <c r="B654" s="10">
        <v>42460.91747685185</v>
      </c>
      <c r="C654" s="11">
        <v>0.9174768518518519</v>
      </c>
      <c r="D654" s="12">
        <v>4</v>
      </c>
      <c r="E654" s="13" t="s">
        <v>3041</v>
      </c>
      <c r="F654">
        <f t="shared" si="12"/>
        <v>30</v>
      </c>
      <c r="G654">
        <v>35</v>
      </c>
      <c r="H654">
        <v>1</v>
      </c>
      <c r="I654">
        <v>36</v>
      </c>
      <c r="J654" s="67">
        <v>-5</v>
      </c>
    </row>
    <row r="655" spans="1:10">
      <c r="A655">
        <v>654</v>
      </c>
      <c r="B655" s="10">
        <v>42460.917511574073</v>
      </c>
      <c r="C655" s="11">
        <v>0.91751157407407402</v>
      </c>
      <c r="D655" s="12">
        <v>4</v>
      </c>
      <c r="E655" s="13" t="s">
        <v>3041</v>
      </c>
      <c r="F655">
        <f t="shared" si="12"/>
        <v>30</v>
      </c>
      <c r="G655">
        <v>35</v>
      </c>
      <c r="H655">
        <v>1</v>
      </c>
      <c r="I655">
        <v>36</v>
      </c>
      <c r="J655" s="67">
        <v>-5</v>
      </c>
    </row>
    <row r="656" spans="1:10">
      <c r="A656">
        <v>655</v>
      </c>
      <c r="B656" s="10">
        <v>42460.917546296296</v>
      </c>
      <c r="C656" s="11">
        <v>0.91754629629629625</v>
      </c>
      <c r="D656" s="12">
        <v>4</v>
      </c>
      <c r="E656" s="13" t="s">
        <v>3041</v>
      </c>
      <c r="F656">
        <f t="shared" si="12"/>
        <v>30</v>
      </c>
      <c r="G656">
        <v>35</v>
      </c>
      <c r="H656">
        <v>4</v>
      </c>
      <c r="I656">
        <v>39</v>
      </c>
      <c r="J656" s="67">
        <v>-5</v>
      </c>
    </row>
    <row r="657" spans="1:10" ht="15" thickBot="1">
      <c r="A657">
        <v>656</v>
      </c>
      <c r="B657" s="14">
        <v>42460.917638888888</v>
      </c>
      <c r="C657" s="15">
        <v>0.91763888888888889</v>
      </c>
      <c r="D657" s="16">
        <v>4</v>
      </c>
      <c r="E657" s="17" t="s">
        <v>3041</v>
      </c>
      <c r="F657">
        <f t="shared" si="12"/>
        <v>30</v>
      </c>
      <c r="G657">
        <v>26</v>
      </c>
      <c r="H657">
        <v>1</v>
      </c>
      <c r="I657">
        <v>27</v>
      </c>
      <c r="J657" s="67">
        <v>4</v>
      </c>
    </row>
    <row r="658" spans="1:10">
      <c r="A658">
        <v>657</v>
      </c>
      <c r="B658" s="6">
        <v>42461.26221064815</v>
      </c>
      <c r="C658" s="7">
        <v>0.26221064814814815</v>
      </c>
      <c r="D658" s="8">
        <v>4</v>
      </c>
      <c r="E658" s="9" t="s">
        <v>3041</v>
      </c>
      <c r="F658">
        <f t="shared" si="12"/>
        <v>30</v>
      </c>
      <c r="G658">
        <v>11</v>
      </c>
      <c r="H658">
        <v>1</v>
      </c>
      <c r="I658">
        <v>12</v>
      </c>
      <c r="J658" s="67">
        <v>19</v>
      </c>
    </row>
    <row r="659" spans="1:10">
      <c r="A659">
        <v>658</v>
      </c>
      <c r="B659" s="10">
        <v>42461.262233796297</v>
      </c>
      <c r="C659" s="11">
        <v>0.26223379629629628</v>
      </c>
      <c r="D659" s="12">
        <v>4</v>
      </c>
      <c r="E659" s="13" t="s">
        <v>3041</v>
      </c>
      <c r="F659">
        <f t="shared" si="12"/>
        <v>30</v>
      </c>
      <c r="G659">
        <v>20</v>
      </c>
      <c r="H659">
        <v>5</v>
      </c>
      <c r="I659">
        <v>25</v>
      </c>
      <c r="J659" s="67">
        <v>10</v>
      </c>
    </row>
    <row r="660" spans="1:10">
      <c r="A660">
        <v>659</v>
      </c>
      <c r="B660" s="10">
        <v>42461.262245370373</v>
      </c>
      <c r="C660" s="11">
        <v>0.26224537037037038</v>
      </c>
      <c r="D660" s="12">
        <v>4</v>
      </c>
      <c r="E660" s="13" t="s">
        <v>3041</v>
      </c>
      <c r="F660">
        <f t="shared" si="12"/>
        <v>30</v>
      </c>
      <c r="G660">
        <v>20</v>
      </c>
      <c r="H660">
        <v>2</v>
      </c>
      <c r="I660">
        <v>22</v>
      </c>
      <c r="J660" s="67">
        <v>10</v>
      </c>
    </row>
    <row r="661" spans="1:10">
      <c r="A661">
        <v>660</v>
      </c>
      <c r="B661" s="10">
        <v>42461.262256944443</v>
      </c>
      <c r="C661" s="11">
        <v>0.26225694444444442</v>
      </c>
      <c r="D661" s="12">
        <v>4</v>
      </c>
      <c r="E661" s="13" t="s">
        <v>3041</v>
      </c>
      <c r="F661">
        <f t="shared" si="12"/>
        <v>30</v>
      </c>
      <c r="G661">
        <v>19</v>
      </c>
      <c r="H661">
        <v>2</v>
      </c>
      <c r="I661">
        <v>21</v>
      </c>
      <c r="J661" s="67">
        <v>11</v>
      </c>
    </row>
    <row r="662" spans="1:10">
      <c r="A662">
        <v>661</v>
      </c>
      <c r="B662" s="10">
        <v>42461.26226851852</v>
      </c>
      <c r="C662" s="11">
        <v>0.26226851851851851</v>
      </c>
      <c r="D662" s="12">
        <v>4</v>
      </c>
      <c r="E662" s="13" t="s">
        <v>3041</v>
      </c>
      <c r="F662">
        <f t="shared" si="12"/>
        <v>30</v>
      </c>
      <c r="G662">
        <v>26</v>
      </c>
      <c r="H662">
        <v>2</v>
      </c>
      <c r="I662">
        <v>28</v>
      </c>
      <c r="J662" s="67">
        <v>4</v>
      </c>
    </row>
    <row r="663" spans="1:10">
      <c r="A663">
        <v>662</v>
      </c>
      <c r="B663" s="10">
        <v>42461.262291666666</v>
      </c>
      <c r="C663" s="11">
        <v>0.26229166666666665</v>
      </c>
      <c r="D663" s="12">
        <v>4</v>
      </c>
      <c r="E663" s="13" t="s">
        <v>3041</v>
      </c>
      <c r="F663">
        <f t="shared" si="12"/>
        <v>30</v>
      </c>
      <c r="G663">
        <v>23</v>
      </c>
      <c r="H663">
        <v>2</v>
      </c>
      <c r="I663">
        <v>25</v>
      </c>
      <c r="J663" s="67">
        <v>7</v>
      </c>
    </row>
    <row r="664" spans="1:10">
      <c r="A664">
        <v>663</v>
      </c>
      <c r="B664" s="10">
        <v>42461.262303240743</v>
      </c>
      <c r="C664" s="11">
        <v>0.26230324074074074</v>
      </c>
      <c r="D664" s="12">
        <v>4</v>
      </c>
      <c r="E664" s="13" t="s">
        <v>3041</v>
      </c>
      <c r="F664">
        <f t="shared" si="12"/>
        <v>30</v>
      </c>
      <c r="G664">
        <v>14</v>
      </c>
      <c r="H664">
        <v>2</v>
      </c>
      <c r="I664">
        <v>16</v>
      </c>
      <c r="J664" s="67">
        <v>16</v>
      </c>
    </row>
    <row r="665" spans="1:10" ht="15" thickBot="1">
      <c r="A665">
        <v>664</v>
      </c>
      <c r="B665" s="14">
        <v>42461.262314814812</v>
      </c>
      <c r="C665" s="15">
        <v>0.26231481481481483</v>
      </c>
      <c r="D665" s="16">
        <v>4</v>
      </c>
      <c r="E665" s="17" t="s">
        <v>3041</v>
      </c>
      <c r="F665">
        <f t="shared" si="12"/>
        <v>30</v>
      </c>
      <c r="G665">
        <v>20</v>
      </c>
      <c r="H665">
        <v>2</v>
      </c>
      <c r="I665">
        <v>22</v>
      </c>
      <c r="J665" s="67">
        <v>10</v>
      </c>
    </row>
    <row r="666" spans="1:10">
      <c r="A666">
        <v>665</v>
      </c>
      <c r="B666" s="6">
        <v>42461.583773148152</v>
      </c>
      <c r="C666" s="7">
        <v>0.58377314814814818</v>
      </c>
      <c r="D666" s="8">
        <v>3</v>
      </c>
      <c r="E666" s="9" t="s">
        <v>3032</v>
      </c>
      <c r="F666">
        <f t="shared" si="12"/>
        <v>30</v>
      </c>
      <c r="G666">
        <v>32</v>
      </c>
      <c r="H666">
        <v>3</v>
      </c>
      <c r="I666">
        <v>35</v>
      </c>
      <c r="J666" s="67">
        <v>-2</v>
      </c>
    </row>
    <row r="667" spans="1:10">
      <c r="A667">
        <v>666</v>
      </c>
      <c r="B667" s="10">
        <v>42461.583796296298</v>
      </c>
      <c r="C667" s="11">
        <v>0.58379629629629626</v>
      </c>
      <c r="D667" s="12">
        <v>3</v>
      </c>
      <c r="E667" s="13" t="s">
        <v>3032</v>
      </c>
      <c r="F667">
        <f t="shared" si="12"/>
        <v>30</v>
      </c>
      <c r="G667">
        <v>35</v>
      </c>
      <c r="H667">
        <v>2</v>
      </c>
      <c r="I667">
        <v>37</v>
      </c>
      <c r="J667" s="67">
        <v>-5</v>
      </c>
    </row>
    <row r="668" spans="1:10">
      <c r="A668">
        <v>667</v>
      </c>
      <c r="B668" s="10">
        <v>42461.583819444444</v>
      </c>
      <c r="C668" s="11">
        <v>0.58381944444444445</v>
      </c>
      <c r="D668" s="12">
        <v>3</v>
      </c>
      <c r="E668" s="13" t="s">
        <v>3032</v>
      </c>
      <c r="F668">
        <f t="shared" si="12"/>
        <v>30</v>
      </c>
      <c r="G668">
        <v>35</v>
      </c>
      <c r="H668">
        <v>2</v>
      </c>
      <c r="I668">
        <v>37</v>
      </c>
      <c r="J668" s="67">
        <v>-5</v>
      </c>
    </row>
    <row r="669" spans="1:10">
      <c r="A669">
        <v>668</v>
      </c>
      <c r="B669" s="10">
        <v>42461.58384259259</v>
      </c>
      <c r="C669" s="11">
        <v>0.58384259259259264</v>
      </c>
      <c r="D669" s="12">
        <v>3</v>
      </c>
      <c r="E669" s="13" t="s">
        <v>3032</v>
      </c>
      <c r="F669">
        <f t="shared" si="12"/>
        <v>30</v>
      </c>
      <c r="G669">
        <v>24</v>
      </c>
      <c r="H669">
        <v>2</v>
      </c>
      <c r="I669">
        <v>26</v>
      </c>
      <c r="J669" s="67">
        <v>6</v>
      </c>
    </row>
    <row r="670" spans="1:10">
      <c r="A670">
        <v>669</v>
      </c>
      <c r="B670" s="10">
        <v>42461.583865740744</v>
      </c>
      <c r="C670" s="11">
        <v>0.58386574074074071</v>
      </c>
      <c r="D670" s="12">
        <v>3</v>
      </c>
      <c r="E670" s="13" t="s">
        <v>3032</v>
      </c>
      <c r="F670">
        <f t="shared" si="12"/>
        <v>30</v>
      </c>
      <c r="G670">
        <v>35</v>
      </c>
      <c r="H670">
        <v>3</v>
      </c>
      <c r="I670">
        <v>38</v>
      </c>
      <c r="J670" s="67">
        <v>-5</v>
      </c>
    </row>
    <row r="671" spans="1:10">
      <c r="A671">
        <v>670</v>
      </c>
      <c r="B671" s="10">
        <v>42461.58388888889</v>
      </c>
      <c r="C671" s="11">
        <v>0.5838888888888889</v>
      </c>
      <c r="D671" s="12">
        <v>3</v>
      </c>
      <c r="E671" s="13" t="s">
        <v>3032</v>
      </c>
      <c r="F671">
        <f t="shared" si="12"/>
        <v>30</v>
      </c>
      <c r="G671">
        <v>35</v>
      </c>
      <c r="H671">
        <v>2</v>
      </c>
      <c r="I671">
        <v>37</v>
      </c>
      <c r="J671" s="67">
        <v>-5</v>
      </c>
    </row>
    <row r="672" spans="1:10">
      <c r="A672">
        <v>671</v>
      </c>
      <c r="B672" s="10">
        <v>42461.58390046296</v>
      </c>
      <c r="C672" s="11">
        <v>0.58390046296296294</v>
      </c>
      <c r="D672" s="12">
        <v>3</v>
      </c>
      <c r="E672" s="13" t="s">
        <v>3032</v>
      </c>
      <c r="F672">
        <f t="shared" si="12"/>
        <v>30</v>
      </c>
      <c r="G672">
        <v>35</v>
      </c>
      <c r="H672">
        <v>4</v>
      </c>
      <c r="I672">
        <v>39</v>
      </c>
      <c r="J672" s="67">
        <v>-5</v>
      </c>
    </row>
    <row r="673" spans="1:10" ht="15" thickBot="1">
      <c r="A673">
        <v>672</v>
      </c>
      <c r="B673" s="14">
        <v>42461.583923611113</v>
      </c>
      <c r="C673" s="15">
        <v>0.58392361111111113</v>
      </c>
      <c r="D673" s="16">
        <v>3</v>
      </c>
      <c r="E673" s="17" t="s">
        <v>3032</v>
      </c>
      <c r="F673">
        <f t="shared" si="12"/>
        <v>30</v>
      </c>
      <c r="G673">
        <v>32</v>
      </c>
      <c r="H673">
        <v>2</v>
      </c>
      <c r="I673">
        <v>34</v>
      </c>
      <c r="J673" s="67">
        <v>-2</v>
      </c>
    </row>
    <row r="674" spans="1:10">
      <c r="A674">
        <v>673</v>
      </c>
      <c r="B674" s="6">
        <v>42461.917002314818</v>
      </c>
      <c r="C674" s="7">
        <v>0.91700231481481487</v>
      </c>
      <c r="D674" s="8">
        <v>4</v>
      </c>
      <c r="E674" s="9" t="s">
        <v>3041</v>
      </c>
      <c r="F674">
        <f t="shared" si="12"/>
        <v>30</v>
      </c>
      <c r="G674">
        <v>25</v>
      </c>
      <c r="H674">
        <v>3</v>
      </c>
      <c r="I674">
        <v>28</v>
      </c>
      <c r="J674" s="67">
        <v>5</v>
      </c>
    </row>
    <row r="675" spans="1:10">
      <c r="A675">
        <v>674</v>
      </c>
      <c r="B675" s="10">
        <v>42461.917048611111</v>
      </c>
      <c r="C675" s="11">
        <v>0.91704861111111113</v>
      </c>
      <c r="D675" s="12">
        <v>4</v>
      </c>
      <c r="E675" s="13" t="s">
        <v>3041</v>
      </c>
      <c r="F675">
        <f t="shared" si="12"/>
        <v>30</v>
      </c>
      <c r="G675">
        <v>32</v>
      </c>
      <c r="H675">
        <v>2</v>
      </c>
      <c r="I675">
        <v>34</v>
      </c>
      <c r="J675" s="67">
        <v>-2</v>
      </c>
    </row>
    <row r="676" spans="1:10">
      <c r="A676">
        <v>675</v>
      </c>
      <c r="B676" s="10">
        <v>42461.917083333334</v>
      </c>
      <c r="C676" s="11">
        <v>0.91708333333333336</v>
      </c>
      <c r="D676" s="12">
        <v>4</v>
      </c>
      <c r="E676" s="13" t="s">
        <v>3041</v>
      </c>
      <c r="F676">
        <f t="shared" si="12"/>
        <v>30</v>
      </c>
      <c r="G676">
        <v>27</v>
      </c>
      <c r="H676">
        <v>3</v>
      </c>
      <c r="I676">
        <v>30</v>
      </c>
      <c r="J676" s="67">
        <v>3</v>
      </c>
    </row>
    <row r="677" spans="1:10">
      <c r="A677">
        <v>676</v>
      </c>
      <c r="B677" s="10">
        <v>42461.91710648148</v>
      </c>
      <c r="C677" s="11">
        <v>0.91710648148148144</v>
      </c>
      <c r="D677" s="12">
        <v>4</v>
      </c>
      <c r="E677" s="13" t="s">
        <v>3041</v>
      </c>
      <c r="F677">
        <f t="shared" si="12"/>
        <v>30</v>
      </c>
      <c r="G677">
        <v>7</v>
      </c>
      <c r="H677">
        <v>2</v>
      </c>
      <c r="I677">
        <v>9</v>
      </c>
      <c r="J677" s="67">
        <v>23</v>
      </c>
    </row>
    <row r="678" spans="1:10">
      <c r="A678">
        <v>677</v>
      </c>
      <c r="B678" s="10">
        <v>42461.917129629626</v>
      </c>
      <c r="C678" s="11">
        <v>0.91712962962962963</v>
      </c>
      <c r="D678" s="12">
        <v>4</v>
      </c>
      <c r="E678" s="13" t="s">
        <v>3041</v>
      </c>
      <c r="F678">
        <f t="shared" si="12"/>
        <v>30</v>
      </c>
      <c r="G678">
        <v>4</v>
      </c>
      <c r="H678">
        <v>1</v>
      </c>
      <c r="I678">
        <v>5</v>
      </c>
      <c r="J678" s="67">
        <v>26</v>
      </c>
    </row>
    <row r="679" spans="1:10">
      <c r="A679">
        <v>678</v>
      </c>
      <c r="B679" s="10">
        <v>42461.917175925926</v>
      </c>
      <c r="C679" s="11">
        <v>0.91717592592592589</v>
      </c>
      <c r="D679" s="12">
        <v>4</v>
      </c>
      <c r="E679" s="13" t="s">
        <v>3041</v>
      </c>
      <c r="F679">
        <f t="shared" si="12"/>
        <v>30</v>
      </c>
      <c r="G679">
        <v>31</v>
      </c>
      <c r="H679">
        <v>1</v>
      </c>
      <c r="I679">
        <v>32</v>
      </c>
      <c r="J679" s="67">
        <v>-1</v>
      </c>
    </row>
    <row r="680" spans="1:10">
      <c r="A680">
        <v>679</v>
      </c>
      <c r="B680" s="10">
        <v>42461.917199074072</v>
      </c>
      <c r="C680" s="11">
        <v>0.91719907407407408</v>
      </c>
      <c r="D680" s="12">
        <v>4</v>
      </c>
      <c r="E680" s="13" t="s">
        <v>3041</v>
      </c>
      <c r="F680">
        <f t="shared" si="12"/>
        <v>30</v>
      </c>
      <c r="G680">
        <v>29</v>
      </c>
      <c r="H680">
        <v>2</v>
      </c>
      <c r="I680">
        <v>31</v>
      </c>
      <c r="J680" s="67">
        <v>1</v>
      </c>
    </row>
    <row r="681" spans="1:10" ht="15" thickBot="1">
      <c r="A681">
        <v>680</v>
      </c>
      <c r="B681" s="14">
        <v>42461.917233796295</v>
      </c>
      <c r="C681" s="15">
        <v>0.91723379629629631</v>
      </c>
      <c r="D681" s="16">
        <v>4</v>
      </c>
      <c r="E681" s="17" t="s">
        <v>3041</v>
      </c>
      <c r="F681">
        <f t="shared" si="12"/>
        <v>30</v>
      </c>
      <c r="G681">
        <v>24</v>
      </c>
      <c r="H681">
        <v>0</v>
      </c>
      <c r="I681">
        <v>24</v>
      </c>
      <c r="J681" s="67">
        <v>6</v>
      </c>
    </row>
    <row r="682" spans="1:10">
      <c r="A682">
        <v>681</v>
      </c>
      <c r="B682" s="6">
        <v>42463.918703703705</v>
      </c>
      <c r="C682" s="7">
        <v>0.91870370370370369</v>
      </c>
      <c r="D682" s="8">
        <v>3</v>
      </c>
      <c r="E682" s="9" t="s">
        <v>3041</v>
      </c>
      <c r="F682">
        <f t="shared" si="12"/>
        <v>30</v>
      </c>
      <c r="G682">
        <v>31</v>
      </c>
      <c r="H682">
        <v>3</v>
      </c>
      <c r="I682">
        <v>34</v>
      </c>
      <c r="J682" s="67">
        <v>-1</v>
      </c>
    </row>
    <row r="683" spans="1:10">
      <c r="A683">
        <v>682</v>
      </c>
      <c r="B683" s="10">
        <v>42463.918715277781</v>
      </c>
      <c r="C683" s="11">
        <v>0.91871527777777773</v>
      </c>
      <c r="D683" s="12">
        <v>3</v>
      </c>
      <c r="E683" s="13" t="s">
        <v>3041</v>
      </c>
      <c r="F683">
        <f t="shared" si="12"/>
        <v>30</v>
      </c>
      <c r="G683">
        <v>29</v>
      </c>
      <c r="H683">
        <v>2</v>
      </c>
      <c r="I683">
        <v>31</v>
      </c>
      <c r="J683" s="67">
        <v>1</v>
      </c>
    </row>
    <row r="684" spans="1:10">
      <c r="A684">
        <v>683</v>
      </c>
      <c r="B684" s="10">
        <v>42463.918726851851</v>
      </c>
      <c r="C684" s="11">
        <v>0.91872685185185188</v>
      </c>
      <c r="D684" s="12">
        <v>3</v>
      </c>
      <c r="E684" s="13" t="s">
        <v>3041</v>
      </c>
      <c r="F684">
        <f t="shared" si="12"/>
        <v>30</v>
      </c>
      <c r="G684">
        <v>33</v>
      </c>
      <c r="H684">
        <v>1</v>
      </c>
      <c r="I684">
        <v>34</v>
      </c>
      <c r="J684" s="67">
        <v>-3</v>
      </c>
    </row>
    <row r="685" spans="1:10">
      <c r="A685">
        <v>684</v>
      </c>
      <c r="B685" s="10">
        <v>42463.918738425928</v>
      </c>
      <c r="C685" s="11">
        <v>0.91873842592592592</v>
      </c>
      <c r="D685" s="12">
        <v>3</v>
      </c>
      <c r="E685" s="13" t="s">
        <v>3041</v>
      </c>
      <c r="F685">
        <f t="shared" si="12"/>
        <v>30</v>
      </c>
      <c r="G685">
        <v>20</v>
      </c>
      <c r="H685">
        <v>5</v>
      </c>
      <c r="I685">
        <v>25</v>
      </c>
      <c r="J685" s="67">
        <v>10</v>
      </c>
    </row>
    <row r="686" spans="1:10">
      <c r="A686">
        <v>685</v>
      </c>
      <c r="B686" s="10">
        <v>42463.918749999997</v>
      </c>
      <c r="C686" s="11">
        <v>0.91874999999999996</v>
      </c>
      <c r="D686" s="12">
        <v>3</v>
      </c>
      <c r="E686" s="13" t="s">
        <v>3041</v>
      </c>
      <c r="F686">
        <f t="shared" si="12"/>
        <v>30</v>
      </c>
      <c r="G686">
        <v>14</v>
      </c>
      <c r="H686">
        <v>4</v>
      </c>
      <c r="I686">
        <v>18</v>
      </c>
      <c r="J686" s="67">
        <v>16</v>
      </c>
    </row>
    <row r="687" spans="1:10">
      <c r="A687">
        <v>686</v>
      </c>
      <c r="B687" s="10">
        <v>42463.918761574074</v>
      </c>
      <c r="C687" s="11">
        <v>0.91876157407407411</v>
      </c>
      <c r="D687" s="12">
        <v>3</v>
      </c>
      <c r="E687" s="13" t="s">
        <v>3041</v>
      </c>
      <c r="F687">
        <f t="shared" si="12"/>
        <v>30</v>
      </c>
      <c r="G687">
        <v>32</v>
      </c>
      <c r="H687">
        <v>4</v>
      </c>
      <c r="I687">
        <v>36</v>
      </c>
      <c r="J687" s="67">
        <v>-2</v>
      </c>
    </row>
    <row r="688" spans="1:10">
      <c r="A688">
        <v>687</v>
      </c>
      <c r="B688" s="10">
        <v>42463.918773148151</v>
      </c>
      <c r="C688" s="11">
        <v>0.91877314814814814</v>
      </c>
      <c r="D688" s="12">
        <v>3</v>
      </c>
      <c r="E688" s="13" t="s">
        <v>3041</v>
      </c>
      <c r="F688">
        <f t="shared" si="12"/>
        <v>30</v>
      </c>
      <c r="G688">
        <v>33</v>
      </c>
      <c r="H688">
        <v>1</v>
      </c>
      <c r="I688">
        <v>34</v>
      </c>
      <c r="J688" s="67">
        <v>-3</v>
      </c>
    </row>
    <row r="689" spans="1:10" ht="15" thickBot="1">
      <c r="A689">
        <v>688</v>
      </c>
      <c r="B689" s="14">
        <v>42463.918796296297</v>
      </c>
      <c r="C689" s="15">
        <v>0.91879629629629633</v>
      </c>
      <c r="D689" s="16">
        <v>3</v>
      </c>
      <c r="E689" s="17" t="s">
        <v>3041</v>
      </c>
      <c r="F689">
        <f t="shared" si="12"/>
        <v>30</v>
      </c>
      <c r="G689">
        <v>26</v>
      </c>
      <c r="H689">
        <v>2</v>
      </c>
      <c r="I689">
        <v>28</v>
      </c>
      <c r="J689" s="67">
        <v>4</v>
      </c>
    </row>
    <row r="690" spans="1:10">
      <c r="A690">
        <v>689</v>
      </c>
      <c r="B690" s="6">
        <v>42464.634918981479</v>
      </c>
      <c r="C690" s="7">
        <v>0.63491898148148151</v>
      </c>
      <c r="D690" s="8">
        <v>4</v>
      </c>
      <c r="E690" s="9" t="s">
        <v>3041</v>
      </c>
      <c r="F690">
        <f t="shared" si="12"/>
        <v>30</v>
      </c>
      <c r="G690">
        <v>0</v>
      </c>
      <c r="H690">
        <v>0</v>
      </c>
      <c r="I690">
        <v>0</v>
      </c>
      <c r="J690" s="67">
        <v>30</v>
      </c>
    </row>
    <row r="691" spans="1:10">
      <c r="A691">
        <v>690</v>
      </c>
      <c r="B691" s="10">
        <v>42464.634942129633</v>
      </c>
      <c r="C691" s="11">
        <v>0.63494212962962959</v>
      </c>
      <c r="D691" s="12">
        <v>4</v>
      </c>
      <c r="E691" s="13" t="s">
        <v>3041</v>
      </c>
      <c r="F691">
        <f t="shared" si="12"/>
        <v>30</v>
      </c>
      <c r="G691">
        <v>12</v>
      </c>
      <c r="H691">
        <v>2</v>
      </c>
      <c r="I691">
        <v>14</v>
      </c>
      <c r="J691" s="67">
        <v>18</v>
      </c>
    </row>
    <row r="692" spans="1:10">
      <c r="A692">
        <v>691</v>
      </c>
      <c r="B692" s="10">
        <v>42464.634976851848</v>
      </c>
      <c r="C692" s="11">
        <v>0.63497685185185182</v>
      </c>
      <c r="D692" s="12">
        <v>4</v>
      </c>
      <c r="E692" s="13" t="s">
        <v>3041</v>
      </c>
      <c r="F692">
        <f t="shared" si="12"/>
        <v>30</v>
      </c>
      <c r="G692">
        <v>27</v>
      </c>
      <c r="H692">
        <v>3</v>
      </c>
      <c r="I692">
        <v>30</v>
      </c>
      <c r="J692" s="67">
        <v>3</v>
      </c>
    </row>
    <row r="693" spans="1:10">
      <c r="A693">
        <v>692</v>
      </c>
      <c r="B693" s="10">
        <v>42464.635000000002</v>
      </c>
      <c r="C693" s="11">
        <v>0.63500000000000001</v>
      </c>
      <c r="D693" s="12">
        <v>4</v>
      </c>
      <c r="E693" s="13" t="s">
        <v>3041</v>
      </c>
      <c r="F693">
        <f t="shared" si="12"/>
        <v>30</v>
      </c>
      <c r="G693">
        <v>25</v>
      </c>
      <c r="H693">
        <v>4</v>
      </c>
      <c r="I693">
        <v>29</v>
      </c>
      <c r="J693" s="67">
        <v>5</v>
      </c>
    </row>
    <row r="694" spans="1:10">
      <c r="A694">
        <v>693</v>
      </c>
      <c r="B694" s="10">
        <v>42464.635023148148</v>
      </c>
      <c r="C694" s="11">
        <v>0.6350231481481482</v>
      </c>
      <c r="D694" s="12">
        <v>4</v>
      </c>
      <c r="E694" s="13" t="s">
        <v>3041</v>
      </c>
      <c r="F694">
        <f t="shared" si="12"/>
        <v>30</v>
      </c>
      <c r="G694">
        <v>38</v>
      </c>
      <c r="H694">
        <v>8</v>
      </c>
      <c r="I694">
        <v>46</v>
      </c>
      <c r="J694" s="67">
        <v>-8</v>
      </c>
    </row>
    <row r="695" spans="1:10">
      <c r="A695">
        <v>694</v>
      </c>
      <c r="B695" s="10">
        <v>42464.635046296295</v>
      </c>
      <c r="C695" s="11">
        <v>0.63504629629629628</v>
      </c>
      <c r="D695" s="12">
        <v>4</v>
      </c>
      <c r="E695" s="13" t="s">
        <v>3041</v>
      </c>
      <c r="F695">
        <f t="shared" si="12"/>
        <v>30</v>
      </c>
      <c r="G695">
        <v>38</v>
      </c>
      <c r="H695">
        <v>3</v>
      </c>
      <c r="I695">
        <v>41</v>
      </c>
      <c r="J695" s="67">
        <v>-8</v>
      </c>
    </row>
    <row r="696" spans="1:10">
      <c r="A696">
        <v>695</v>
      </c>
      <c r="B696" s="10">
        <v>42464.635092592594</v>
      </c>
      <c r="C696" s="11">
        <v>0.63509259259259254</v>
      </c>
      <c r="D696" s="12">
        <v>4</v>
      </c>
      <c r="E696" s="13" t="s">
        <v>3041</v>
      </c>
      <c r="F696">
        <f t="shared" si="12"/>
        <v>30</v>
      </c>
      <c r="G696">
        <v>38</v>
      </c>
      <c r="H696">
        <v>0</v>
      </c>
      <c r="I696">
        <v>38</v>
      </c>
      <c r="J696" s="67">
        <v>-8</v>
      </c>
    </row>
    <row r="697" spans="1:10" ht="15" thickBot="1">
      <c r="A697">
        <v>696</v>
      </c>
      <c r="B697" s="14">
        <v>42464.635127314818</v>
      </c>
      <c r="C697" s="15">
        <v>0.63512731481481477</v>
      </c>
      <c r="D697" s="16">
        <v>4</v>
      </c>
      <c r="E697" s="17" t="s">
        <v>3041</v>
      </c>
      <c r="F697">
        <f t="shared" si="12"/>
        <v>30</v>
      </c>
      <c r="G697">
        <v>33</v>
      </c>
      <c r="H697">
        <v>2</v>
      </c>
      <c r="I697">
        <v>35</v>
      </c>
      <c r="J697" s="67">
        <v>-3</v>
      </c>
    </row>
    <row r="698" spans="1:10">
      <c r="A698">
        <v>697</v>
      </c>
      <c r="B698" s="6">
        <v>42464.918182870373</v>
      </c>
      <c r="C698" s="7">
        <v>0.91818287037037039</v>
      </c>
      <c r="D698" s="8">
        <v>4</v>
      </c>
      <c r="E698" s="9" t="s">
        <v>3041</v>
      </c>
      <c r="F698">
        <f t="shared" si="12"/>
        <v>30</v>
      </c>
      <c r="G698">
        <v>29</v>
      </c>
      <c r="H698">
        <v>3</v>
      </c>
      <c r="I698">
        <v>32</v>
      </c>
      <c r="J698" s="67">
        <v>1</v>
      </c>
    </row>
    <row r="699" spans="1:10">
      <c r="A699">
        <v>698</v>
      </c>
      <c r="B699" s="10">
        <v>42464.918229166666</v>
      </c>
      <c r="C699" s="11">
        <v>0.91822916666666665</v>
      </c>
      <c r="D699" s="12">
        <v>4</v>
      </c>
      <c r="E699" s="13" t="s">
        <v>3041</v>
      </c>
      <c r="F699">
        <f t="shared" si="12"/>
        <v>30</v>
      </c>
      <c r="G699">
        <v>36</v>
      </c>
      <c r="H699">
        <v>4</v>
      </c>
      <c r="I699">
        <v>40</v>
      </c>
      <c r="J699" s="67">
        <v>-6</v>
      </c>
    </row>
    <row r="700" spans="1:10">
      <c r="A700">
        <v>699</v>
      </c>
      <c r="B700" s="10">
        <v>42464.918252314812</v>
      </c>
      <c r="C700" s="11">
        <v>0.91825231481481484</v>
      </c>
      <c r="D700" s="12">
        <v>4</v>
      </c>
      <c r="E700" s="13" t="s">
        <v>3041</v>
      </c>
      <c r="F700">
        <f t="shared" si="12"/>
        <v>30</v>
      </c>
      <c r="G700">
        <v>34</v>
      </c>
      <c r="H700">
        <v>5</v>
      </c>
      <c r="I700">
        <v>39</v>
      </c>
      <c r="J700" s="67">
        <v>-4</v>
      </c>
    </row>
    <row r="701" spans="1:10">
      <c r="A701">
        <v>700</v>
      </c>
      <c r="B701" s="10">
        <v>42464.918275462966</v>
      </c>
      <c r="C701" s="11">
        <v>0.91827546296296292</v>
      </c>
      <c r="D701" s="12">
        <v>4</v>
      </c>
      <c r="E701" s="13" t="s">
        <v>3041</v>
      </c>
      <c r="F701">
        <f t="shared" si="12"/>
        <v>30</v>
      </c>
      <c r="G701">
        <v>20</v>
      </c>
      <c r="H701">
        <v>2</v>
      </c>
      <c r="I701">
        <v>22</v>
      </c>
      <c r="J701" s="67">
        <v>10</v>
      </c>
    </row>
    <row r="702" spans="1:10">
      <c r="A702">
        <v>701</v>
      </c>
      <c r="B702" s="10">
        <v>42464.918298611112</v>
      </c>
      <c r="C702" s="11">
        <v>0.91829861111111111</v>
      </c>
      <c r="D702" s="12">
        <v>4</v>
      </c>
      <c r="E702" s="13" t="s">
        <v>3041</v>
      </c>
      <c r="F702">
        <f t="shared" si="12"/>
        <v>30</v>
      </c>
      <c r="G702">
        <v>22</v>
      </c>
      <c r="H702">
        <v>7</v>
      </c>
      <c r="I702">
        <v>29</v>
      </c>
      <c r="J702" s="67">
        <v>8</v>
      </c>
    </row>
    <row r="703" spans="1:10">
      <c r="A703">
        <v>702</v>
      </c>
      <c r="B703" s="10">
        <v>42464.918321759258</v>
      </c>
      <c r="C703" s="11">
        <v>0.9183217592592593</v>
      </c>
      <c r="D703" s="12">
        <v>4</v>
      </c>
      <c r="E703" s="13" t="s">
        <v>3041</v>
      </c>
      <c r="F703">
        <f t="shared" si="12"/>
        <v>30</v>
      </c>
      <c r="G703">
        <v>35</v>
      </c>
      <c r="H703">
        <v>5</v>
      </c>
      <c r="I703">
        <v>40</v>
      </c>
      <c r="J703" s="67">
        <v>-5</v>
      </c>
    </row>
    <row r="704" spans="1:10">
      <c r="A704">
        <v>703</v>
      </c>
      <c r="B704" s="10">
        <v>42464.918356481481</v>
      </c>
      <c r="C704" s="11">
        <v>0.91835648148148152</v>
      </c>
      <c r="D704" s="12">
        <v>4</v>
      </c>
      <c r="E704" s="13" t="s">
        <v>3041</v>
      </c>
      <c r="F704">
        <f t="shared" si="12"/>
        <v>30</v>
      </c>
      <c r="G704">
        <v>36</v>
      </c>
      <c r="H704">
        <v>2</v>
      </c>
      <c r="I704">
        <v>38</v>
      </c>
      <c r="J704" s="67">
        <v>-6</v>
      </c>
    </row>
    <row r="705" spans="1:10" ht="15" thickBot="1">
      <c r="A705">
        <v>704</v>
      </c>
      <c r="B705" s="14">
        <v>42464.918379629627</v>
      </c>
      <c r="C705" s="15">
        <v>0.9183796296296296</v>
      </c>
      <c r="D705" s="16">
        <v>4</v>
      </c>
      <c r="E705" s="17" t="s">
        <v>3041</v>
      </c>
      <c r="F705">
        <f t="shared" si="12"/>
        <v>30</v>
      </c>
      <c r="G705">
        <v>22</v>
      </c>
      <c r="H705">
        <v>2</v>
      </c>
      <c r="I705">
        <v>24</v>
      </c>
      <c r="J705" s="67">
        <v>8</v>
      </c>
    </row>
    <row r="706" spans="1:10">
      <c r="A706">
        <v>705</v>
      </c>
      <c r="B706" s="6">
        <v>42465.251608796294</v>
      </c>
      <c r="C706" s="7">
        <v>0.25160879629629629</v>
      </c>
      <c r="D706" s="8">
        <v>4</v>
      </c>
      <c r="E706" s="9" t="s">
        <v>3032</v>
      </c>
      <c r="F706">
        <f t="shared" si="12"/>
        <v>30</v>
      </c>
      <c r="G706">
        <v>28</v>
      </c>
      <c r="H706">
        <v>2</v>
      </c>
      <c r="I706">
        <v>30</v>
      </c>
      <c r="J706" s="67">
        <v>2</v>
      </c>
    </row>
    <row r="707" spans="1:10">
      <c r="A707">
        <v>706</v>
      </c>
      <c r="B707" s="10">
        <v>42465.251631944448</v>
      </c>
      <c r="C707" s="11">
        <v>0.25163194444444442</v>
      </c>
      <c r="D707" s="12">
        <v>4</v>
      </c>
      <c r="E707" s="13" t="s">
        <v>3032</v>
      </c>
      <c r="F707">
        <f t="shared" ref="F707:F770" si="13">40*0.75</f>
        <v>30</v>
      </c>
      <c r="G707">
        <v>27</v>
      </c>
      <c r="H707">
        <v>5</v>
      </c>
      <c r="I707">
        <v>32</v>
      </c>
      <c r="J707" s="67">
        <v>3</v>
      </c>
    </row>
    <row r="708" spans="1:10">
      <c r="A708">
        <v>707</v>
      </c>
      <c r="B708" s="10">
        <v>42465.251655092594</v>
      </c>
      <c r="C708" s="11">
        <v>0.25165509259259261</v>
      </c>
      <c r="D708" s="12">
        <v>4</v>
      </c>
      <c r="E708" s="13" t="s">
        <v>3032</v>
      </c>
      <c r="F708">
        <f t="shared" si="13"/>
        <v>30</v>
      </c>
      <c r="G708">
        <v>25</v>
      </c>
      <c r="H708">
        <v>10</v>
      </c>
      <c r="I708">
        <v>35</v>
      </c>
      <c r="J708" s="67">
        <v>5</v>
      </c>
    </row>
    <row r="709" spans="1:10">
      <c r="A709">
        <v>708</v>
      </c>
      <c r="B709" s="10">
        <v>42465.251666666663</v>
      </c>
      <c r="C709" s="11">
        <v>0.25166666666666665</v>
      </c>
      <c r="D709" s="12">
        <v>4</v>
      </c>
      <c r="E709" s="13" t="s">
        <v>3032</v>
      </c>
      <c r="F709">
        <f t="shared" si="13"/>
        <v>30</v>
      </c>
      <c r="G709">
        <v>18</v>
      </c>
      <c r="H709">
        <v>4</v>
      </c>
      <c r="I709">
        <v>22</v>
      </c>
      <c r="J709" s="67">
        <v>12</v>
      </c>
    </row>
    <row r="710" spans="1:10">
      <c r="A710">
        <v>709</v>
      </c>
      <c r="B710" s="10">
        <v>42465.251689814817</v>
      </c>
      <c r="C710" s="11">
        <v>0.25168981481481484</v>
      </c>
      <c r="D710" s="12">
        <v>4</v>
      </c>
      <c r="E710" s="13" t="s">
        <v>3032</v>
      </c>
      <c r="F710">
        <f t="shared" si="13"/>
        <v>30</v>
      </c>
      <c r="G710">
        <v>12</v>
      </c>
      <c r="H710">
        <v>2</v>
      </c>
      <c r="I710">
        <v>14</v>
      </c>
      <c r="J710" s="67">
        <v>18</v>
      </c>
    </row>
    <row r="711" spans="1:10">
      <c r="A711">
        <v>710</v>
      </c>
      <c r="B711" s="10">
        <v>42465.251712962963</v>
      </c>
      <c r="C711" s="11">
        <v>0.25171296296296297</v>
      </c>
      <c r="D711" s="12">
        <v>4</v>
      </c>
      <c r="E711" s="13" t="s">
        <v>3032</v>
      </c>
      <c r="F711">
        <f t="shared" si="13"/>
        <v>30</v>
      </c>
      <c r="G711">
        <v>7</v>
      </c>
      <c r="H711">
        <v>1</v>
      </c>
      <c r="I711">
        <v>8</v>
      </c>
      <c r="J711" s="67">
        <v>23</v>
      </c>
    </row>
    <row r="712" spans="1:10">
      <c r="A712">
        <v>711</v>
      </c>
      <c r="B712" s="10">
        <v>42465.251736111109</v>
      </c>
      <c r="C712" s="11">
        <v>0.2517361111111111</v>
      </c>
      <c r="D712" s="12">
        <v>4</v>
      </c>
      <c r="E712" s="13" t="s">
        <v>3032</v>
      </c>
      <c r="F712">
        <f t="shared" si="13"/>
        <v>30</v>
      </c>
      <c r="G712">
        <v>27</v>
      </c>
      <c r="H712">
        <v>2</v>
      </c>
      <c r="I712">
        <v>29</v>
      </c>
      <c r="J712" s="67">
        <v>3</v>
      </c>
    </row>
    <row r="713" spans="1:10" ht="15" thickBot="1">
      <c r="A713">
        <v>712</v>
      </c>
      <c r="B713" s="14">
        <v>42465.251747685186</v>
      </c>
      <c r="C713" s="15">
        <v>0.2517476851851852</v>
      </c>
      <c r="D713" s="16">
        <v>4</v>
      </c>
      <c r="E713" s="17" t="s">
        <v>3032</v>
      </c>
      <c r="F713">
        <f t="shared" si="13"/>
        <v>30</v>
      </c>
      <c r="G713">
        <v>26</v>
      </c>
      <c r="H713">
        <v>4</v>
      </c>
      <c r="I713">
        <v>30</v>
      </c>
      <c r="J713" s="67">
        <v>4</v>
      </c>
    </row>
    <row r="714" spans="1:10">
      <c r="A714">
        <v>713</v>
      </c>
      <c r="B714" s="6">
        <v>42465.58353009259</v>
      </c>
      <c r="C714" s="7">
        <v>0.58353009259259259</v>
      </c>
      <c r="D714" s="8">
        <v>4</v>
      </c>
      <c r="E714" s="9" t="s">
        <v>3041</v>
      </c>
      <c r="F714">
        <f t="shared" si="13"/>
        <v>30</v>
      </c>
      <c r="G714">
        <v>26</v>
      </c>
      <c r="H714">
        <v>1</v>
      </c>
      <c r="I714">
        <v>27</v>
      </c>
      <c r="J714" s="67">
        <v>4</v>
      </c>
    </row>
    <row r="715" spans="1:10">
      <c r="A715">
        <v>714</v>
      </c>
      <c r="B715" s="10">
        <v>42465.583564814813</v>
      </c>
      <c r="C715" s="11">
        <v>0.58356481481481481</v>
      </c>
      <c r="D715" s="12">
        <v>4</v>
      </c>
      <c r="E715" s="13" t="s">
        <v>3041</v>
      </c>
      <c r="F715">
        <f t="shared" si="13"/>
        <v>30</v>
      </c>
      <c r="G715">
        <v>30</v>
      </c>
      <c r="H715">
        <v>2</v>
      </c>
      <c r="I715">
        <v>32</v>
      </c>
      <c r="J715" s="67">
        <v>0</v>
      </c>
    </row>
    <row r="716" spans="1:10">
      <c r="A716">
        <v>715</v>
      </c>
      <c r="B716" s="10">
        <v>42465.583587962959</v>
      </c>
      <c r="C716" s="11">
        <v>0.583587962962963</v>
      </c>
      <c r="D716" s="12">
        <v>4</v>
      </c>
      <c r="E716" s="13" t="s">
        <v>3041</v>
      </c>
      <c r="F716">
        <f t="shared" si="13"/>
        <v>30</v>
      </c>
      <c r="G716">
        <v>30</v>
      </c>
      <c r="H716">
        <v>2</v>
      </c>
      <c r="I716">
        <v>32</v>
      </c>
      <c r="J716" s="67">
        <v>0</v>
      </c>
    </row>
    <row r="717" spans="1:10">
      <c r="A717">
        <v>716</v>
      </c>
      <c r="B717" s="10">
        <v>42465.583622685182</v>
      </c>
      <c r="C717" s="11">
        <v>0.58362268518518523</v>
      </c>
      <c r="D717" s="12">
        <v>4</v>
      </c>
      <c r="E717" s="13" t="s">
        <v>3041</v>
      </c>
      <c r="F717">
        <f t="shared" si="13"/>
        <v>30</v>
      </c>
      <c r="G717">
        <v>21</v>
      </c>
      <c r="H717">
        <v>0</v>
      </c>
      <c r="I717">
        <v>21</v>
      </c>
      <c r="J717" s="67">
        <v>9</v>
      </c>
    </row>
    <row r="718" spans="1:10">
      <c r="A718">
        <v>717</v>
      </c>
      <c r="B718" s="10">
        <v>42465.583645833336</v>
      </c>
      <c r="C718" s="11">
        <v>0.58364583333333331</v>
      </c>
      <c r="D718" s="12">
        <v>4</v>
      </c>
      <c r="E718" s="13" t="s">
        <v>3041</v>
      </c>
      <c r="F718">
        <f t="shared" si="13"/>
        <v>30</v>
      </c>
      <c r="G718">
        <v>38</v>
      </c>
      <c r="H718">
        <v>2</v>
      </c>
      <c r="I718">
        <v>40</v>
      </c>
      <c r="J718" s="67">
        <v>-8</v>
      </c>
    </row>
    <row r="719" spans="1:10">
      <c r="A719">
        <v>718</v>
      </c>
      <c r="B719" s="10">
        <v>42465.583680555559</v>
      </c>
      <c r="C719" s="11">
        <v>0.58368055555555554</v>
      </c>
      <c r="D719" s="12">
        <v>4</v>
      </c>
      <c r="E719" s="13" t="s">
        <v>3041</v>
      </c>
      <c r="F719">
        <f t="shared" si="13"/>
        <v>30</v>
      </c>
      <c r="G719">
        <v>38</v>
      </c>
      <c r="H719">
        <v>1</v>
      </c>
      <c r="I719">
        <v>39</v>
      </c>
      <c r="J719" s="67">
        <v>-8</v>
      </c>
    </row>
    <row r="720" spans="1:10">
      <c r="A720">
        <v>719</v>
      </c>
      <c r="B720" s="10">
        <v>42465.583703703705</v>
      </c>
      <c r="C720" s="11">
        <v>0.58370370370370372</v>
      </c>
      <c r="D720" s="12">
        <v>4</v>
      </c>
      <c r="E720" s="13" t="s">
        <v>3041</v>
      </c>
      <c r="F720">
        <f t="shared" si="13"/>
        <v>30</v>
      </c>
      <c r="G720">
        <v>38</v>
      </c>
      <c r="H720">
        <v>3</v>
      </c>
      <c r="I720">
        <v>41</v>
      </c>
      <c r="J720" s="67">
        <v>-8</v>
      </c>
    </row>
    <row r="721" spans="1:10" ht="15" thickBot="1">
      <c r="A721">
        <v>720</v>
      </c>
      <c r="B721" s="14">
        <v>42465.583738425928</v>
      </c>
      <c r="C721" s="15">
        <v>0.58373842592592595</v>
      </c>
      <c r="D721" s="16">
        <v>4</v>
      </c>
      <c r="E721" s="17" t="s">
        <v>3041</v>
      </c>
      <c r="F721">
        <f t="shared" si="13"/>
        <v>30</v>
      </c>
      <c r="G721">
        <v>32</v>
      </c>
      <c r="H721">
        <v>4</v>
      </c>
      <c r="I721">
        <v>36</v>
      </c>
      <c r="J721" s="67">
        <v>-2</v>
      </c>
    </row>
    <row r="722" spans="1:10">
      <c r="A722">
        <v>721</v>
      </c>
      <c r="B722" s="6">
        <v>42465.915995370371</v>
      </c>
      <c r="C722" s="7">
        <v>0.91599537037037038</v>
      </c>
      <c r="D722" s="8">
        <v>4</v>
      </c>
      <c r="E722" s="9" t="s">
        <v>3058</v>
      </c>
      <c r="F722">
        <f t="shared" si="13"/>
        <v>30</v>
      </c>
      <c r="G722">
        <v>26</v>
      </c>
      <c r="H722">
        <v>3</v>
      </c>
      <c r="I722">
        <v>29</v>
      </c>
      <c r="J722" s="67">
        <v>4</v>
      </c>
    </row>
    <row r="723" spans="1:10">
      <c r="A723">
        <v>722</v>
      </c>
      <c r="B723" s="10">
        <v>42465.915798611109</v>
      </c>
      <c r="C723" s="11">
        <v>0.91579861111111116</v>
      </c>
      <c r="D723" s="12">
        <v>4</v>
      </c>
      <c r="E723" s="13" t="s">
        <v>3058</v>
      </c>
      <c r="F723">
        <f t="shared" si="13"/>
        <v>30</v>
      </c>
      <c r="G723">
        <v>23</v>
      </c>
      <c r="H723">
        <v>6</v>
      </c>
      <c r="I723">
        <v>29</v>
      </c>
      <c r="J723" s="67">
        <v>7</v>
      </c>
    </row>
    <row r="724" spans="1:10">
      <c r="A724">
        <v>723</v>
      </c>
      <c r="B724" s="10">
        <v>42465.916273148148</v>
      </c>
      <c r="C724" s="11">
        <v>0.9162731481481482</v>
      </c>
      <c r="D724" s="12">
        <v>4</v>
      </c>
      <c r="E724" s="13" t="s">
        <v>3058</v>
      </c>
      <c r="F724">
        <f t="shared" si="13"/>
        <v>30</v>
      </c>
      <c r="G724">
        <v>28</v>
      </c>
      <c r="H724">
        <v>2</v>
      </c>
      <c r="I724">
        <v>30</v>
      </c>
      <c r="J724" s="67">
        <v>2</v>
      </c>
    </row>
    <row r="725" spans="1:10">
      <c r="A725">
        <v>724</v>
      </c>
      <c r="B725" s="10">
        <v>42465.916296296295</v>
      </c>
      <c r="C725" s="11">
        <v>0.91629629629629628</v>
      </c>
      <c r="D725" s="12">
        <v>4</v>
      </c>
      <c r="E725" s="13" t="s">
        <v>3058</v>
      </c>
      <c r="F725">
        <f t="shared" si="13"/>
        <v>30</v>
      </c>
      <c r="G725">
        <v>11</v>
      </c>
      <c r="H725">
        <v>1</v>
      </c>
      <c r="I725">
        <v>12</v>
      </c>
      <c r="J725" s="67">
        <v>19</v>
      </c>
    </row>
    <row r="726" spans="1:10">
      <c r="A726">
        <v>725</v>
      </c>
      <c r="B726" s="10">
        <v>42465.916331018518</v>
      </c>
      <c r="C726" s="11">
        <v>0.9163310185185185</v>
      </c>
      <c r="D726" s="12">
        <v>4</v>
      </c>
      <c r="E726" s="13" t="s">
        <v>3058</v>
      </c>
      <c r="F726">
        <f t="shared" si="13"/>
        <v>30</v>
      </c>
      <c r="G726">
        <v>29</v>
      </c>
      <c r="H726">
        <v>2</v>
      </c>
      <c r="I726">
        <v>31</v>
      </c>
      <c r="J726" s="67">
        <v>1</v>
      </c>
    </row>
    <row r="727" spans="1:10">
      <c r="A727">
        <v>726</v>
      </c>
      <c r="B727" s="10">
        <v>42465.916354166664</v>
      </c>
      <c r="C727" s="11">
        <v>0.91635416666666669</v>
      </c>
      <c r="D727" s="12">
        <v>4</v>
      </c>
      <c r="E727" s="13" t="s">
        <v>3058</v>
      </c>
      <c r="F727">
        <f t="shared" si="13"/>
        <v>30</v>
      </c>
      <c r="G727">
        <v>26</v>
      </c>
      <c r="H727">
        <v>0</v>
      </c>
      <c r="I727">
        <v>26</v>
      </c>
      <c r="J727" s="67">
        <v>4</v>
      </c>
    </row>
    <row r="728" spans="1:10">
      <c r="A728">
        <v>727</v>
      </c>
      <c r="B728" s="10">
        <v>42465.916365740741</v>
      </c>
      <c r="C728" s="11">
        <v>0.91636574074074073</v>
      </c>
      <c r="D728" s="12">
        <v>4</v>
      </c>
      <c r="E728" s="13" t="s">
        <v>3058</v>
      </c>
      <c r="F728">
        <f t="shared" si="13"/>
        <v>30</v>
      </c>
      <c r="G728">
        <v>28</v>
      </c>
      <c r="H728">
        <v>0</v>
      </c>
      <c r="I728">
        <v>28</v>
      </c>
      <c r="J728" s="67">
        <v>2</v>
      </c>
    </row>
    <row r="729" spans="1:10" ht="15" thickBot="1">
      <c r="A729">
        <v>728</v>
      </c>
      <c r="B729" s="14">
        <v>42465.916388888887</v>
      </c>
      <c r="C729" s="15">
        <v>0.91638888888888892</v>
      </c>
      <c r="D729" s="16">
        <v>4</v>
      </c>
      <c r="E729" s="17" t="s">
        <v>3058</v>
      </c>
      <c r="F729">
        <f t="shared" si="13"/>
        <v>30</v>
      </c>
      <c r="G729">
        <v>20</v>
      </c>
      <c r="H729">
        <v>2</v>
      </c>
      <c r="I729">
        <v>22</v>
      </c>
      <c r="J729" s="67">
        <v>10</v>
      </c>
    </row>
    <row r="730" spans="1:10">
      <c r="A730">
        <v>729</v>
      </c>
      <c r="B730" s="6">
        <v>42466.2500462963</v>
      </c>
      <c r="C730" s="7">
        <v>0.25004629629629632</v>
      </c>
      <c r="D730" s="8">
        <v>3</v>
      </c>
      <c r="E730" s="9" t="s">
        <v>3058</v>
      </c>
      <c r="F730">
        <f t="shared" si="13"/>
        <v>30</v>
      </c>
      <c r="G730">
        <v>26</v>
      </c>
      <c r="H730">
        <v>1</v>
      </c>
      <c r="I730">
        <v>27</v>
      </c>
      <c r="J730" s="67">
        <v>4</v>
      </c>
    </row>
    <row r="731" spans="1:10">
      <c r="A731">
        <v>730</v>
      </c>
      <c r="B731" s="10">
        <v>42466.2503125</v>
      </c>
      <c r="C731" s="11">
        <v>0.25031249999999999</v>
      </c>
      <c r="D731" s="12">
        <v>3</v>
      </c>
      <c r="E731" s="13" t="s">
        <v>3058</v>
      </c>
      <c r="F731">
        <f t="shared" si="13"/>
        <v>30</v>
      </c>
      <c r="G731">
        <v>38</v>
      </c>
      <c r="H731">
        <v>0</v>
      </c>
      <c r="I731">
        <v>38</v>
      </c>
      <c r="J731" s="67">
        <v>-8</v>
      </c>
    </row>
    <row r="732" spans="1:10">
      <c r="A732">
        <v>731</v>
      </c>
      <c r="B732" s="10">
        <v>42466.250335648147</v>
      </c>
      <c r="C732" s="11">
        <v>0.25033564814814813</v>
      </c>
      <c r="D732" s="12">
        <v>3</v>
      </c>
      <c r="E732" s="13" t="s">
        <v>3058</v>
      </c>
      <c r="F732">
        <f t="shared" si="13"/>
        <v>30</v>
      </c>
      <c r="G732">
        <v>38</v>
      </c>
      <c r="H732">
        <v>1</v>
      </c>
      <c r="I732">
        <v>39</v>
      </c>
      <c r="J732" s="67">
        <v>-8</v>
      </c>
    </row>
    <row r="733" spans="1:10">
      <c r="A733">
        <v>732</v>
      </c>
      <c r="B733" s="10">
        <v>42466.25037037037</v>
      </c>
      <c r="C733" s="11">
        <v>0.25037037037037035</v>
      </c>
      <c r="D733" s="12">
        <v>3</v>
      </c>
      <c r="E733" s="13" t="s">
        <v>3058</v>
      </c>
      <c r="F733">
        <f t="shared" si="13"/>
        <v>30</v>
      </c>
      <c r="G733">
        <v>38</v>
      </c>
      <c r="H733">
        <v>0</v>
      </c>
      <c r="I733">
        <v>38</v>
      </c>
      <c r="J733" s="67">
        <v>-8</v>
      </c>
    </row>
    <row r="734" spans="1:10">
      <c r="A734">
        <v>733</v>
      </c>
      <c r="B734" s="10">
        <v>42466.250393518516</v>
      </c>
      <c r="C734" s="11">
        <v>0.25039351851851854</v>
      </c>
      <c r="D734" s="12">
        <v>3</v>
      </c>
      <c r="E734" s="13" t="s">
        <v>3058</v>
      </c>
      <c r="F734">
        <f t="shared" si="13"/>
        <v>30</v>
      </c>
      <c r="G734">
        <v>0</v>
      </c>
      <c r="H734">
        <v>0</v>
      </c>
      <c r="I734">
        <v>0</v>
      </c>
      <c r="J734" s="67">
        <v>30</v>
      </c>
    </row>
    <row r="735" spans="1:10">
      <c r="A735">
        <v>734</v>
      </c>
      <c r="B735" s="10">
        <v>42466.250428240739</v>
      </c>
      <c r="C735" s="11">
        <v>0.25042824074074072</v>
      </c>
      <c r="D735" s="12">
        <v>3</v>
      </c>
      <c r="E735" s="13" t="s">
        <v>3058</v>
      </c>
      <c r="F735">
        <f t="shared" si="13"/>
        <v>30</v>
      </c>
      <c r="G735">
        <v>11</v>
      </c>
      <c r="H735">
        <v>8</v>
      </c>
      <c r="I735">
        <v>19</v>
      </c>
      <c r="J735" s="67">
        <v>19</v>
      </c>
    </row>
    <row r="736" spans="1:10">
      <c r="A736">
        <v>735</v>
      </c>
      <c r="B736" s="10">
        <v>42466.250462962962</v>
      </c>
      <c r="C736" s="11">
        <v>0.25046296296296294</v>
      </c>
      <c r="D736" s="12">
        <v>3</v>
      </c>
      <c r="E736" s="13" t="s">
        <v>3058</v>
      </c>
      <c r="F736">
        <f t="shared" si="13"/>
        <v>30</v>
      </c>
      <c r="G736">
        <v>15</v>
      </c>
      <c r="H736">
        <v>4</v>
      </c>
      <c r="I736">
        <v>19</v>
      </c>
      <c r="J736" s="67">
        <v>15</v>
      </c>
    </row>
    <row r="737" spans="1:10" ht="15" thickBot="1">
      <c r="A737">
        <v>736</v>
      </c>
      <c r="B737" s="14">
        <v>42466.250497685185</v>
      </c>
      <c r="C737" s="15">
        <v>0.25049768518518517</v>
      </c>
      <c r="D737" s="16">
        <v>3</v>
      </c>
      <c r="E737" s="17" t="s">
        <v>3058</v>
      </c>
      <c r="F737">
        <f t="shared" si="13"/>
        <v>30</v>
      </c>
      <c r="G737">
        <v>22</v>
      </c>
      <c r="H737">
        <v>4</v>
      </c>
      <c r="I737">
        <v>26</v>
      </c>
      <c r="J737" s="67">
        <v>8</v>
      </c>
    </row>
    <row r="738" spans="1:10">
      <c r="A738">
        <v>737</v>
      </c>
      <c r="B738" s="6">
        <v>42466.589224537034</v>
      </c>
      <c r="C738" s="7">
        <v>0.58922453703703703</v>
      </c>
      <c r="D738" s="8">
        <v>4</v>
      </c>
      <c r="E738" s="9" t="s">
        <v>3059</v>
      </c>
      <c r="F738">
        <f t="shared" si="13"/>
        <v>30</v>
      </c>
      <c r="G738">
        <v>8</v>
      </c>
      <c r="H738">
        <v>14</v>
      </c>
      <c r="I738">
        <v>22</v>
      </c>
      <c r="J738" s="67">
        <v>22</v>
      </c>
    </row>
    <row r="739" spans="1:10">
      <c r="A739">
        <v>738</v>
      </c>
      <c r="B739" s="10">
        <v>42466.587627314817</v>
      </c>
      <c r="C739" s="11">
        <v>0.58762731481481478</v>
      </c>
      <c r="D739" s="12">
        <v>4</v>
      </c>
      <c r="E739" s="13" t="s">
        <v>3059</v>
      </c>
      <c r="F739">
        <f t="shared" si="13"/>
        <v>30</v>
      </c>
      <c r="G739">
        <v>14</v>
      </c>
      <c r="H739">
        <v>9</v>
      </c>
      <c r="I739">
        <v>23</v>
      </c>
      <c r="J739" s="67">
        <v>16</v>
      </c>
    </row>
    <row r="740" spans="1:10">
      <c r="A740">
        <v>739</v>
      </c>
      <c r="B740" s="10">
        <v>42466.66679398148</v>
      </c>
      <c r="C740" s="11">
        <v>0.6667939814814815</v>
      </c>
      <c r="D740" s="12">
        <v>4</v>
      </c>
      <c r="E740" s="13" t="s">
        <v>3059</v>
      </c>
      <c r="F740">
        <f t="shared" si="13"/>
        <v>30</v>
      </c>
      <c r="G740">
        <v>3</v>
      </c>
      <c r="H740">
        <v>0</v>
      </c>
      <c r="I740">
        <v>3</v>
      </c>
      <c r="J740" s="67">
        <v>27</v>
      </c>
    </row>
    <row r="741" spans="1:10">
      <c r="A741">
        <v>740</v>
      </c>
      <c r="B741" s="10">
        <v>42466.584490740737</v>
      </c>
      <c r="C741" s="11">
        <v>0.5844907407407407</v>
      </c>
      <c r="D741" s="12">
        <v>4</v>
      </c>
      <c r="E741" s="13" t="s">
        <v>3058</v>
      </c>
      <c r="F741">
        <f t="shared" si="13"/>
        <v>30</v>
      </c>
      <c r="G741">
        <v>3</v>
      </c>
      <c r="H741">
        <v>0</v>
      </c>
      <c r="I741">
        <v>3</v>
      </c>
      <c r="J741" s="67">
        <v>27</v>
      </c>
    </row>
    <row r="742" spans="1:10">
      <c r="A742">
        <v>741</v>
      </c>
      <c r="B742" s="10">
        <v>42466.58452546296</v>
      </c>
      <c r="C742" s="11">
        <v>0.58452546296296293</v>
      </c>
      <c r="D742" s="12">
        <v>4</v>
      </c>
      <c r="E742" s="13" t="s">
        <v>3058</v>
      </c>
      <c r="F742">
        <f t="shared" si="13"/>
        <v>30</v>
      </c>
      <c r="G742">
        <v>3</v>
      </c>
      <c r="H742">
        <v>0</v>
      </c>
      <c r="I742">
        <v>3</v>
      </c>
      <c r="J742" s="67">
        <v>27</v>
      </c>
    </row>
    <row r="743" spans="1:10">
      <c r="A743">
        <v>742</v>
      </c>
      <c r="B743" s="10">
        <v>42466.584560185183</v>
      </c>
      <c r="C743" s="11">
        <v>0.58456018518518515</v>
      </c>
      <c r="D743" s="12">
        <v>4</v>
      </c>
      <c r="E743" s="13" t="s">
        <v>3058</v>
      </c>
      <c r="F743">
        <f t="shared" si="13"/>
        <v>30</v>
      </c>
      <c r="G743">
        <v>35</v>
      </c>
      <c r="H743">
        <v>4</v>
      </c>
      <c r="I743">
        <v>39</v>
      </c>
      <c r="J743" s="67">
        <v>-5</v>
      </c>
    </row>
    <row r="744" spans="1:10">
      <c r="A744">
        <v>743</v>
      </c>
      <c r="B744" s="10">
        <v>42466.584583333337</v>
      </c>
      <c r="C744" s="11">
        <v>0.58458333333333334</v>
      </c>
      <c r="D744" s="12">
        <v>4</v>
      </c>
      <c r="E744" s="13" t="s">
        <v>3058</v>
      </c>
      <c r="F744">
        <f t="shared" si="13"/>
        <v>30</v>
      </c>
      <c r="G744">
        <v>24</v>
      </c>
      <c r="H744">
        <v>5</v>
      </c>
      <c r="I744">
        <v>29</v>
      </c>
      <c r="J744" s="67">
        <v>6</v>
      </c>
    </row>
    <row r="745" spans="1:10" ht="15" thickBot="1">
      <c r="A745">
        <v>744</v>
      </c>
      <c r="B745" s="14">
        <v>42466.584606481483</v>
      </c>
      <c r="C745" s="15">
        <v>0.58460648148148153</v>
      </c>
      <c r="D745" s="16">
        <v>4</v>
      </c>
      <c r="E745" s="17" t="s">
        <v>3058</v>
      </c>
      <c r="F745">
        <f t="shared" si="13"/>
        <v>30</v>
      </c>
      <c r="G745">
        <v>24</v>
      </c>
      <c r="H745">
        <v>5</v>
      </c>
      <c r="I745">
        <v>29</v>
      </c>
      <c r="J745" s="67">
        <v>6</v>
      </c>
    </row>
    <row r="746" spans="1:10">
      <c r="A746">
        <v>745</v>
      </c>
      <c r="B746" s="6">
        <v>42466.913738425923</v>
      </c>
      <c r="C746" s="7">
        <v>0.91373842592592591</v>
      </c>
      <c r="D746" s="8">
        <v>4</v>
      </c>
      <c r="E746" s="9" t="s">
        <v>3058</v>
      </c>
      <c r="F746">
        <f t="shared" si="13"/>
        <v>30</v>
      </c>
      <c r="G746">
        <v>5</v>
      </c>
      <c r="H746">
        <v>2</v>
      </c>
      <c r="I746">
        <v>7</v>
      </c>
      <c r="J746" s="67">
        <v>25</v>
      </c>
    </row>
    <row r="747" spans="1:10">
      <c r="A747">
        <v>746</v>
      </c>
      <c r="B747" s="10">
        <v>42466.91375</v>
      </c>
      <c r="C747" s="11">
        <v>0.91374999999999995</v>
      </c>
      <c r="D747" s="12">
        <v>4</v>
      </c>
      <c r="E747" s="13" t="s">
        <v>3058</v>
      </c>
      <c r="F747">
        <f t="shared" si="13"/>
        <v>30</v>
      </c>
      <c r="G747">
        <v>0</v>
      </c>
      <c r="H747">
        <v>0</v>
      </c>
      <c r="I747">
        <v>0</v>
      </c>
      <c r="J747" s="67">
        <v>30</v>
      </c>
    </row>
    <row r="748" spans="1:10">
      <c r="A748">
        <v>747</v>
      </c>
      <c r="B748" s="10">
        <v>42466.913773148146</v>
      </c>
      <c r="C748" s="11">
        <v>0.91377314814814814</v>
      </c>
      <c r="D748" s="12">
        <v>4</v>
      </c>
      <c r="E748" s="13" t="s">
        <v>3058</v>
      </c>
      <c r="F748">
        <f t="shared" si="13"/>
        <v>30</v>
      </c>
      <c r="G748">
        <v>0</v>
      </c>
      <c r="H748">
        <v>0</v>
      </c>
      <c r="I748">
        <v>0</v>
      </c>
      <c r="J748" s="67">
        <v>30</v>
      </c>
    </row>
    <row r="749" spans="1:10">
      <c r="A749">
        <v>748</v>
      </c>
      <c r="B749" s="10">
        <v>42466.9137962963</v>
      </c>
      <c r="C749" s="11">
        <v>0.91379629629629633</v>
      </c>
      <c r="D749" s="12">
        <v>4</v>
      </c>
      <c r="E749" s="13" t="s">
        <v>3058</v>
      </c>
      <c r="F749">
        <f t="shared" si="13"/>
        <v>30</v>
      </c>
      <c r="G749">
        <v>0</v>
      </c>
      <c r="H749">
        <v>0</v>
      </c>
      <c r="I749">
        <v>0</v>
      </c>
      <c r="J749" s="67">
        <v>30</v>
      </c>
    </row>
    <row r="750" spans="1:10">
      <c r="A750">
        <v>749</v>
      </c>
      <c r="B750" s="10">
        <v>42466.913819444446</v>
      </c>
      <c r="C750" s="11">
        <v>0.91381944444444441</v>
      </c>
      <c r="D750" s="12">
        <v>4</v>
      </c>
      <c r="E750" s="13" t="s">
        <v>3058</v>
      </c>
      <c r="F750">
        <f t="shared" si="13"/>
        <v>30</v>
      </c>
      <c r="G750">
        <v>0</v>
      </c>
      <c r="H750">
        <v>0</v>
      </c>
      <c r="I750">
        <v>0</v>
      </c>
      <c r="J750" s="67">
        <v>30</v>
      </c>
    </row>
    <row r="751" spans="1:10">
      <c r="A751">
        <v>750</v>
      </c>
      <c r="B751" s="10">
        <v>42466.913865740738</v>
      </c>
      <c r="C751" s="11">
        <v>0.91386574074074078</v>
      </c>
      <c r="D751" s="12">
        <v>4</v>
      </c>
      <c r="E751" s="13" t="s">
        <v>3058</v>
      </c>
      <c r="F751">
        <f t="shared" si="13"/>
        <v>30</v>
      </c>
      <c r="G751">
        <v>0</v>
      </c>
      <c r="H751">
        <v>0</v>
      </c>
      <c r="I751">
        <v>0</v>
      </c>
      <c r="J751" s="67">
        <v>30</v>
      </c>
    </row>
    <row r="752" spans="1:10">
      <c r="A752">
        <v>751</v>
      </c>
      <c r="B752" s="10">
        <v>42466.913900462961</v>
      </c>
      <c r="C752" s="11">
        <v>0.91390046296296301</v>
      </c>
      <c r="D752" s="12">
        <v>4</v>
      </c>
      <c r="E752" s="13" t="s">
        <v>3058</v>
      </c>
      <c r="F752">
        <f t="shared" si="13"/>
        <v>30</v>
      </c>
      <c r="G752">
        <v>0</v>
      </c>
      <c r="H752">
        <v>0</v>
      </c>
      <c r="I752">
        <v>0</v>
      </c>
      <c r="J752" s="67">
        <v>30</v>
      </c>
    </row>
    <row r="753" spans="1:10" ht="15" thickBot="1">
      <c r="A753">
        <v>752</v>
      </c>
      <c r="B753" s="14">
        <v>42466.913923611108</v>
      </c>
      <c r="C753" s="15">
        <v>0.91392361111111109</v>
      </c>
      <c r="D753" s="16">
        <v>4</v>
      </c>
      <c r="E753" s="17" t="s">
        <v>3058</v>
      </c>
      <c r="F753">
        <f t="shared" si="13"/>
        <v>30</v>
      </c>
      <c r="G753">
        <v>0</v>
      </c>
      <c r="H753">
        <v>0</v>
      </c>
      <c r="I753">
        <v>0</v>
      </c>
      <c r="J753" s="67">
        <v>30</v>
      </c>
    </row>
    <row r="754" spans="1:10">
      <c r="A754">
        <v>753</v>
      </c>
      <c r="B754" s="6">
        <v>42467.247303240743</v>
      </c>
      <c r="C754" s="7">
        <v>0.24730324074074075</v>
      </c>
      <c r="D754" s="8">
        <v>4</v>
      </c>
      <c r="E754" s="9" t="s">
        <v>3058</v>
      </c>
      <c r="F754">
        <f t="shared" si="13"/>
        <v>30</v>
      </c>
      <c r="G754">
        <v>35</v>
      </c>
      <c r="H754">
        <v>2</v>
      </c>
      <c r="I754">
        <v>37</v>
      </c>
      <c r="J754" s="67">
        <v>-5</v>
      </c>
    </row>
    <row r="755" spans="1:10">
      <c r="A755">
        <v>754</v>
      </c>
      <c r="B755" s="10">
        <v>42467.24732638889</v>
      </c>
      <c r="C755" s="11">
        <v>0.24732638888888889</v>
      </c>
      <c r="D755" s="12">
        <v>4</v>
      </c>
      <c r="E755" s="13" t="s">
        <v>3058</v>
      </c>
      <c r="F755">
        <f t="shared" si="13"/>
        <v>30</v>
      </c>
      <c r="G755">
        <v>38</v>
      </c>
      <c r="H755">
        <v>2</v>
      </c>
      <c r="I755">
        <v>40</v>
      </c>
      <c r="J755" s="67">
        <v>-8</v>
      </c>
    </row>
    <row r="756" spans="1:10">
      <c r="A756">
        <v>755</v>
      </c>
      <c r="B756" s="10">
        <v>42467.247361111113</v>
      </c>
      <c r="C756" s="11">
        <v>0.24736111111111111</v>
      </c>
      <c r="D756" s="12">
        <v>4</v>
      </c>
      <c r="E756" s="13" t="s">
        <v>3058</v>
      </c>
      <c r="F756">
        <f t="shared" si="13"/>
        <v>30</v>
      </c>
      <c r="G756">
        <v>38</v>
      </c>
      <c r="H756">
        <v>2</v>
      </c>
      <c r="I756">
        <v>40</v>
      </c>
      <c r="J756" s="67">
        <v>-8</v>
      </c>
    </row>
    <row r="757" spans="1:10">
      <c r="A757">
        <v>756</v>
      </c>
      <c r="B757" s="10">
        <v>42467.247395833336</v>
      </c>
      <c r="C757" s="11">
        <v>0.24739583333333334</v>
      </c>
      <c r="D757" s="12">
        <v>4</v>
      </c>
      <c r="E757" s="13" t="s">
        <v>3058</v>
      </c>
      <c r="F757">
        <f t="shared" si="13"/>
        <v>30</v>
      </c>
      <c r="G757">
        <v>21</v>
      </c>
      <c r="H757">
        <v>0</v>
      </c>
      <c r="I757">
        <v>21</v>
      </c>
      <c r="J757" s="67">
        <v>9</v>
      </c>
    </row>
    <row r="758" spans="1:10">
      <c r="A758">
        <v>757</v>
      </c>
      <c r="B758" s="10">
        <v>42467.247418981482</v>
      </c>
      <c r="C758" s="11">
        <v>0.24741898148148148</v>
      </c>
      <c r="D758" s="12">
        <v>4</v>
      </c>
      <c r="E758" s="13" t="s">
        <v>3058</v>
      </c>
      <c r="F758">
        <f t="shared" si="13"/>
        <v>30</v>
      </c>
      <c r="G758">
        <v>29</v>
      </c>
      <c r="H758">
        <v>2</v>
      </c>
      <c r="I758">
        <v>31</v>
      </c>
      <c r="J758" s="67">
        <v>1</v>
      </c>
    </row>
    <row r="759" spans="1:10">
      <c r="A759">
        <v>758</v>
      </c>
      <c r="B759" s="10">
        <v>42467.247453703705</v>
      </c>
      <c r="C759" s="11">
        <v>0.2474537037037037</v>
      </c>
      <c r="D759" s="12">
        <v>4</v>
      </c>
      <c r="E759" s="13" t="s">
        <v>3058</v>
      </c>
      <c r="F759">
        <f t="shared" si="13"/>
        <v>30</v>
      </c>
      <c r="G759">
        <v>36</v>
      </c>
      <c r="H759">
        <v>5</v>
      </c>
      <c r="I759">
        <v>41</v>
      </c>
      <c r="J759" s="67">
        <v>-6</v>
      </c>
    </row>
    <row r="760" spans="1:10">
      <c r="A760">
        <v>759</v>
      </c>
      <c r="B760" s="10">
        <v>42467.525601851848</v>
      </c>
      <c r="C760" s="11">
        <v>0.52560185185185182</v>
      </c>
      <c r="D760" s="12">
        <v>4</v>
      </c>
      <c r="E760" s="13" t="s">
        <v>3060</v>
      </c>
      <c r="F760">
        <f t="shared" si="13"/>
        <v>30</v>
      </c>
      <c r="G760">
        <v>38</v>
      </c>
      <c r="H760">
        <v>3</v>
      </c>
      <c r="I760">
        <v>41</v>
      </c>
      <c r="J760" s="67">
        <v>-8</v>
      </c>
    </row>
    <row r="761" spans="1:10" ht="15" thickBot="1">
      <c r="A761">
        <v>760</v>
      </c>
      <c r="B761" s="14">
        <v>42467.581793981481</v>
      </c>
      <c r="C761" s="15">
        <v>0.58179398148148154</v>
      </c>
      <c r="D761" s="16">
        <v>4</v>
      </c>
      <c r="E761" s="17" t="s">
        <v>3060</v>
      </c>
      <c r="F761">
        <f t="shared" si="13"/>
        <v>30</v>
      </c>
      <c r="G761">
        <v>30</v>
      </c>
      <c r="H761">
        <v>2</v>
      </c>
      <c r="I761">
        <v>32</v>
      </c>
      <c r="J761" s="67">
        <v>0</v>
      </c>
    </row>
    <row r="762" spans="1:10">
      <c r="A762">
        <v>761</v>
      </c>
      <c r="B762" s="6">
        <v>42467.586180555554</v>
      </c>
      <c r="C762" s="7">
        <v>0.58618055555555559</v>
      </c>
      <c r="D762" s="8">
        <v>4</v>
      </c>
      <c r="E762" s="9" t="s">
        <v>3060</v>
      </c>
      <c r="F762">
        <f t="shared" si="13"/>
        <v>30</v>
      </c>
      <c r="G762">
        <v>27</v>
      </c>
      <c r="H762">
        <v>1</v>
      </c>
      <c r="I762">
        <v>28</v>
      </c>
      <c r="J762" s="67">
        <v>3</v>
      </c>
    </row>
    <row r="763" spans="1:10">
      <c r="A763">
        <v>762</v>
      </c>
      <c r="B763" s="10">
        <v>42467.63008101852</v>
      </c>
      <c r="C763" s="11">
        <v>0.6300810185185185</v>
      </c>
      <c r="D763" s="12">
        <v>4</v>
      </c>
      <c r="E763" s="13" t="s">
        <v>3060</v>
      </c>
      <c r="F763">
        <f t="shared" si="13"/>
        <v>30</v>
      </c>
      <c r="G763">
        <v>38</v>
      </c>
      <c r="H763">
        <v>1</v>
      </c>
      <c r="I763">
        <v>39</v>
      </c>
      <c r="J763" s="67">
        <v>-8</v>
      </c>
    </row>
    <row r="764" spans="1:10">
      <c r="A764">
        <v>763</v>
      </c>
      <c r="B764" s="10">
        <v>42467.586261574077</v>
      </c>
      <c r="C764" s="11">
        <v>0.58626157407407409</v>
      </c>
      <c r="D764" s="12">
        <v>4</v>
      </c>
      <c r="E764" s="13" t="s">
        <v>3058</v>
      </c>
      <c r="F764">
        <f t="shared" si="13"/>
        <v>30</v>
      </c>
      <c r="G764">
        <v>38</v>
      </c>
      <c r="H764">
        <v>2</v>
      </c>
      <c r="I764">
        <v>40</v>
      </c>
      <c r="J764" s="67">
        <v>-8</v>
      </c>
    </row>
    <row r="765" spans="1:10">
      <c r="A765">
        <v>764</v>
      </c>
      <c r="B765" s="10">
        <v>42467.586284722223</v>
      </c>
      <c r="C765" s="11">
        <v>0.58628472222222228</v>
      </c>
      <c r="D765" s="12">
        <v>4</v>
      </c>
      <c r="E765" s="13" t="s">
        <v>3058</v>
      </c>
      <c r="F765">
        <f t="shared" si="13"/>
        <v>30</v>
      </c>
      <c r="G765">
        <v>34</v>
      </c>
      <c r="H765">
        <v>2</v>
      </c>
      <c r="I765">
        <v>36</v>
      </c>
      <c r="J765" s="67">
        <v>-4</v>
      </c>
    </row>
    <row r="766" spans="1:10">
      <c r="A766">
        <v>765</v>
      </c>
      <c r="B766" s="10">
        <v>42467.58630787037</v>
      </c>
      <c r="C766" s="11">
        <v>0.58630787037037035</v>
      </c>
      <c r="D766" s="12">
        <v>4</v>
      </c>
      <c r="E766" s="13" t="s">
        <v>3058</v>
      </c>
      <c r="F766">
        <f t="shared" si="13"/>
        <v>30</v>
      </c>
      <c r="G766">
        <v>0</v>
      </c>
      <c r="H766">
        <v>0</v>
      </c>
      <c r="I766">
        <v>0</v>
      </c>
      <c r="J766" s="67">
        <v>30</v>
      </c>
    </row>
    <row r="767" spans="1:10">
      <c r="A767">
        <v>766</v>
      </c>
      <c r="B767" s="10">
        <v>42467.586342592593</v>
      </c>
      <c r="C767" s="11">
        <v>0.58634259259259258</v>
      </c>
      <c r="D767" s="12">
        <v>4</v>
      </c>
      <c r="E767" s="13" t="s">
        <v>3058</v>
      </c>
      <c r="F767">
        <f t="shared" si="13"/>
        <v>30</v>
      </c>
      <c r="G767">
        <v>0</v>
      </c>
      <c r="H767">
        <v>0</v>
      </c>
      <c r="I767">
        <v>0</v>
      </c>
      <c r="J767" s="67">
        <v>30</v>
      </c>
    </row>
    <row r="768" spans="1:10">
      <c r="A768">
        <v>767</v>
      </c>
      <c r="B768" s="10">
        <v>42467.586365740739</v>
      </c>
      <c r="C768" s="11">
        <v>0.58636574074074077</v>
      </c>
      <c r="D768" s="12">
        <v>4</v>
      </c>
      <c r="E768" s="13" t="s">
        <v>3058</v>
      </c>
      <c r="F768">
        <f t="shared" si="13"/>
        <v>30</v>
      </c>
      <c r="G768">
        <v>0</v>
      </c>
      <c r="H768">
        <v>0</v>
      </c>
      <c r="I768">
        <v>0</v>
      </c>
      <c r="J768" s="67">
        <v>30</v>
      </c>
    </row>
    <row r="769" spans="1:10" ht="15" thickBot="1">
      <c r="A769">
        <v>768</v>
      </c>
      <c r="B769" s="14">
        <v>42467.586388888885</v>
      </c>
      <c r="C769" s="15">
        <v>0.58638888888888885</v>
      </c>
      <c r="D769" s="16">
        <v>4</v>
      </c>
      <c r="E769" s="17" t="s">
        <v>3058</v>
      </c>
      <c r="F769">
        <f t="shared" si="13"/>
        <v>30</v>
      </c>
      <c r="G769">
        <v>0</v>
      </c>
      <c r="H769">
        <v>0</v>
      </c>
      <c r="I769">
        <v>0</v>
      </c>
      <c r="J769" s="67">
        <v>30</v>
      </c>
    </row>
    <row r="770" spans="1:10">
      <c r="A770">
        <v>769</v>
      </c>
      <c r="B770" s="6">
        <v>42467.916342592594</v>
      </c>
      <c r="C770" s="7">
        <v>0.91634259259259254</v>
      </c>
      <c r="D770" s="8">
        <v>4</v>
      </c>
      <c r="E770" s="9" t="s">
        <v>3058</v>
      </c>
      <c r="F770">
        <f t="shared" si="13"/>
        <v>30</v>
      </c>
      <c r="G770">
        <v>29</v>
      </c>
      <c r="H770">
        <v>0</v>
      </c>
      <c r="I770">
        <v>29</v>
      </c>
      <c r="J770" s="67">
        <v>1</v>
      </c>
    </row>
    <row r="771" spans="1:10">
      <c r="A771">
        <v>770</v>
      </c>
      <c r="B771" s="10">
        <v>42467.916377314818</v>
      </c>
      <c r="C771" s="11">
        <v>0.91637731481481477</v>
      </c>
      <c r="D771" s="12">
        <v>4</v>
      </c>
      <c r="E771" s="13" t="s">
        <v>3058</v>
      </c>
      <c r="F771">
        <f t="shared" ref="F771:F834" si="14">40*0.75</f>
        <v>30</v>
      </c>
      <c r="G771">
        <v>38</v>
      </c>
      <c r="H771">
        <v>2</v>
      </c>
      <c r="I771">
        <v>40</v>
      </c>
      <c r="J771" s="67">
        <v>-8</v>
      </c>
    </row>
    <row r="772" spans="1:10">
      <c r="A772">
        <v>771</v>
      </c>
      <c r="B772" s="10">
        <v>42467.916388888887</v>
      </c>
      <c r="C772" s="11">
        <v>0.91638888888888892</v>
      </c>
      <c r="D772" s="12">
        <v>4</v>
      </c>
      <c r="E772" s="13" t="s">
        <v>3058</v>
      </c>
      <c r="F772">
        <f t="shared" si="14"/>
        <v>30</v>
      </c>
      <c r="G772">
        <v>38</v>
      </c>
      <c r="H772">
        <v>1</v>
      </c>
      <c r="I772">
        <v>39</v>
      </c>
      <c r="J772" s="67">
        <v>-8</v>
      </c>
    </row>
    <row r="773" spans="1:10">
      <c r="A773">
        <v>772</v>
      </c>
      <c r="B773" s="10">
        <v>42467.916412037041</v>
      </c>
      <c r="C773" s="11">
        <v>0.916412037037037</v>
      </c>
      <c r="D773" s="12">
        <v>4</v>
      </c>
      <c r="E773" s="13" t="s">
        <v>3058</v>
      </c>
      <c r="F773">
        <f t="shared" si="14"/>
        <v>30</v>
      </c>
      <c r="G773">
        <v>25</v>
      </c>
      <c r="H773">
        <v>2</v>
      </c>
      <c r="I773">
        <v>27</v>
      </c>
      <c r="J773" s="67">
        <v>5</v>
      </c>
    </row>
    <row r="774" spans="1:10">
      <c r="A774">
        <v>773</v>
      </c>
      <c r="B774" s="10">
        <v>42467.916446759256</v>
      </c>
      <c r="C774" s="11">
        <v>0.91644675925925922</v>
      </c>
      <c r="D774" s="12">
        <v>4</v>
      </c>
      <c r="E774" s="13" t="s">
        <v>3058</v>
      </c>
      <c r="F774">
        <f t="shared" si="14"/>
        <v>30</v>
      </c>
      <c r="G774">
        <v>38</v>
      </c>
      <c r="H774">
        <v>2</v>
      </c>
      <c r="I774">
        <v>40</v>
      </c>
      <c r="J774" s="67">
        <v>-8</v>
      </c>
    </row>
    <row r="775" spans="1:10">
      <c r="A775">
        <v>774</v>
      </c>
      <c r="B775" s="10">
        <v>42467.91646990741</v>
      </c>
      <c r="C775" s="11">
        <v>0.91646990740740741</v>
      </c>
      <c r="D775" s="12">
        <v>4</v>
      </c>
      <c r="E775" s="13" t="s">
        <v>3058</v>
      </c>
      <c r="F775">
        <f t="shared" si="14"/>
        <v>30</v>
      </c>
      <c r="G775">
        <v>38</v>
      </c>
      <c r="H775">
        <v>3</v>
      </c>
      <c r="I775">
        <v>41</v>
      </c>
      <c r="J775" s="67">
        <v>-8</v>
      </c>
    </row>
    <row r="776" spans="1:10">
      <c r="A776">
        <v>775</v>
      </c>
      <c r="B776" s="10">
        <v>42467.916504629633</v>
      </c>
      <c r="C776" s="11">
        <v>0.91650462962962964</v>
      </c>
      <c r="D776" s="12">
        <v>4</v>
      </c>
      <c r="E776" s="13" t="s">
        <v>3058</v>
      </c>
      <c r="F776">
        <f t="shared" si="14"/>
        <v>30</v>
      </c>
      <c r="G776">
        <v>25</v>
      </c>
      <c r="H776">
        <v>1</v>
      </c>
      <c r="I776">
        <v>26</v>
      </c>
      <c r="J776" s="67">
        <v>5</v>
      </c>
    </row>
    <row r="777" spans="1:10" ht="15" thickBot="1">
      <c r="A777">
        <v>776</v>
      </c>
      <c r="B777" s="14">
        <v>42467.916527777779</v>
      </c>
      <c r="C777" s="15">
        <v>0.91652777777777783</v>
      </c>
      <c r="D777" s="16">
        <v>4</v>
      </c>
      <c r="E777" s="17" t="s">
        <v>3058</v>
      </c>
      <c r="F777">
        <f t="shared" si="14"/>
        <v>30</v>
      </c>
      <c r="G777">
        <v>23</v>
      </c>
      <c r="H777">
        <v>2</v>
      </c>
      <c r="I777">
        <v>25</v>
      </c>
      <c r="J777" s="67">
        <v>7</v>
      </c>
    </row>
    <row r="778" spans="1:10">
      <c r="A778">
        <v>777</v>
      </c>
      <c r="B778" s="6">
        <v>42468.247395833336</v>
      </c>
      <c r="C778" s="7">
        <v>0.24739583333333334</v>
      </c>
      <c r="D778" s="8">
        <v>4</v>
      </c>
      <c r="E778" s="9" t="s">
        <v>3058</v>
      </c>
      <c r="F778">
        <f t="shared" si="14"/>
        <v>30</v>
      </c>
      <c r="G778">
        <v>30</v>
      </c>
      <c r="H778">
        <v>2</v>
      </c>
      <c r="I778">
        <v>32</v>
      </c>
      <c r="J778" s="67">
        <v>0</v>
      </c>
    </row>
    <row r="779" spans="1:10">
      <c r="A779">
        <v>778</v>
      </c>
      <c r="B779" s="10">
        <v>42468.247430555559</v>
      </c>
      <c r="C779" s="11">
        <v>0.24743055555555554</v>
      </c>
      <c r="D779" s="12">
        <v>4</v>
      </c>
      <c r="E779" s="13" t="s">
        <v>3058</v>
      </c>
      <c r="F779">
        <f t="shared" si="14"/>
        <v>30</v>
      </c>
      <c r="G779">
        <v>35</v>
      </c>
      <c r="H779">
        <v>2</v>
      </c>
      <c r="I779">
        <v>37</v>
      </c>
      <c r="J779" s="67">
        <v>-5</v>
      </c>
    </row>
    <row r="780" spans="1:10">
      <c r="A780">
        <v>779</v>
      </c>
      <c r="B780" s="10">
        <v>42468.247499999998</v>
      </c>
      <c r="C780" s="11">
        <v>0.2475</v>
      </c>
      <c r="D780" s="12">
        <v>4</v>
      </c>
      <c r="E780" s="13" t="s">
        <v>3058</v>
      </c>
      <c r="F780">
        <f t="shared" si="14"/>
        <v>30</v>
      </c>
      <c r="G780">
        <v>33</v>
      </c>
      <c r="H780">
        <v>2</v>
      </c>
      <c r="I780">
        <v>35</v>
      </c>
      <c r="J780" s="67">
        <v>-3</v>
      </c>
    </row>
    <row r="781" spans="1:10">
      <c r="A781">
        <v>780</v>
      </c>
      <c r="B781" s="10">
        <v>42468.247534722221</v>
      </c>
      <c r="C781" s="11">
        <v>0.24753472222222223</v>
      </c>
      <c r="D781" s="12">
        <v>4</v>
      </c>
      <c r="E781" s="13" t="s">
        <v>3058</v>
      </c>
      <c r="F781">
        <f t="shared" si="14"/>
        <v>30</v>
      </c>
      <c r="G781">
        <v>18</v>
      </c>
      <c r="H781">
        <v>0</v>
      </c>
      <c r="I781">
        <v>18</v>
      </c>
      <c r="J781" s="67">
        <v>12</v>
      </c>
    </row>
    <row r="782" spans="1:10">
      <c r="A782">
        <v>781</v>
      </c>
      <c r="B782" s="10">
        <v>42468.247581018521</v>
      </c>
      <c r="C782" s="11">
        <v>0.24758101851851852</v>
      </c>
      <c r="D782" s="12">
        <v>4</v>
      </c>
      <c r="E782" s="13" t="s">
        <v>3058</v>
      </c>
      <c r="F782">
        <f t="shared" si="14"/>
        <v>30</v>
      </c>
      <c r="G782">
        <v>35</v>
      </c>
      <c r="H782">
        <v>2</v>
      </c>
      <c r="I782">
        <v>37</v>
      </c>
      <c r="J782" s="67">
        <v>-5</v>
      </c>
    </row>
    <row r="783" spans="1:10">
      <c r="A783">
        <v>782</v>
      </c>
      <c r="B783" s="10">
        <v>42468.247615740744</v>
      </c>
      <c r="C783" s="11">
        <v>0.24761574074074075</v>
      </c>
      <c r="D783" s="12">
        <v>4</v>
      </c>
      <c r="E783" s="13" t="s">
        <v>3058</v>
      </c>
      <c r="F783">
        <f t="shared" si="14"/>
        <v>30</v>
      </c>
      <c r="G783">
        <v>33</v>
      </c>
      <c r="H783">
        <v>1</v>
      </c>
      <c r="I783">
        <v>34</v>
      </c>
      <c r="J783" s="67">
        <v>-3</v>
      </c>
    </row>
    <row r="784" spans="1:10">
      <c r="A784">
        <v>783</v>
      </c>
      <c r="B784" s="10">
        <v>42468.248171296298</v>
      </c>
      <c r="C784" s="11">
        <v>0.24817129629629631</v>
      </c>
      <c r="D784" s="12">
        <v>4</v>
      </c>
      <c r="E784" s="13" t="s">
        <v>3058</v>
      </c>
      <c r="F784">
        <f t="shared" si="14"/>
        <v>30</v>
      </c>
      <c r="G784">
        <v>29</v>
      </c>
      <c r="H784">
        <v>2</v>
      </c>
      <c r="I784">
        <v>31</v>
      </c>
      <c r="J784" s="67">
        <v>1</v>
      </c>
    </row>
    <row r="785" spans="1:10" ht="15" thickBot="1">
      <c r="A785">
        <v>784</v>
      </c>
      <c r="B785" s="14">
        <v>42468.248240740744</v>
      </c>
      <c r="C785" s="15">
        <v>0.24824074074074073</v>
      </c>
      <c r="D785" s="16">
        <v>4</v>
      </c>
      <c r="E785" s="17" t="s">
        <v>3058</v>
      </c>
      <c r="F785">
        <f t="shared" si="14"/>
        <v>30</v>
      </c>
      <c r="G785">
        <v>12</v>
      </c>
      <c r="H785">
        <v>6</v>
      </c>
      <c r="I785">
        <v>18</v>
      </c>
      <c r="J785" s="67">
        <v>18</v>
      </c>
    </row>
    <row r="786" spans="1:10">
      <c r="A786">
        <v>785</v>
      </c>
      <c r="B786" s="6">
        <v>42468.921770833331</v>
      </c>
      <c r="C786" s="7">
        <v>0.92177083333333332</v>
      </c>
      <c r="D786" s="8">
        <v>4</v>
      </c>
      <c r="E786" s="9" t="s">
        <v>3058</v>
      </c>
      <c r="F786">
        <f t="shared" si="14"/>
        <v>30</v>
      </c>
      <c r="G786">
        <v>34</v>
      </c>
      <c r="H786">
        <v>3</v>
      </c>
      <c r="I786">
        <v>37</v>
      </c>
      <c r="J786" s="67">
        <v>-4</v>
      </c>
    </row>
    <row r="787" spans="1:10">
      <c r="A787">
        <v>786</v>
      </c>
      <c r="B787" s="10">
        <v>42468.921817129631</v>
      </c>
      <c r="C787" s="11">
        <v>0.92181712962962958</v>
      </c>
      <c r="D787" s="12">
        <v>4</v>
      </c>
      <c r="E787" s="13" t="s">
        <v>3058</v>
      </c>
      <c r="F787">
        <f t="shared" si="14"/>
        <v>30</v>
      </c>
      <c r="G787">
        <v>38</v>
      </c>
      <c r="H787">
        <v>5</v>
      </c>
      <c r="I787">
        <v>43</v>
      </c>
      <c r="J787" s="67">
        <v>-8</v>
      </c>
    </row>
    <row r="788" spans="1:10">
      <c r="A788">
        <v>787</v>
      </c>
      <c r="B788" s="10">
        <v>42468.921851851854</v>
      </c>
      <c r="C788" s="11">
        <v>0.92185185185185181</v>
      </c>
      <c r="D788" s="12">
        <v>4</v>
      </c>
      <c r="E788" s="13" t="s">
        <v>3058</v>
      </c>
      <c r="F788">
        <f t="shared" si="14"/>
        <v>30</v>
      </c>
      <c r="G788">
        <v>14</v>
      </c>
      <c r="H788">
        <v>3</v>
      </c>
      <c r="I788">
        <v>17</v>
      </c>
      <c r="J788" s="67">
        <v>16</v>
      </c>
    </row>
    <row r="789" spans="1:10">
      <c r="A789">
        <v>788</v>
      </c>
      <c r="B789" s="10">
        <v>42468.921886574077</v>
      </c>
      <c r="C789" s="11">
        <v>0.92188657407407404</v>
      </c>
      <c r="D789" s="12">
        <v>4</v>
      </c>
      <c r="E789" s="13" t="s">
        <v>3058</v>
      </c>
      <c r="F789">
        <f t="shared" si="14"/>
        <v>30</v>
      </c>
      <c r="G789">
        <v>0</v>
      </c>
      <c r="H789">
        <v>0</v>
      </c>
      <c r="I789">
        <v>0</v>
      </c>
      <c r="J789" s="67">
        <v>30</v>
      </c>
    </row>
    <row r="790" spans="1:10">
      <c r="A790">
        <v>789</v>
      </c>
      <c r="B790" s="10">
        <v>42468.921909722223</v>
      </c>
      <c r="C790" s="11">
        <v>0.92190972222222223</v>
      </c>
      <c r="D790" s="12">
        <v>4</v>
      </c>
      <c r="E790" s="13" t="s">
        <v>3058</v>
      </c>
      <c r="F790">
        <f t="shared" si="14"/>
        <v>30</v>
      </c>
      <c r="G790">
        <v>0</v>
      </c>
      <c r="H790">
        <v>0</v>
      </c>
      <c r="I790">
        <v>0</v>
      </c>
      <c r="J790" s="67">
        <v>30</v>
      </c>
    </row>
    <row r="791" spans="1:10">
      <c r="A791">
        <v>790</v>
      </c>
      <c r="B791" s="10">
        <v>42468.921932870369</v>
      </c>
      <c r="C791" s="11">
        <v>0.92193287037037042</v>
      </c>
      <c r="D791" s="12">
        <v>4</v>
      </c>
      <c r="E791" s="13" t="s">
        <v>3058</v>
      </c>
      <c r="F791">
        <f t="shared" si="14"/>
        <v>30</v>
      </c>
      <c r="G791">
        <v>38</v>
      </c>
      <c r="H791">
        <v>5</v>
      </c>
      <c r="I791">
        <v>43</v>
      </c>
      <c r="J791" s="67">
        <v>-8</v>
      </c>
    </row>
    <row r="792" spans="1:10">
      <c r="A792">
        <v>791</v>
      </c>
      <c r="B792" s="10">
        <v>42468.921967592592</v>
      </c>
      <c r="C792" s="11">
        <v>0.92196759259259264</v>
      </c>
      <c r="D792" s="12">
        <v>4</v>
      </c>
      <c r="E792" s="13" t="s">
        <v>3058</v>
      </c>
      <c r="F792">
        <f t="shared" si="14"/>
        <v>30</v>
      </c>
      <c r="G792">
        <v>38</v>
      </c>
      <c r="H792">
        <v>3</v>
      </c>
      <c r="I792">
        <v>41</v>
      </c>
      <c r="J792" s="67">
        <v>-8</v>
      </c>
    </row>
    <row r="793" spans="1:10" ht="15" thickBot="1">
      <c r="A793">
        <v>792</v>
      </c>
      <c r="B793" s="14">
        <v>42468.922025462962</v>
      </c>
      <c r="C793" s="15">
        <v>0.92202546296296295</v>
      </c>
      <c r="D793" s="16">
        <v>4</v>
      </c>
      <c r="E793" s="17" t="s">
        <v>3058</v>
      </c>
      <c r="F793">
        <f t="shared" si="14"/>
        <v>30</v>
      </c>
      <c r="G793">
        <v>32</v>
      </c>
      <c r="H793">
        <v>2</v>
      </c>
      <c r="I793">
        <v>34</v>
      </c>
      <c r="J793" s="67">
        <v>-2</v>
      </c>
    </row>
    <row r="794" spans="1:10">
      <c r="A794">
        <v>793</v>
      </c>
      <c r="B794" s="6">
        <v>42471.256516203706</v>
      </c>
      <c r="C794" s="7">
        <v>0.2565162037037037</v>
      </c>
      <c r="D794" s="8">
        <v>4</v>
      </c>
      <c r="E794" s="9" t="s">
        <v>3058</v>
      </c>
      <c r="F794">
        <f t="shared" si="14"/>
        <v>30</v>
      </c>
      <c r="G794">
        <v>35</v>
      </c>
      <c r="H794">
        <v>2</v>
      </c>
      <c r="I794">
        <v>37</v>
      </c>
      <c r="J794">
        <v>-5</v>
      </c>
    </row>
    <row r="795" spans="1:10">
      <c r="A795">
        <v>794</v>
      </c>
      <c r="B795" s="10">
        <v>42471.256562499999</v>
      </c>
      <c r="C795" s="11">
        <v>0.25656250000000003</v>
      </c>
      <c r="D795" s="12">
        <v>4</v>
      </c>
      <c r="E795" s="13" t="s">
        <v>3058</v>
      </c>
      <c r="F795">
        <f t="shared" si="14"/>
        <v>30</v>
      </c>
      <c r="G795">
        <v>38</v>
      </c>
      <c r="H795">
        <v>1</v>
      </c>
      <c r="I795">
        <v>39</v>
      </c>
      <c r="J795">
        <v>-8</v>
      </c>
    </row>
    <row r="796" spans="1:10">
      <c r="A796">
        <v>795</v>
      </c>
      <c r="B796" s="10">
        <v>42471.256585648145</v>
      </c>
      <c r="C796" s="11">
        <v>0.25658564814814816</v>
      </c>
      <c r="D796" s="12">
        <v>4</v>
      </c>
      <c r="E796" s="13" t="s">
        <v>3058</v>
      </c>
      <c r="F796">
        <f t="shared" si="14"/>
        <v>30</v>
      </c>
      <c r="G796">
        <v>38</v>
      </c>
      <c r="H796">
        <v>1</v>
      </c>
      <c r="I796">
        <v>39</v>
      </c>
      <c r="J796">
        <v>-8</v>
      </c>
    </row>
    <row r="797" spans="1:10">
      <c r="A797">
        <v>796</v>
      </c>
      <c r="B797" s="10">
        <v>42471.256620370368</v>
      </c>
      <c r="C797" s="11">
        <v>0.25662037037037039</v>
      </c>
      <c r="D797" s="12">
        <v>4</v>
      </c>
      <c r="E797" s="13" t="s">
        <v>3058</v>
      </c>
      <c r="F797">
        <f t="shared" si="14"/>
        <v>30</v>
      </c>
      <c r="G797">
        <v>25</v>
      </c>
      <c r="H797">
        <v>2</v>
      </c>
      <c r="I797">
        <v>27</v>
      </c>
      <c r="J797">
        <v>5</v>
      </c>
    </row>
    <row r="798" spans="1:10">
      <c r="A798">
        <v>797</v>
      </c>
      <c r="B798" s="10">
        <v>42471.256666666668</v>
      </c>
      <c r="C798" s="11">
        <v>0.25666666666666665</v>
      </c>
      <c r="D798" s="12">
        <v>4</v>
      </c>
      <c r="E798" s="13" t="s">
        <v>3058</v>
      </c>
      <c r="F798">
        <f t="shared" si="14"/>
        <v>30</v>
      </c>
      <c r="G798">
        <v>30</v>
      </c>
      <c r="H798">
        <v>8</v>
      </c>
      <c r="I798">
        <v>38</v>
      </c>
      <c r="J798">
        <v>0</v>
      </c>
    </row>
    <row r="799" spans="1:10">
      <c r="A799">
        <v>798</v>
      </c>
      <c r="B799" s="10">
        <v>42471.256701388891</v>
      </c>
      <c r="C799" s="11">
        <v>0.25670138888888888</v>
      </c>
      <c r="D799" s="12">
        <v>4</v>
      </c>
      <c r="E799" s="13" t="s">
        <v>3058</v>
      </c>
      <c r="F799">
        <f t="shared" si="14"/>
        <v>30</v>
      </c>
      <c r="G799">
        <v>22</v>
      </c>
      <c r="H799">
        <v>12</v>
      </c>
      <c r="I799">
        <v>34</v>
      </c>
      <c r="J799">
        <v>8</v>
      </c>
    </row>
    <row r="800" spans="1:10">
      <c r="A800">
        <v>799</v>
      </c>
      <c r="B800" s="10">
        <v>42471.256724537037</v>
      </c>
      <c r="C800" s="11">
        <v>0.25672453703703701</v>
      </c>
      <c r="D800" s="12">
        <v>4</v>
      </c>
      <c r="E800" s="13" t="s">
        <v>3058</v>
      </c>
      <c r="F800">
        <f t="shared" si="14"/>
        <v>30</v>
      </c>
      <c r="G800">
        <v>31</v>
      </c>
      <c r="H800">
        <v>6</v>
      </c>
      <c r="I800">
        <v>37</v>
      </c>
      <c r="J800">
        <v>-1</v>
      </c>
    </row>
    <row r="801" spans="1:10" ht="15" thickBot="1">
      <c r="A801">
        <v>800</v>
      </c>
      <c r="B801" s="14">
        <v>42471.256747685184</v>
      </c>
      <c r="C801" s="15">
        <v>0.2567476851851852</v>
      </c>
      <c r="D801" s="16">
        <v>3</v>
      </c>
      <c r="E801" s="17" t="s">
        <v>3058</v>
      </c>
      <c r="F801">
        <f t="shared" si="14"/>
        <v>30</v>
      </c>
      <c r="G801">
        <v>32</v>
      </c>
      <c r="H801">
        <v>6</v>
      </c>
      <c r="I801">
        <v>38</v>
      </c>
      <c r="J801">
        <v>-2</v>
      </c>
    </row>
    <row r="802" spans="1:10">
      <c r="A802">
        <v>801</v>
      </c>
      <c r="B802" s="6">
        <v>42471.584664351853</v>
      </c>
      <c r="C802" s="7">
        <v>0.58466435185185184</v>
      </c>
      <c r="D802" s="8">
        <v>4</v>
      </c>
      <c r="E802" s="9" t="s">
        <v>3058</v>
      </c>
      <c r="F802">
        <f t="shared" si="14"/>
        <v>30</v>
      </c>
      <c r="G802">
        <v>30</v>
      </c>
      <c r="H802">
        <v>3</v>
      </c>
      <c r="I802">
        <v>33</v>
      </c>
      <c r="J802">
        <v>0</v>
      </c>
    </row>
    <row r="803" spans="1:10">
      <c r="A803">
        <v>802</v>
      </c>
      <c r="B803" s="10">
        <v>42471.584687499999</v>
      </c>
      <c r="C803" s="11">
        <v>0.58468750000000003</v>
      </c>
      <c r="D803" s="12">
        <v>4</v>
      </c>
      <c r="E803" s="13" t="s">
        <v>3058</v>
      </c>
      <c r="F803">
        <f t="shared" si="14"/>
        <v>30</v>
      </c>
      <c r="G803">
        <v>37</v>
      </c>
      <c r="H803">
        <v>8</v>
      </c>
      <c r="I803">
        <v>45</v>
      </c>
      <c r="J803">
        <v>-7</v>
      </c>
    </row>
    <row r="804" spans="1:10">
      <c r="A804">
        <v>803</v>
      </c>
      <c r="B804" s="10">
        <v>42471.584699074076</v>
      </c>
      <c r="C804" s="11">
        <v>0.58469907407407407</v>
      </c>
      <c r="D804" s="12">
        <v>4</v>
      </c>
      <c r="E804" s="13" t="s">
        <v>3058</v>
      </c>
      <c r="F804">
        <f t="shared" si="14"/>
        <v>30</v>
      </c>
      <c r="G804">
        <v>38</v>
      </c>
      <c r="H804">
        <v>4</v>
      </c>
      <c r="I804">
        <v>42</v>
      </c>
      <c r="J804">
        <v>-8</v>
      </c>
    </row>
    <row r="805" spans="1:10">
      <c r="A805">
        <v>804</v>
      </c>
      <c r="B805" s="10">
        <v>42471.584710648145</v>
      </c>
      <c r="C805" s="11">
        <v>0.5847106481481481</v>
      </c>
      <c r="D805" s="12">
        <v>4</v>
      </c>
      <c r="E805" s="13" t="s">
        <v>3058</v>
      </c>
      <c r="F805">
        <f t="shared" si="14"/>
        <v>30</v>
      </c>
      <c r="G805">
        <v>6</v>
      </c>
      <c r="H805">
        <v>0</v>
      </c>
      <c r="I805">
        <v>6</v>
      </c>
      <c r="J805">
        <v>24</v>
      </c>
    </row>
    <row r="806" spans="1:10">
      <c r="A806">
        <v>805</v>
      </c>
      <c r="B806" s="10">
        <v>42471.584745370368</v>
      </c>
      <c r="C806" s="11">
        <v>0.58474537037037033</v>
      </c>
      <c r="D806" s="12">
        <v>4</v>
      </c>
      <c r="E806" s="13" t="s">
        <v>3058</v>
      </c>
      <c r="F806">
        <f t="shared" si="14"/>
        <v>30</v>
      </c>
      <c r="G806">
        <v>30</v>
      </c>
      <c r="H806">
        <v>1</v>
      </c>
      <c r="I806">
        <v>31</v>
      </c>
      <c r="J806">
        <v>0</v>
      </c>
    </row>
    <row r="807" spans="1:10">
      <c r="A807">
        <v>806</v>
      </c>
      <c r="B807" s="10">
        <v>42471.584756944445</v>
      </c>
      <c r="C807" s="11">
        <v>0.58475694444444448</v>
      </c>
      <c r="D807" s="12">
        <v>4</v>
      </c>
      <c r="E807" s="13" t="s">
        <v>3058</v>
      </c>
      <c r="F807">
        <f t="shared" si="14"/>
        <v>30</v>
      </c>
      <c r="G807">
        <v>32</v>
      </c>
      <c r="H807">
        <v>2</v>
      </c>
      <c r="I807">
        <v>34</v>
      </c>
      <c r="J807">
        <v>-2</v>
      </c>
    </row>
    <row r="808" spans="1:10">
      <c r="A808">
        <v>807</v>
      </c>
      <c r="B808" s="10">
        <v>42471.584768518522</v>
      </c>
      <c r="C808" s="11">
        <v>0.58476851851851852</v>
      </c>
      <c r="D808" s="12">
        <v>4</v>
      </c>
      <c r="E808" s="13" t="s">
        <v>3058</v>
      </c>
      <c r="F808">
        <f t="shared" si="14"/>
        <v>30</v>
      </c>
      <c r="G808">
        <v>33</v>
      </c>
      <c r="H808">
        <v>2</v>
      </c>
      <c r="I808">
        <v>35</v>
      </c>
      <c r="J808">
        <v>-3</v>
      </c>
    </row>
    <row r="809" spans="1:10" ht="15" thickBot="1">
      <c r="A809">
        <v>808</v>
      </c>
      <c r="B809" s="14">
        <v>42471.584780092591</v>
      </c>
      <c r="C809" s="15">
        <v>0.58478009259259256</v>
      </c>
      <c r="D809" s="16">
        <v>4</v>
      </c>
      <c r="E809" s="17" t="s">
        <v>3058</v>
      </c>
      <c r="F809">
        <f t="shared" si="14"/>
        <v>30</v>
      </c>
      <c r="G809">
        <v>23</v>
      </c>
      <c r="H809">
        <v>1</v>
      </c>
      <c r="I809">
        <v>24</v>
      </c>
      <c r="J809">
        <v>7</v>
      </c>
    </row>
    <row r="810" spans="1:10">
      <c r="A810">
        <v>809</v>
      </c>
      <c r="B810" s="6">
        <v>42471.954398148147</v>
      </c>
      <c r="C810" s="7">
        <v>0.95439814814814816</v>
      </c>
      <c r="D810" s="8">
        <v>4</v>
      </c>
      <c r="E810" s="9" t="s">
        <v>3058</v>
      </c>
      <c r="F810">
        <f t="shared" si="14"/>
        <v>30</v>
      </c>
      <c r="G810">
        <v>33</v>
      </c>
      <c r="H810">
        <v>0</v>
      </c>
      <c r="I810">
        <v>33</v>
      </c>
      <c r="J810">
        <v>-3</v>
      </c>
    </row>
    <row r="811" spans="1:10">
      <c r="A811">
        <v>810</v>
      </c>
      <c r="B811" s="10">
        <v>42471.954583333332</v>
      </c>
      <c r="C811" s="11">
        <v>0.95458333333333334</v>
      </c>
      <c r="D811" s="12">
        <v>4</v>
      </c>
      <c r="E811" s="13" t="s">
        <v>3058</v>
      </c>
      <c r="F811">
        <f t="shared" si="14"/>
        <v>30</v>
      </c>
      <c r="G811">
        <v>38</v>
      </c>
      <c r="H811">
        <v>2</v>
      </c>
      <c r="I811">
        <v>40</v>
      </c>
      <c r="J811">
        <v>-8</v>
      </c>
    </row>
    <row r="812" spans="1:10">
      <c r="A812">
        <v>811</v>
      </c>
      <c r="B812" s="10">
        <v>42471.954594907409</v>
      </c>
      <c r="C812" s="11">
        <v>0.95459490740740738</v>
      </c>
      <c r="D812" s="12">
        <v>4</v>
      </c>
      <c r="E812" s="13" t="s">
        <v>3058</v>
      </c>
      <c r="F812">
        <f t="shared" si="14"/>
        <v>30</v>
      </c>
      <c r="G812">
        <v>35</v>
      </c>
      <c r="H812">
        <v>1</v>
      </c>
      <c r="I812">
        <v>36</v>
      </c>
      <c r="J812">
        <v>-5</v>
      </c>
    </row>
    <row r="813" spans="1:10">
      <c r="A813">
        <v>812</v>
      </c>
      <c r="B813" s="10">
        <v>42471.954618055555</v>
      </c>
      <c r="C813" s="11">
        <v>0.95461805555555557</v>
      </c>
      <c r="D813" s="12">
        <v>4</v>
      </c>
      <c r="E813" s="13" t="s">
        <v>3058</v>
      </c>
      <c r="F813">
        <f t="shared" si="14"/>
        <v>30</v>
      </c>
      <c r="G813">
        <v>23</v>
      </c>
      <c r="H813">
        <v>1</v>
      </c>
      <c r="I813">
        <v>24</v>
      </c>
      <c r="J813">
        <v>7</v>
      </c>
    </row>
    <row r="814" spans="1:10">
      <c r="A814">
        <v>813</v>
      </c>
      <c r="B814" s="10">
        <v>42471.954629629632</v>
      </c>
      <c r="C814" s="11">
        <v>0.95462962962962961</v>
      </c>
      <c r="D814" s="12">
        <v>4</v>
      </c>
      <c r="E814" s="13" t="s">
        <v>3058</v>
      </c>
      <c r="F814">
        <f t="shared" si="14"/>
        <v>30</v>
      </c>
      <c r="G814">
        <v>38</v>
      </c>
      <c r="H814">
        <v>0</v>
      </c>
      <c r="I814">
        <v>38</v>
      </c>
      <c r="J814">
        <v>-8</v>
      </c>
    </row>
    <row r="815" spans="1:10">
      <c r="A815">
        <v>814</v>
      </c>
      <c r="B815" s="10">
        <v>42471.954652777778</v>
      </c>
      <c r="C815" s="11">
        <v>0.95465277777777779</v>
      </c>
      <c r="D815" s="12">
        <v>4</v>
      </c>
      <c r="E815" s="13" t="s">
        <v>3058</v>
      </c>
      <c r="F815">
        <f t="shared" si="14"/>
        <v>30</v>
      </c>
      <c r="G815">
        <v>37</v>
      </c>
      <c r="H815">
        <v>1</v>
      </c>
      <c r="I815">
        <v>38</v>
      </c>
      <c r="J815">
        <v>-7</v>
      </c>
    </row>
    <row r="816" spans="1:10">
      <c r="A816">
        <v>815</v>
      </c>
      <c r="B816" s="10">
        <v>42471.954675925925</v>
      </c>
      <c r="C816" s="11">
        <v>0.95467592592592587</v>
      </c>
      <c r="D816" s="12">
        <v>4</v>
      </c>
      <c r="E816" s="13" t="s">
        <v>3058</v>
      </c>
      <c r="F816">
        <f t="shared" si="14"/>
        <v>30</v>
      </c>
      <c r="G816">
        <v>38</v>
      </c>
      <c r="H816">
        <v>1</v>
      </c>
      <c r="I816">
        <v>39</v>
      </c>
      <c r="J816">
        <v>-8</v>
      </c>
    </row>
    <row r="817" spans="1:10" ht="15" thickBot="1">
      <c r="A817">
        <v>816</v>
      </c>
      <c r="B817" s="14">
        <v>42471.954710648148</v>
      </c>
      <c r="C817" s="15">
        <v>0.9547106481481481</v>
      </c>
      <c r="D817" s="16">
        <v>4</v>
      </c>
      <c r="E817" s="17" t="s">
        <v>3058</v>
      </c>
      <c r="F817">
        <f t="shared" si="14"/>
        <v>30</v>
      </c>
      <c r="G817">
        <v>32</v>
      </c>
      <c r="H817">
        <v>5</v>
      </c>
      <c r="I817">
        <v>37</v>
      </c>
      <c r="J817">
        <v>-2</v>
      </c>
    </row>
    <row r="818" spans="1:10">
      <c r="A818">
        <v>817</v>
      </c>
      <c r="B818" s="6">
        <v>42472.250381944446</v>
      </c>
      <c r="C818" s="7">
        <v>0.25038194444444445</v>
      </c>
      <c r="D818" s="8">
        <v>4</v>
      </c>
      <c r="E818" s="9" t="s">
        <v>3058</v>
      </c>
      <c r="F818">
        <f t="shared" si="14"/>
        <v>30</v>
      </c>
      <c r="G818">
        <v>13</v>
      </c>
      <c r="H818">
        <v>1</v>
      </c>
      <c r="I818">
        <v>14</v>
      </c>
      <c r="J818" s="67">
        <v>17</v>
      </c>
    </row>
    <row r="819" spans="1:10">
      <c r="A819">
        <v>818</v>
      </c>
      <c r="B819" s="10">
        <v>42472.250416666669</v>
      </c>
      <c r="C819" s="11">
        <v>0.25041666666666668</v>
      </c>
      <c r="D819" s="12">
        <v>4</v>
      </c>
      <c r="E819" s="13" t="s">
        <v>3058</v>
      </c>
      <c r="F819">
        <f t="shared" si="14"/>
        <v>30</v>
      </c>
      <c r="G819">
        <v>0</v>
      </c>
      <c r="H819">
        <v>0</v>
      </c>
      <c r="I819">
        <v>0</v>
      </c>
      <c r="J819" s="67">
        <v>30</v>
      </c>
    </row>
    <row r="820" spans="1:10">
      <c r="A820">
        <v>819</v>
      </c>
      <c r="B820" s="10">
        <v>42472.250439814816</v>
      </c>
      <c r="C820" s="11">
        <v>0.25043981481481481</v>
      </c>
      <c r="D820" s="12">
        <v>4</v>
      </c>
      <c r="E820" s="13" t="s">
        <v>3058</v>
      </c>
      <c r="F820">
        <f t="shared" si="14"/>
        <v>30</v>
      </c>
      <c r="G820">
        <v>30</v>
      </c>
      <c r="H820">
        <v>2</v>
      </c>
      <c r="I820">
        <v>32</v>
      </c>
      <c r="J820" s="67">
        <v>0</v>
      </c>
    </row>
    <row r="821" spans="1:10">
      <c r="A821">
        <v>820</v>
      </c>
      <c r="B821" s="10">
        <v>42472.250462962962</v>
      </c>
      <c r="C821" s="11">
        <v>0.25046296296296294</v>
      </c>
      <c r="D821" s="12">
        <v>4</v>
      </c>
      <c r="E821" s="13" t="s">
        <v>3058</v>
      </c>
      <c r="F821">
        <f t="shared" si="14"/>
        <v>30</v>
      </c>
      <c r="G821">
        <v>25</v>
      </c>
      <c r="H821">
        <v>2</v>
      </c>
      <c r="I821">
        <v>27</v>
      </c>
      <c r="J821" s="67">
        <v>5</v>
      </c>
    </row>
    <row r="822" spans="1:10">
      <c r="A822">
        <v>821</v>
      </c>
      <c r="B822" s="10">
        <v>42472.250497685185</v>
      </c>
      <c r="C822" s="11">
        <v>0.25049768518518517</v>
      </c>
      <c r="D822" s="12">
        <v>4</v>
      </c>
      <c r="E822" s="13" t="s">
        <v>3058</v>
      </c>
      <c r="F822">
        <f t="shared" si="14"/>
        <v>30</v>
      </c>
      <c r="G822">
        <v>32</v>
      </c>
      <c r="H822">
        <v>1</v>
      </c>
      <c r="I822">
        <v>33</v>
      </c>
      <c r="J822" s="67">
        <v>-2</v>
      </c>
    </row>
    <row r="823" spans="1:10">
      <c r="A823">
        <v>822</v>
      </c>
      <c r="B823" s="10">
        <v>42472.455555555556</v>
      </c>
      <c r="C823" s="11">
        <v>0.45555555555555555</v>
      </c>
      <c r="D823" s="12">
        <v>4</v>
      </c>
      <c r="E823" s="13" t="s">
        <v>3060</v>
      </c>
      <c r="F823">
        <f t="shared" si="14"/>
        <v>30</v>
      </c>
      <c r="G823">
        <v>38</v>
      </c>
      <c r="H823">
        <v>2</v>
      </c>
      <c r="I823">
        <v>40</v>
      </c>
      <c r="J823" s="67">
        <v>-8</v>
      </c>
    </row>
    <row r="824" spans="1:10">
      <c r="A824">
        <v>823</v>
      </c>
      <c r="B824" s="10">
        <v>42472.503946759258</v>
      </c>
      <c r="C824" s="11">
        <v>0.50394675925925925</v>
      </c>
      <c r="D824" s="12">
        <v>4</v>
      </c>
      <c r="E824" s="13" t="s">
        <v>3060</v>
      </c>
      <c r="F824">
        <f t="shared" si="14"/>
        <v>30</v>
      </c>
      <c r="G824">
        <v>38</v>
      </c>
      <c r="H824">
        <v>1</v>
      </c>
      <c r="I824">
        <v>39</v>
      </c>
      <c r="J824" s="67">
        <v>-8</v>
      </c>
    </row>
    <row r="825" spans="1:10" ht="15" thickBot="1">
      <c r="A825">
        <v>824</v>
      </c>
      <c r="B825" s="14">
        <v>42472.250613425924</v>
      </c>
      <c r="C825" s="15">
        <v>0.25061342592592595</v>
      </c>
      <c r="D825" s="16">
        <v>4</v>
      </c>
      <c r="E825" s="17" t="s">
        <v>3058</v>
      </c>
      <c r="F825">
        <f t="shared" si="14"/>
        <v>30</v>
      </c>
      <c r="G825">
        <v>28</v>
      </c>
      <c r="H825">
        <v>1</v>
      </c>
      <c r="I825">
        <v>29</v>
      </c>
      <c r="J825" s="67">
        <v>2</v>
      </c>
    </row>
    <row r="826" spans="1:10">
      <c r="A826">
        <v>825</v>
      </c>
      <c r="B826" s="6">
        <v>42472.583437499998</v>
      </c>
      <c r="C826" s="7">
        <v>0.58343750000000005</v>
      </c>
      <c r="D826" s="8">
        <v>4</v>
      </c>
      <c r="E826" s="9" t="s">
        <v>3058</v>
      </c>
      <c r="F826">
        <f t="shared" si="14"/>
        <v>30</v>
      </c>
      <c r="G826">
        <v>17</v>
      </c>
      <c r="H826">
        <v>3</v>
      </c>
      <c r="I826">
        <v>20</v>
      </c>
      <c r="J826" s="67">
        <v>13</v>
      </c>
    </row>
    <row r="827" spans="1:10">
      <c r="A827">
        <v>826</v>
      </c>
      <c r="B827" s="10">
        <v>42472.583460648151</v>
      </c>
      <c r="C827" s="11">
        <v>0.58346064814814813</v>
      </c>
      <c r="D827" s="12">
        <v>4</v>
      </c>
      <c r="E827" s="13" t="s">
        <v>3058</v>
      </c>
      <c r="F827">
        <f t="shared" si="14"/>
        <v>30</v>
      </c>
      <c r="G827">
        <v>38</v>
      </c>
      <c r="H827">
        <v>2</v>
      </c>
      <c r="I827">
        <v>40</v>
      </c>
      <c r="J827" s="67">
        <v>-8</v>
      </c>
    </row>
    <row r="828" spans="1:10">
      <c r="A828">
        <v>827</v>
      </c>
      <c r="B828" s="10">
        <v>42472.583483796298</v>
      </c>
      <c r="C828" s="11">
        <v>0.58348379629629632</v>
      </c>
      <c r="D828" s="12">
        <v>4</v>
      </c>
      <c r="E828" s="13" t="s">
        <v>3058</v>
      </c>
      <c r="F828">
        <f t="shared" si="14"/>
        <v>30</v>
      </c>
      <c r="G828">
        <v>35</v>
      </c>
      <c r="H828">
        <v>2</v>
      </c>
      <c r="I828">
        <v>37</v>
      </c>
      <c r="J828" s="67">
        <v>-5</v>
      </c>
    </row>
    <row r="829" spans="1:10">
      <c r="A829">
        <v>828</v>
      </c>
      <c r="B829" s="10">
        <v>42472.583506944444</v>
      </c>
      <c r="C829" s="11">
        <v>0.5835069444444444</v>
      </c>
      <c r="D829" s="12">
        <v>4</v>
      </c>
      <c r="E829" s="13" t="s">
        <v>3058</v>
      </c>
      <c r="F829">
        <f t="shared" si="14"/>
        <v>30</v>
      </c>
      <c r="G829">
        <v>20</v>
      </c>
      <c r="H829">
        <v>2</v>
      </c>
      <c r="I829">
        <v>22</v>
      </c>
      <c r="J829" s="67">
        <v>10</v>
      </c>
    </row>
    <row r="830" spans="1:10">
      <c r="A830">
        <v>829</v>
      </c>
      <c r="B830" s="10">
        <v>42472.583518518521</v>
      </c>
      <c r="C830" s="11">
        <v>0.58351851851851855</v>
      </c>
      <c r="D830" s="12">
        <v>4</v>
      </c>
      <c r="E830" s="13" t="s">
        <v>3058</v>
      </c>
      <c r="F830">
        <f t="shared" si="14"/>
        <v>30</v>
      </c>
      <c r="G830">
        <v>35</v>
      </c>
      <c r="H830">
        <v>1</v>
      </c>
      <c r="I830">
        <v>36</v>
      </c>
      <c r="J830" s="67">
        <v>-5</v>
      </c>
    </row>
    <row r="831" spans="1:10">
      <c r="A831">
        <v>830</v>
      </c>
      <c r="B831" s="10">
        <v>42472.583541666667</v>
      </c>
      <c r="C831" s="11">
        <v>0.58354166666666663</v>
      </c>
      <c r="D831" s="12">
        <v>4</v>
      </c>
      <c r="E831" s="13" t="s">
        <v>3058</v>
      </c>
      <c r="F831">
        <f t="shared" si="14"/>
        <v>30</v>
      </c>
      <c r="G831">
        <v>33</v>
      </c>
      <c r="H831">
        <v>2</v>
      </c>
      <c r="I831">
        <v>35</v>
      </c>
      <c r="J831" s="67">
        <v>-3</v>
      </c>
    </row>
    <row r="832" spans="1:10">
      <c r="A832">
        <v>831</v>
      </c>
      <c r="B832" s="10">
        <v>42472.583564814813</v>
      </c>
      <c r="C832" s="11">
        <v>0.58356481481481481</v>
      </c>
      <c r="D832" s="12">
        <v>4</v>
      </c>
      <c r="E832" s="13" t="s">
        <v>3058</v>
      </c>
      <c r="F832">
        <f t="shared" si="14"/>
        <v>30</v>
      </c>
      <c r="G832">
        <v>38</v>
      </c>
      <c r="H832">
        <v>1</v>
      </c>
      <c r="I832">
        <v>39</v>
      </c>
      <c r="J832" s="67">
        <v>-8</v>
      </c>
    </row>
    <row r="833" spans="1:10" ht="15" thickBot="1">
      <c r="A833">
        <v>832</v>
      </c>
      <c r="B833" s="14">
        <v>42472.583587962959</v>
      </c>
      <c r="C833" s="15">
        <v>0.583587962962963</v>
      </c>
      <c r="D833" s="16">
        <v>4</v>
      </c>
      <c r="E833" s="17" t="s">
        <v>3058</v>
      </c>
      <c r="F833">
        <f t="shared" si="14"/>
        <v>30</v>
      </c>
      <c r="G833">
        <v>29</v>
      </c>
      <c r="H833">
        <v>2</v>
      </c>
      <c r="I833">
        <v>31</v>
      </c>
      <c r="J833" s="67">
        <v>1</v>
      </c>
    </row>
    <row r="834" spans="1:10">
      <c r="A834">
        <v>833</v>
      </c>
      <c r="B834" s="6">
        <v>42472.918368055558</v>
      </c>
      <c r="C834" s="7">
        <v>0.91836805555555556</v>
      </c>
      <c r="D834" s="8">
        <v>4</v>
      </c>
      <c r="E834" s="9" t="s">
        <v>3058</v>
      </c>
      <c r="F834">
        <f t="shared" si="14"/>
        <v>30</v>
      </c>
      <c r="G834">
        <v>34</v>
      </c>
      <c r="H834">
        <v>1</v>
      </c>
      <c r="I834">
        <v>35</v>
      </c>
      <c r="J834" s="67">
        <v>-4</v>
      </c>
    </row>
    <row r="835" spans="1:10">
      <c r="A835">
        <v>834</v>
      </c>
      <c r="B835" s="10">
        <v>42472.918391203704</v>
      </c>
      <c r="C835" s="11">
        <v>0.91839120370370375</v>
      </c>
      <c r="D835" s="12">
        <v>4</v>
      </c>
      <c r="E835" s="13" t="s">
        <v>3058</v>
      </c>
      <c r="F835">
        <f t="shared" ref="F835:F898" si="15">40*0.75</f>
        <v>30</v>
      </c>
      <c r="G835">
        <v>35</v>
      </c>
      <c r="H835">
        <v>2</v>
      </c>
      <c r="I835">
        <v>37</v>
      </c>
      <c r="J835" s="67">
        <v>-5</v>
      </c>
    </row>
    <row r="836" spans="1:10">
      <c r="A836">
        <v>835</v>
      </c>
      <c r="B836" s="10">
        <v>42472.918402777781</v>
      </c>
      <c r="C836" s="11">
        <v>0.91840277777777779</v>
      </c>
      <c r="D836" s="12">
        <v>4</v>
      </c>
      <c r="E836" s="13" t="s">
        <v>3058</v>
      </c>
      <c r="F836">
        <f t="shared" si="15"/>
        <v>30</v>
      </c>
      <c r="G836">
        <v>35</v>
      </c>
      <c r="H836">
        <v>1</v>
      </c>
      <c r="I836">
        <v>36</v>
      </c>
      <c r="J836" s="67">
        <v>-5</v>
      </c>
    </row>
    <row r="837" spans="1:10">
      <c r="A837">
        <v>836</v>
      </c>
      <c r="B837" s="10">
        <v>42472.918414351851</v>
      </c>
      <c r="C837" s="11">
        <v>0.91841435185185183</v>
      </c>
      <c r="D837" s="12">
        <v>4</v>
      </c>
      <c r="E837" s="13" t="s">
        <v>3058</v>
      </c>
      <c r="F837">
        <f t="shared" si="15"/>
        <v>30</v>
      </c>
      <c r="G837">
        <v>23</v>
      </c>
      <c r="H837">
        <v>1</v>
      </c>
      <c r="I837">
        <v>24</v>
      </c>
      <c r="J837" s="67">
        <v>7</v>
      </c>
    </row>
    <row r="838" spans="1:10">
      <c r="A838">
        <v>837</v>
      </c>
      <c r="B838" s="10">
        <v>42472.918437499997</v>
      </c>
      <c r="C838" s="11">
        <v>0.91843750000000002</v>
      </c>
      <c r="D838" s="12">
        <v>4</v>
      </c>
      <c r="E838" s="13" t="s">
        <v>3058</v>
      </c>
      <c r="F838">
        <f t="shared" si="15"/>
        <v>30</v>
      </c>
      <c r="G838">
        <v>38</v>
      </c>
      <c r="H838">
        <v>0</v>
      </c>
      <c r="I838">
        <v>38</v>
      </c>
      <c r="J838" s="67">
        <v>-8</v>
      </c>
    </row>
    <row r="839" spans="1:10">
      <c r="A839">
        <v>838</v>
      </c>
      <c r="B839" s="10">
        <v>42472.91846064815</v>
      </c>
      <c r="C839" s="11">
        <v>0.9184606481481481</v>
      </c>
      <c r="D839" s="12">
        <v>4</v>
      </c>
      <c r="E839" s="13" t="s">
        <v>3058</v>
      </c>
      <c r="F839">
        <f t="shared" si="15"/>
        <v>30</v>
      </c>
      <c r="G839">
        <v>30</v>
      </c>
      <c r="H839">
        <v>0</v>
      </c>
      <c r="I839">
        <v>30</v>
      </c>
      <c r="J839" s="67">
        <v>0</v>
      </c>
    </row>
    <row r="840" spans="1:10">
      <c r="A840">
        <v>839</v>
      </c>
      <c r="B840" s="10">
        <v>42472.91847222222</v>
      </c>
      <c r="C840" s="11">
        <v>0.91847222222222225</v>
      </c>
      <c r="D840" s="12">
        <v>4</v>
      </c>
      <c r="E840" s="13" t="s">
        <v>3058</v>
      </c>
      <c r="F840">
        <f t="shared" si="15"/>
        <v>30</v>
      </c>
      <c r="G840">
        <v>35</v>
      </c>
      <c r="H840">
        <v>1</v>
      </c>
      <c r="I840">
        <v>36</v>
      </c>
      <c r="J840" s="67">
        <v>-5</v>
      </c>
    </row>
    <row r="841" spans="1:10" ht="15" thickBot="1">
      <c r="A841">
        <v>840</v>
      </c>
      <c r="B841" s="14">
        <v>42472.918495370373</v>
      </c>
      <c r="C841" s="15">
        <v>0.91849537037037032</v>
      </c>
      <c r="D841" s="16">
        <v>4</v>
      </c>
      <c r="E841" s="17" t="s">
        <v>3058</v>
      </c>
      <c r="F841">
        <f t="shared" si="15"/>
        <v>30</v>
      </c>
      <c r="G841">
        <v>32</v>
      </c>
      <c r="H841">
        <v>1</v>
      </c>
      <c r="I841">
        <v>33</v>
      </c>
      <c r="J841" s="67">
        <v>-2</v>
      </c>
    </row>
    <row r="842" spans="1:10">
      <c r="A842">
        <v>841</v>
      </c>
      <c r="B842" s="6">
        <v>42473.245671296296</v>
      </c>
      <c r="C842" s="7">
        <v>0.2456712962962963</v>
      </c>
      <c r="D842" s="8">
        <v>4</v>
      </c>
      <c r="E842" s="9" t="s">
        <v>3058</v>
      </c>
      <c r="F842">
        <f t="shared" si="15"/>
        <v>30</v>
      </c>
      <c r="G842">
        <v>35</v>
      </c>
      <c r="H842">
        <v>2</v>
      </c>
      <c r="I842">
        <v>37</v>
      </c>
      <c r="J842" s="67">
        <v>-5</v>
      </c>
    </row>
    <row r="843" spans="1:10">
      <c r="A843">
        <v>842</v>
      </c>
      <c r="B843" s="10">
        <v>42473.245694444442</v>
      </c>
      <c r="C843" s="11">
        <v>0.24569444444444444</v>
      </c>
      <c r="D843" s="12">
        <v>4</v>
      </c>
      <c r="E843" s="13" t="s">
        <v>3058</v>
      </c>
      <c r="F843">
        <f t="shared" si="15"/>
        <v>30</v>
      </c>
      <c r="G843">
        <v>38</v>
      </c>
      <c r="H843">
        <v>1</v>
      </c>
      <c r="I843">
        <v>39</v>
      </c>
      <c r="J843" s="67">
        <v>-8</v>
      </c>
    </row>
    <row r="844" spans="1:10">
      <c r="A844">
        <v>843</v>
      </c>
      <c r="B844" s="10">
        <v>42473.245717592596</v>
      </c>
      <c r="C844" s="11">
        <v>0.2457175925925926</v>
      </c>
      <c r="D844" s="12">
        <v>4</v>
      </c>
      <c r="E844" s="13" t="s">
        <v>3058</v>
      </c>
      <c r="F844">
        <f t="shared" si="15"/>
        <v>30</v>
      </c>
      <c r="G844">
        <v>38</v>
      </c>
      <c r="H844">
        <v>0</v>
      </c>
      <c r="I844">
        <v>38</v>
      </c>
      <c r="J844" s="67">
        <v>-8</v>
      </c>
    </row>
    <row r="845" spans="1:10">
      <c r="A845">
        <v>844</v>
      </c>
      <c r="B845" s="10">
        <v>42473.245740740742</v>
      </c>
      <c r="C845" s="11">
        <v>0.24574074074074073</v>
      </c>
      <c r="D845" s="12">
        <v>4</v>
      </c>
      <c r="E845" s="13" t="s">
        <v>3058</v>
      </c>
      <c r="F845">
        <f t="shared" si="15"/>
        <v>30</v>
      </c>
      <c r="G845">
        <v>25</v>
      </c>
      <c r="H845">
        <v>0</v>
      </c>
      <c r="I845">
        <v>25</v>
      </c>
      <c r="J845" s="67">
        <v>5</v>
      </c>
    </row>
    <row r="846" spans="1:10">
      <c r="A846">
        <v>845</v>
      </c>
      <c r="B846" s="10">
        <v>42473.245763888888</v>
      </c>
      <c r="C846" s="11">
        <v>0.24576388888888889</v>
      </c>
      <c r="D846" s="12">
        <v>4</v>
      </c>
      <c r="E846" s="13" t="s">
        <v>3058</v>
      </c>
      <c r="F846">
        <f t="shared" si="15"/>
        <v>30</v>
      </c>
      <c r="G846">
        <v>38</v>
      </c>
      <c r="H846">
        <v>2</v>
      </c>
      <c r="I846">
        <v>40</v>
      </c>
      <c r="J846" s="67">
        <v>-8</v>
      </c>
    </row>
    <row r="847" spans="1:10">
      <c r="A847">
        <v>846</v>
      </c>
      <c r="B847" s="10">
        <v>42473.245787037034</v>
      </c>
      <c r="C847" s="11">
        <v>0.24578703703703703</v>
      </c>
      <c r="D847" s="12">
        <v>4</v>
      </c>
      <c r="E847" s="13" t="s">
        <v>3058</v>
      </c>
      <c r="F847">
        <f t="shared" si="15"/>
        <v>30</v>
      </c>
      <c r="G847">
        <v>38</v>
      </c>
      <c r="H847">
        <v>0</v>
      </c>
      <c r="I847">
        <v>38</v>
      </c>
      <c r="J847" s="67">
        <v>-8</v>
      </c>
    </row>
    <row r="848" spans="1:10">
      <c r="A848">
        <v>847</v>
      </c>
      <c r="B848" s="10">
        <v>42473.245798611111</v>
      </c>
      <c r="C848" s="11">
        <v>0.24579861111111112</v>
      </c>
      <c r="D848" s="12">
        <v>4</v>
      </c>
      <c r="E848" s="13" t="s">
        <v>3058</v>
      </c>
      <c r="F848">
        <f t="shared" si="15"/>
        <v>30</v>
      </c>
      <c r="G848">
        <v>16</v>
      </c>
      <c r="H848">
        <v>0</v>
      </c>
      <c r="I848">
        <v>16</v>
      </c>
      <c r="J848" s="67">
        <v>14</v>
      </c>
    </row>
    <row r="849" spans="1:10" ht="15" thickBot="1">
      <c r="A849">
        <v>848</v>
      </c>
      <c r="B849" s="14">
        <v>42473.245833333334</v>
      </c>
      <c r="C849" s="15">
        <v>0.24583333333333332</v>
      </c>
      <c r="D849" s="16">
        <v>4</v>
      </c>
      <c r="E849" s="17" t="s">
        <v>3058</v>
      </c>
      <c r="F849">
        <f t="shared" si="15"/>
        <v>30</v>
      </c>
      <c r="G849">
        <v>6</v>
      </c>
      <c r="H849">
        <v>0</v>
      </c>
      <c r="I849">
        <v>6</v>
      </c>
      <c r="J849" s="67">
        <v>24</v>
      </c>
    </row>
    <row r="850" spans="1:10">
      <c r="A850">
        <v>849</v>
      </c>
      <c r="B850" s="6">
        <v>42473.251967592594</v>
      </c>
      <c r="C850" s="7">
        <v>0.2519675925925926</v>
      </c>
      <c r="D850" s="8">
        <v>4</v>
      </c>
      <c r="E850" s="9" t="s">
        <v>3058</v>
      </c>
      <c r="F850">
        <f t="shared" si="15"/>
        <v>30</v>
      </c>
      <c r="G850">
        <v>23</v>
      </c>
      <c r="H850">
        <v>0</v>
      </c>
      <c r="I850">
        <v>23</v>
      </c>
      <c r="J850" s="67">
        <v>7</v>
      </c>
    </row>
    <row r="851" spans="1:10">
      <c r="A851">
        <v>850</v>
      </c>
      <c r="B851" s="10">
        <v>42473.252013888887</v>
      </c>
      <c r="C851" s="11">
        <v>0.25201388888888887</v>
      </c>
      <c r="D851" s="12">
        <v>4</v>
      </c>
      <c r="E851" s="13" t="s">
        <v>3058</v>
      </c>
      <c r="F851">
        <f t="shared" si="15"/>
        <v>30</v>
      </c>
      <c r="G851">
        <v>35</v>
      </c>
      <c r="H851">
        <v>1</v>
      </c>
      <c r="I851">
        <v>36</v>
      </c>
      <c r="J851" s="67">
        <v>-5</v>
      </c>
    </row>
    <row r="852" spans="1:10">
      <c r="A852">
        <v>851</v>
      </c>
      <c r="B852" s="10">
        <v>42473.25203703704</v>
      </c>
      <c r="C852" s="11">
        <v>0.25203703703703706</v>
      </c>
      <c r="D852" s="12">
        <v>4</v>
      </c>
      <c r="E852" s="13" t="s">
        <v>3058</v>
      </c>
      <c r="F852">
        <f t="shared" si="15"/>
        <v>30</v>
      </c>
      <c r="G852">
        <v>37</v>
      </c>
      <c r="H852">
        <v>2</v>
      </c>
      <c r="I852">
        <v>39</v>
      </c>
      <c r="J852" s="67">
        <v>-7</v>
      </c>
    </row>
    <row r="853" spans="1:10">
      <c r="A853">
        <v>852</v>
      </c>
      <c r="B853" s="10">
        <v>42473.252060185187</v>
      </c>
      <c r="C853" s="11">
        <v>0.25206018518518519</v>
      </c>
      <c r="D853" s="12">
        <v>4</v>
      </c>
      <c r="E853" s="13" t="s">
        <v>3058</v>
      </c>
      <c r="F853">
        <f t="shared" si="15"/>
        <v>30</v>
      </c>
      <c r="G853">
        <v>20</v>
      </c>
      <c r="H853">
        <v>2</v>
      </c>
      <c r="I853">
        <v>22</v>
      </c>
      <c r="J853" s="67">
        <v>10</v>
      </c>
    </row>
    <row r="854" spans="1:10">
      <c r="A854">
        <v>853</v>
      </c>
      <c r="B854" s="10">
        <v>42473.25209490741</v>
      </c>
      <c r="C854" s="11">
        <v>0.25209490740740742</v>
      </c>
      <c r="D854" s="12">
        <v>4</v>
      </c>
      <c r="E854" s="13" t="s">
        <v>3058</v>
      </c>
      <c r="F854">
        <f t="shared" si="15"/>
        <v>30</v>
      </c>
      <c r="G854">
        <v>37</v>
      </c>
      <c r="H854">
        <v>2</v>
      </c>
      <c r="I854">
        <v>39</v>
      </c>
      <c r="J854" s="67">
        <v>-7</v>
      </c>
    </row>
    <row r="855" spans="1:10">
      <c r="A855">
        <v>854</v>
      </c>
      <c r="B855" s="10">
        <v>42473.252129629633</v>
      </c>
      <c r="C855" s="11">
        <v>0.25212962962962965</v>
      </c>
      <c r="D855" s="12">
        <v>4</v>
      </c>
      <c r="E855" s="13" t="s">
        <v>3058</v>
      </c>
      <c r="F855">
        <f t="shared" si="15"/>
        <v>30</v>
      </c>
      <c r="G855">
        <v>37</v>
      </c>
      <c r="H855">
        <v>2</v>
      </c>
      <c r="I855">
        <v>39</v>
      </c>
      <c r="J855" s="67">
        <v>-7</v>
      </c>
    </row>
    <row r="856" spans="1:10">
      <c r="A856">
        <v>855</v>
      </c>
      <c r="B856" s="10">
        <v>42473.252152777779</v>
      </c>
      <c r="C856" s="11">
        <v>0.25215277777777778</v>
      </c>
      <c r="D856" s="12">
        <v>4</v>
      </c>
      <c r="E856" s="13" t="s">
        <v>3058</v>
      </c>
      <c r="F856">
        <f t="shared" si="15"/>
        <v>30</v>
      </c>
      <c r="G856">
        <v>32</v>
      </c>
      <c r="H856">
        <v>5</v>
      </c>
      <c r="I856">
        <v>37</v>
      </c>
      <c r="J856" s="67">
        <v>-2</v>
      </c>
    </row>
    <row r="857" spans="1:10" ht="15" thickBot="1">
      <c r="A857">
        <v>856</v>
      </c>
      <c r="B857" s="14">
        <v>42473.252187500002</v>
      </c>
      <c r="C857" s="15">
        <v>0.25218750000000001</v>
      </c>
      <c r="D857" s="16">
        <v>4</v>
      </c>
      <c r="E857" s="17" t="s">
        <v>3058</v>
      </c>
      <c r="F857">
        <f t="shared" si="15"/>
        <v>30</v>
      </c>
      <c r="G857">
        <v>27</v>
      </c>
      <c r="H857">
        <v>0</v>
      </c>
      <c r="I857">
        <v>27</v>
      </c>
      <c r="J857" s="67">
        <v>3</v>
      </c>
    </row>
    <row r="858" spans="1:10">
      <c r="A858">
        <v>857</v>
      </c>
      <c r="B858" s="6">
        <v>42473.582986111112</v>
      </c>
      <c r="C858" s="7">
        <v>0.58298611111111109</v>
      </c>
      <c r="D858" s="8">
        <v>4</v>
      </c>
      <c r="E858" s="9" t="s">
        <v>3058</v>
      </c>
      <c r="F858">
        <f t="shared" si="15"/>
        <v>30</v>
      </c>
      <c r="G858">
        <v>29</v>
      </c>
      <c r="H858">
        <v>2</v>
      </c>
      <c r="I858">
        <v>31</v>
      </c>
      <c r="J858" s="67">
        <v>1</v>
      </c>
    </row>
    <row r="859" spans="1:10">
      <c r="A859">
        <v>858</v>
      </c>
      <c r="B859" s="10">
        <v>42473.582997685182</v>
      </c>
      <c r="C859" s="11">
        <v>0.58299768518518513</v>
      </c>
      <c r="D859" s="12">
        <v>4</v>
      </c>
      <c r="E859" s="13" t="s">
        <v>3058</v>
      </c>
      <c r="F859">
        <f t="shared" si="15"/>
        <v>30</v>
      </c>
      <c r="G859">
        <v>37</v>
      </c>
      <c r="H859">
        <v>2</v>
      </c>
      <c r="I859">
        <v>39</v>
      </c>
      <c r="J859" s="67">
        <v>-7</v>
      </c>
    </row>
    <row r="860" spans="1:10">
      <c r="A860">
        <v>859</v>
      </c>
      <c r="B860" s="10">
        <v>42473.583009259259</v>
      </c>
      <c r="C860" s="11">
        <v>0.58300925925925928</v>
      </c>
      <c r="D860" s="12">
        <v>4</v>
      </c>
      <c r="E860" s="13" t="s">
        <v>3058</v>
      </c>
      <c r="F860">
        <f t="shared" si="15"/>
        <v>30</v>
      </c>
      <c r="G860">
        <v>38</v>
      </c>
      <c r="H860">
        <v>0</v>
      </c>
      <c r="I860">
        <v>38</v>
      </c>
      <c r="J860" s="67">
        <v>-8</v>
      </c>
    </row>
    <row r="861" spans="1:10">
      <c r="A861">
        <v>860</v>
      </c>
      <c r="B861" s="10">
        <v>42473.583032407405</v>
      </c>
      <c r="C861" s="11">
        <v>0.58303240740740736</v>
      </c>
      <c r="D861" s="12">
        <v>4</v>
      </c>
      <c r="E861" s="13" t="s">
        <v>3058</v>
      </c>
      <c r="F861">
        <f t="shared" si="15"/>
        <v>30</v>
      </c>
      <c r="G861">
        <v>23</v>
      </c>
      <c r="H861">
        <v>1</v>
      </c>
      <c r="I861">
        <v>24</v>
      </c>
      <c r="J861" s="67">
        <v>7</v>
      </c>
    </row>
    <row r="862" spans="1:10">
      <c r="A862">
        <v>861</v>
      </c>
      <c r="B862" s="10">
        <v>42473.583043981482</v>
      </c>
      <c r="C862" s="11">
        <v>0.58304398148148151</v>
      </c>
      <c r="D862" s="12">
        <v>4</v>
      </c>
      <c r="E862" s="13" t="s">
        <v>3058</v>
      </c>
      <c r="F862">
        <f t="shared" si="15"/>
        <v>30</v>
      </c>
      <c r="G862">
        <v>38</v>
      </c>
      <c r="H862">
        <v>2</v>
      </c>
      <c r="I862">
        <v>40</v>
      </c>
      <c r="J862" s="67">
        <v>-8</v>
      </c>
    </row>
    <row r="863" spans="1:10">
      <c r="A863">
        <v>862</v>
      </c>
      <c r="B863" s="10">
        <v>42473.583055555559</v>
      </c>
      <c r="C863" s="11">
        <v>0.58305555555555555</v>
      </c>
      <c r="D863" s="12">
        <v>4</v>
      </c>
      <c r="E863" s="13" t="s">
        <v>3058</v>
      </c>
      <c r="F863">
        <f t="shared" si="15"/>
        <v>30</v>
      </c>
      <c r="G863">
        <v>38</v>
      </c>
      <c r="H863">
        <v>1</v>
      </c>
      <c r="I863">
        <v>39</v>
      </c>
      <c r="J863" s="67">
        <v>-8</v>
      </c>
    </row>
    <row r="864" spans="1:10">
      <c r="A864">
        <v>863</v>
      </c>
      <c r="B864" s="10">
        <v>42473.583078703705</v>
      </c>
      <c r="C864" s="11">
        <v>0.58307870370370374</v>
      </c>
      <c r="D864" s="12">
        <v>4</v>
      </c>
      <c r="E864" s="13" t="s">
        <v>3058</v>
      </c>
      <c r="F864">
        <f t="shared" si="15"/>
        <v>30</v>
      </c>
      <c r="G864">
        <v>0</v>
      </c>
      <c r="H864">
        <v>0</v>
      </c>
      <c r="I864">
        <v>0</v>
      </c>
      <c r="J864" s="67">
        <v>30</v>
      </c>
    </row>
    <row r="865" spans="1:10" ht="15" thickBot="1">
      <c r="A865">
        <v>864</v>
      </c>
      <c r="B865" s="14">
        <v>42473.583090277774</v>
      </c>
      <c r="C865" s="15">
        <v>0.58309027777777778</v>
      </c>
      <c r="D865" s="16">
        <v>4</v>
      </c>
      <c r="E865" s="17" t="s">
        <v>3058</v>
      </c>
      <c r="F865">
        <f t="shared" si="15"/>
        <v>30</v>
      </c>
      <c r="G865">
        <v>0</v>
      </c>
      <c r="H865">
        <v>0</v>
      </c>
      <c r="I865">
        <v>0</v>
      </c>
      <c r="J865" s="67">
        <v>30</v>
      </c>
    </row>
    <row r="866" spans="1:10">
      <c r="A866">
        <v>865</v>
      </c>
      <c r="B866" s="6">
        <v>42473.914756944447</v>
      </c>
      <c r="C866" s="7">
        <v>0.91475694444444444</v>
      </c>
      <c r="D866" s="8">
        <v>4</v>
      </c>
      <c r="E866" s="9" t="s">
        <v>3058</v>
      </c>
      <c r="F866">
        <f t="shared" si="15"/>
        <v>30</v>
      </c>
      <c r="G866">
        <v>2</v>
      </c>
      <c r="H866">
        <v>1</v>
      </c>
      <c r="I866">
        <v>3</v>
      </c>
      <c r="J866" s="67">
        <v>28</v>
      </c>
    </row>
    <row r="867" spans="1:10">
      <c r="A867">
        <v>866</v>
      </c>
      <c r="B867" s="10">
        <v>42473.914780092593</v>
      </c>
      <c r="C867" s="11">
        <v>0.91478009259259263</v>
      </c>
      <c r="D867" s="12">
        <v>4</v>
      </c>
      <c r="E867" s="13" t="s">
        <v>3058</v>
      </c>
      <c r="F867">
        <f t="shared" si="15"/>
        <v>30</v>
      </c>
      <c r="G867">
        <v>11</v>
      </c>
      <c r="H867">
        <v>0</v>
      </c>
      <c r="I867">
        <v>11</v>
      </c>
      <c r="J867" s="67">
        <v>19</v>
      </c>
    </row>
    <row r="868" spans="1:10">
      <c r="A868">
        <v>867</v>
      </c>
      <c r="B868" s="10">
        <v>42473.914803240739</v>
      </c>
      <c r="C868" s="11">
        <v>0.91480324074074071</v>
      </c>
      <c r="D868" s="12">
        <v>4</v>
      </c>
      <c r="E868" s="13" t="s">
        <v>3058</v>
      </c>
      <c r="F868">
        <f t="shared" si="15"/>
        <v>30</v>
      </c>
      <c r="G868">
        <v>36</v>
      </c>
      <c r="H868">
        <v>4</v>
      </c>
      <c r="I868">
        <v>40</v>
      </c>
      <c r="J868" s="67">
        <v>-6</v>
      </c>
    </row>
    <row r="869" spans="1:10">
      <c r="A869">
        <v>868</v>
      </c>
      <c r="B869" s="10">
        <v>42473.914826388886</v>
      </c>
      <c r="C869" s="11">
        <v>0.9148263888888889</v>
      </c>
      <c r="D869" s="12">
        <v>4</v>
      </c>
      <c r="E869" s="13" t="s">
        <v>3058</v>
      </c>
      <c r="F869">
        <f t="shared" si="15"/>
        <v>30</v>
      </c>
      <c r="G869">
        <v>20</v>
      </c>
      <c r="H869">
        <v>2</v>
      </c>
      <c r="I869">
        <v>22</v>
      </c>
      <c r="J869" s="67">
        <v>10</v>
      </c>
    </row>
    <row r="870" spans="1:10">
      <c r="A870">
        <v>869</v>
      </c>
      <c r="B870" s="10">
        <v>42473.914849537039</v>
      </c>
      <c r="C870" s="11">
        <v>0.91484953703703709</v>
      </c>
      <c r="D870" s="12">
        <v>4</v>
      </c>
      <c r="E870" s="13" t="s">
        <v>3058</v>
      </c>
      <c r="F870">
        <f t="shared" si="15"/>
        <v>30</v>
      </c>
      <c r="G870">
        <v>35</v>
      </c>
      <c r="H870">
        <v>4</v>
      </c>
      <c r="I870">
        <v>39</v>
      </c>
      <c r="J870" s="67">
        <v>-5</v>
      </c>
    </row>
    <row r="871" spans="1:10">
      <c r="A871">
        <v>870</v>
      </c>
      <c r="B871" s="10">
        <v>42473.914872685185</v>
      </c>
      <c r="C871" s="11">
        <v>0.91487268518518516</v>
      </c>
      <c r="D871" s="12">
        <v>4</v>
      </c>
      <c r="E871" s="13" t="s">
        <v>3058</v>
      </c>
      <c r="F871">
        <f t="shared" si="15"/>
        <v>30</v>
      </c>
      <c r="G871">
        <v>8</v>
      </c>
      <c r="H871">
        <v>0</v>
      </c>
      <c r="I871">
        <v>8</v>
      </c>
      <c r="J871" s="67">
        <v>22</v>
      </c>
    </row>
    <row r="872" spans="1:10">
      <c r="A872">
        <v>871</v>
      </c>
      <c r="B872" s="10">
        <v>42473.914895833332</v>
      </c>
      <c r="C872" s="11">
        <v>0.91489583333333335</v>
      </c>
      <c r="D872" s="12">
        <v>4</v>
      </c>
      <c r="E872" s="13" t="s">
        <v>3058</v>
      </c>
      <c r="F872">
        <f t="shared" si="15"/>
        <v>30</v>
      </c>
      <c r="G872">
        <v>28</v>
      </c>
      <c r="H872">
        <v>0</v>
      </c>
      <c r="I872">
        <v>28</v>
      </c>
      <c r="J872" s="67">
        <v>2</v>
      </c>
    </row>
    <row r="873" spans="1:10" ht="15" thickBot="1">
      <c r="A873">
        <v>872</v>
      </c>
      <c r="B873" s="14">
        <v>42473.914930555555</v>
      </c>
      <c r="C873" s="15">
        <v>0.91493055555555558</v>
      </c>
      <c r="D873" s="16">
        <v>4</v>
      </c>
      <c r="E873" s="17" t="s">
        <v>3058</v>
      </c>
      <c r="F873">
        <f t="shared" si="15"/>
        <v>30</v>
      </c>
      <c r="G873">
        <v>17</v>
      </c>
      <c r="H873">
        <v>2</v>
      </c>
      <c r="I873">
        <v>19</v>
      </c>
      <c r="J873" s="67">
        <v>13</v>
      </c>
    </row>
    <row r="874" spans="1:10">
      <c r="A874">
        <v>873</v>
      </c>
      <c r="B874" s="6">
        <v>42474.250069444446</v>
      </c>
      <c r="C874" s="7">
        <v>0.25006944444444446</v>
      </c>
      <c r="D874" s="8">
        <v>4</v>
      </c>
      <c r="E874" s="9" t="s">
        <v>3058</v>
      </c>
      <c r="F874">
        <f t="shared" si="15"/>
        <v>30</v>
      </c>
      <c r="G874">
        <v>34</v>
      </c>
      <c r="H874">
        <v>0</v>
      </c>
      <c r="I874">
        <v>34</v>
      </c>
      <c r="J874" s="67">
        <v>-4</v>
      </c>
    </row>
    <row r="875" spans="1:10">
      <c r="A875">
        <v>874</v>
      </c>
      <c r="B875" s="10">
        <v>42474.250127314815</v>
      </c>
      <c r="C875" s="11">
        <v>0.25012731481481482</v>
      </c>
      <c r="D875" s="12">
        <v>4</v>
      </c>
      <c r="E875" s="13" t="s">
        <v>3058</v>
      </c>
      <c r="F875">
        <f t="shared" si="15"/>
        <v>30</v>
      </c>
      <c r="G875">
        <v>37</v>
      </c>
      <c r="H875">
        <v>1</v>
      </c>
      <c r="I875">
        <v>38</v>
      </c>
      <c r="J875" s="67">
        <v>-7</v>
      </c>
    </row>
    <row r="876" spans="1:10">
      <c r="A876">
        <v>875</v>
      </c>
      <c r="B876" s="10">
        <v>42474.250150462962</v>
      </c>
      <c r="C876" s="11">
        <v>0.25015046296296295</v>
      </c>
      <c r="D876" s="12">
        <v>4</v>
      </c>
      <c r="E876" s="13" t="s">
        <v>3058</v>
      </c>
      <c r="F876">
        <f t="shared" si="15"/>
        <v>30</v>
      </c>
      <c r="G876">
        <v>35</v>
      </c>
      <c r="H876">
        <v>0</v>
      </c>
      <c r="I876">
        <v>35</v>
      </c>
      <c r="J876" s="67">
        <v>-5</v>
      </c>
    </row>
    <row r="877" spans="1:10">
      <c r="A877">
        <v>876</v>
      </c>
      <c r="B877" s="10">
        <v>42474.250185185185</v>
      </c>
      <c r="C877" s="11">
        <v>0.25018518518518518</v>
      </c>
      <c r="D877" s="12">
        <v>4</v>
      </c>
      <c r="E877" s="13" t="s">
        <v>3058</v>
      </c>
      <c r="F877">
        <f t="shared" si="15"/>
        <v>30</v>
      </c>
      <c r="G877">
        <v>23</v>
      </c>
      <c r="H877">
        <v>1</v>
      </c>
      <c r="I877">
        <v>24</v>
      </c>
      <c r="J877" s="67">
        <v>7</v>
      </c>
    </row>
    <row r="878" spans="1:10">
      <c r="A878">
        <v>877</v>
      </c>
      <c r="B878" s="10">
        <v>42474.250219907408</v>
      </c>
      <c r="C878" s="11">
        <v>0.2502199074074074</v>
      </c>
      <c r="D878" s="12">
        <v>4</v>
      </c>
      <c r="E878" s="13" t="s">
        <v>3058</v>
      </c>
      <c r="F878">
        <f t="shared" si="15"/>
        <v>30</v>
      </c>
      <c r="G878">
        <v>34</v>
      </c>
      <c r="H878">
        <v>1</v>
      </c>
      <c r="I878">
        <v>35</v>
      </c>
      <c r="J878" s="67">
        <v>-4</v>
      </c>
    </row>
    <row r="879" spans="1:10">
      <c r="A879">
        <v>878</v>
      </c>
      <c r="B879" s="10">
        <v>42474.250254629631</v>
      </c>
      <c r="C879" s="11">
        <v>0.25025462962962963</v>
      </c>
      <c r="D879" s="12">
        <v>4</v>
      </c>
      <c r="E879" s="13" t="s">
        <v>3058</v>
      </c>
      <c r="F879">
        <f t="shared" si="15"/>
        <v>30</v>
      </c>
      <c r="G879">
        <v>36</v>
      </c>
      <c r="H879">
        <v>2</v>
      </c>
      <c r="I879">
        <v>38</v>
      </c>
      <c r="J879" s="67">
        <v>-6</v>
      </c>
    </row>
    <row r="880" spans="1:10">
      <c r="A880">
        <v>879</v>
      </c>
      <c r="B880" s="10">
        <v>42474.250289351854</v>
      </c>
      <c r="C880" s="11">
        <v>0.25028935185185186</v>
      </c>
      <c r="D880" s="12">
        <v>4</v>
      </c>
      <c r="E880" s="13" t="s">
        <v>3058</v>
      </c>
      <c r="F880">
        <f t="shared" si="15"/>
        <v>30</v>
      </c>
      <c r="G880">
        <v>29</v>
      </c>
      <c r="H880">
        <v>2</v>
      </c>
      <c r="I880">
        <v>31</v>
      </c>
      <c r="J880" s="67">
        <v>1</v>
      </c>
    </row>
    <row r="881" spans="1:10" ht="15" thickBot="1">
      <c r="A881">
        <v>880</v>
      </c>
      <c r="B881" s="14">
        <v>42474.250324074077</v>
      </c>
      <c r="C881" s="15">
        <v>0.25032407407407409</v>
      </c>
      <c r="D881" s="16">
        <v>4</v>
      </c>
      <c r="E881" s="17" t="s">
        <v>3058</v>
      </c>
      <c r="F881">
        <f t="shared" si="15"/>
        <v>30</v>
      </c>
      <c r="G881">
        <v>26</v>
      </c>
      <c r="H881">
        <v>0</v>
      </c>
      <c r="I881">
        <v>26</v>
      </c>
      <c r="J881" s="67">
        <v>4</v>
      </c>
    </row>
    <row r="882" spans="1:10">
      <c r="A882">
        <v>881</v>
      </c>
      <c r="B882" s="6">
        <v>42474.597025462965</v>
      </c>
      <c r="C882" s="7">
        <v>0.59702546296296299</v>
      </c>
      <c r="D882" s="8">
        <v>4</v>
      </c>
      <c r="E882" s="9" t="s">
        <v>3058</v>
      </c>
      <c r="F882">
        <f t="shared" si="15"/>
        <v>30</v>
      </c>
      <c r="G882">
        <v>31</v>
      </c>
      <c r="H882">
        <v>2</v>
      </c>
      <c r="I882">
        <v>33</v>
      </c>
      <c r="J882" s="67">
        <v>-1</v>
      </c>
    </row>
    <row r="883" spans="1:10">
      <c r="A883">
        <v>882</v>
      </c>
      <c r="B883" s="10">
        <v>42474.597905092596</v>
      </c>
      <c r="C883" s="11">
        <v>0.59790509259259261</v>
      </c>
      <c r="D883" s="12">
        <v>4</v>
      </c>
      <c r="E883" s="13" t="s">
        <v>3058</v>
      </c>
      <c r="F883">
        <f t="shared" si="15"/>
        <v>30</v>
      </c>
      <c r="G883">
        <v>31</v>
      </c>
      <c r="H883">
        <v>2</v>
      </c>
      <c r="I883">
        <v>33</v>
      </c>
      <c r="J883" s="67">
        <v>-1</v>
      </c>
    </row>
    <row r="884" spans="1:10">
      <c r="A884">
        <v>883</v>
      </c>
      <c r="B884" s="10">
        <v>42474.597928240742</v>
      </c>
      <c r="C884" s="11">
        <v>0.59792824074074069</v>
      </c>
      <c r="D884" s="12">
        <v>4</v>
      </c>
      <c r="E884" s="13" t="s">
        <v>3058</v>
      </c>
      <c r="F884">
        <f t="shared" si="15"/>
        <v>30</v>
      </c>
      <c r="G884">
        <v>38</v>
      </c>
      <c r="H884">
        <v>2</v>
      </c>
      <c r="I884">
        <v>40</v>
      </c>
      <c r="J884" s="67">
        <v>-8</v>
      </c>
    </row>
    <row r="885" spans="1:10">
      <c r="A885">
        <v>884</v>
      </c>
      <c r="B885" s="10">
        <v>42474.597939814812</v>
      </c>
      <c r="C885" s="11">
        <v>0.59793981481481484</v>
      </c>
      <c r="D885" s="12">
        <v>4</v>
      </c>
      <c r="E885" s="13" t="s">
        <v>3058</v>
      </c>
      <c r="F885">
        <f t="shared" si="15"/>
        <v>30</v>
      </c>
      <c r="G885">
        <v>25</v>
      </c>
      <c r="H885">
        <v>2</v>
      </c>
      <c r="I885">
        <v>27</v>
      </c>
      <c r="J885" s="67">
        <v>5</v>
      </c>
    </row>
    <row r="886" spans="1:10">
      <c r="A886">
        <v>885</v>
      </c>
      <c r="B886" s="10">
        <v>42474.597962962966</v>
      </c>
      <c r="C886" s="11">
        <v>0.59796296296296292</v>
      </c>
      <c r="D886" s="12">
        <v>4</v>
      </c>
      <c r="E886" s="13" t="s">
        <v>3058</v>
      </c>
      <c r="F886">
        <f t="shared" si="15"/>
        <v>30</v>
      </c>
      <c r="G886">
        <v>38</v>
      </c>
      <c r="H886">
        <v>2</v>
      </c>
      <c r="I886">
        <v>40</v>
      </c>
      <c r="J886" s="67">
        <v>-8</v>
      </c>
    </row>
    <row r="887" spans="1:10">
      <c r="A887">
        <v>886</v>
      </c>
      <c r="B887" s="10">
        <v>42474.597986111112</v>
      </c>
      <c r="C887" s="11">
        <v>0.59798611111111111</v>
      </c>
      <c r="D887" s="12">
        <v>4</v>
      </c>
      <c r="E887" s="13" t="s">
        <v>3058</v>
      </c>
      <c r="F887">
        <f t="shared" si="15"/>
        <v>30</v>
      </c>
      <c r="G887">
        <v>36</v>
      </c>
      <c r="H887">
        <v>1</v>
      </c>
      <c r="I887">
        <v>37</v>
      </c>
      <c r="J887" s="67">
        <v>-6</v>
      </c>
    </row>
    <row r="888" spans="1:10">
      <c r="A888">
        <v>887</v>
      </c>
      <c r="B888" s="10">
        <v>42474.597997685189</v>
      </c>
      <c r="C888" s="11">
        <v>0.59799768518518515</v>
      </c>
      <c r="D888" s="12">
        <v>4</v>
      </c>
      <c r="E888" s="13" t="s">
        <v>3058</v>
      </c>
      <c r="F888">
        <f t="shared" si="15"/>
        <v>30</v>
      </c>
      <c r="G888">
        <v>31</v>
      </c>
      <c r="H888">
        <v>1</v>
      </c>
      <c r="I888">
        <v>32</v>
      </c>
      <c r="J888" s="67">
        <v>-1</v>
      </c>
    </row>
    <row r="889" spans="1:10" ht="15" thickBot="1">
      <c r="A889">
        <v>888</v>
      </c>
      <c r="B889" s="14">
        <v>42474.598009259258</v>
      </c>
      <c r="C889" s="15">
        <v>0.5980092592592593</v>
      </c>
      <c r="D889" s="16">
        <v>4</v>
      </c>
      <c r="E889" s="17" t="s">
        <v>3058</v>
      </c>
      <c r="F889">
        <f t="shared" si="15"/>
        <v>30</v>
      </c>
      <c r="G889">
        <v>30</v>
      </c>
      <c r="H889">
        <v>1</v>
      </c>
      <c r="I889">
        <v>31</v>
      </c>
      <c r="J889" s="67">
        <v>0</v>
      </c>
    </row>
    <row r="890" spans="1:10">
      <c r="A890">
        <v>889</v>
      </c>
      <c r="B890" s="6">
        <v>42474.914270833331</v>
      </c>
      <c r="C890" s="7">
        <v>0.91427083333333337</v>
      </c>
      <c r="D890" s="8">
        <v>4</v>
      </c>
      <c r="E890" s="9" t="s">
        <v>3058</v>
      </c>
      <c r="F890">
        <f t="shared" si="15"/>
        <v>30</v>
      </c>
      <c r="G890">
        <v>31</v>
      </c>
      <c r="H890">
        <v>2</v>
      </c>
      <c r="I890">
        <v>33</v>
      </c>
      <c r="J890" s="67">
        <v>-1</v>
      </c>
    </row>
    <row r="891" spans="1:10">
      <c r="A891">
        <v>890</v>
      </c>
      <c r="B891" s="10">
        <v>42474.9143287037</v>
      </c>
      <c r="C891" s="11">
        <v>0.91432870370370367</v>
      </c>
      <c r="D891" s="12">
        <v>4</v>
      </c>
      <c r="E891" s="13" t="s">
        <v>3058</v>
      </c>
      <c r="F891">
        <f t="shared" si="15"/>
        <v>30</v>
      </c>
      <c r="G891">
        <v>35</v>
      </c>
      <c r="H891">
        <v>3</v>
      </c>
      <c r="I891">
        <v>38</v>
      </c>
      <c r="J891" s="67">
        <v>-5</v>
      </c>
    </row>
    <row r="892" spans="1:10">
      <c r="A892">
        <v>891</v>
      </c>
      <c r="B892" s="10">
        <v>42474.914363425924</v>
      </c>
      <c r="C892" s="11">
        <v>0.9143634259259259</v>
      </c>
      <c r="D892" s="12">
        <v>4</v>
      </c>
      <c r="E892" s="13" t="s">
        <v>3058</v>
      </c>
      <c r="F892">
        <f t="shared" si="15"/>
        <v>30</v>
      </c>
      <c r="G892">
        <v>29</v>
      </c>
      <c r="H892">
        <v>1</v>
      </c>
      <c r="I892">
        <v>30</v>
      </c>
      <c r="J892" s="67">
        <v>1</v>
      </c>
    </row>
    <row r="893" spans="1:10">
      <c r="A893">
        <v>892</v>
      </c>
      <c r="B893" s="10">
        <v>42474.914363425924</v>
      </c>
      <c r="C893" s="11">
        <v>0.9143634259259259</v>
      </c>
      <c r="D893" s="12">
        <v>4</v>
      </c>
      <c r="E893" s="13" t="s">
        <v>3058</v>
      </c>
      <c r="F893">
        <f t="shared" si="15"/>
        <v>30</v>
      </c>
      <c r="G893">
        <v>17</v>
      </c>
      <c r="H893">
        <v>1</v>
      </c>
      <c r="I893">
        <v>18</v>
      </c>
      <c r="J893" s="67">
        <v>13</v>
      </c>
    </row>
    <row r="894" spans="1:10">
      <c r="A894">
        <v>893</v>
      </c>
      <c r="B894" s="10">
        <v>42474.914375</v>
      </c>
      <c r="C894" s="11">
        <v>0.91437500000000005</v>
      </c>
      <c r="D894" s="12">
        <v>4</v>
      </c>
      <c r="E894" s="13" t="s">
        <v>3058</v>
      </c>
      <c r="F894">
        <f t="shared" si="15"/>
        <v>30</v>
      </c>
      <c r="G894">
        <v>23</v>
      </c>
      <c r="H894">
        <v>2</v>
      </c>
      <c r="I894">
        <v>25</v>
      </c>
      <c r="J894" s="67">
        <v>7</v>
      </c>
    </row>
    <row r="895" spans="1:10">
      <c r="A895">
        <v>894</v>
      </c>
      <c r="B895" s="10">
        <v>42474.914375</v>
      </c>
      <c r="C895" s="11">
        <v>0.91437500000000005</v>
      </c>
      <c r="D895" s="12">
        <v>4</v>
      </c>
      <c r="E895" s="13" t="s">
        <v>3058</v>
      </c>
      <c r="F895">
        <f t="shared" si="15"/>
        <v>30</v>
      </c>
      <c r="G895">
        <v>32</v>
      </c>
      <c r="H895">
        <v>2</v>
      </c>
      <c r="I895">
        <v>34</v>
      </c>
      <c r="J895" s="67">
        <v>-2</v>
      </c>
    </row>
    <row r="896" spans="1:10">
      <c r="A896">
        <v>895</v>
      </c>
      <c r="B896" s="10">
        <v>42474.914386574077</v>
      </c>
      <c r="C896" s="11">
        <v>0.91438657407407409</v>
      </c>
      <c r="D896" s="12">
        <v>4</v>
      </c>
      <c r="E896" s="13" t="s">
        <v>3058</v>
      </c>
      <c r="F896">
        <f t="shared" si="15"/>
        <v>30</v>
      </c>
      <c r="G896">
        <v>37</v>
      </c>
      <c r="H896">
        <v>1</v>
      </c>
      <c r="I896">
        <v>38</v>
      </c>
      <c r="J896" s="67">
        <v>-7</v>
      </c>
    </row>
    <row r="897" spans="1:10" ht="15" thickBot="1">
      <c r="A897">
        <v>896</v>
      </c>
      <c r="B897" s="14">
        <v>42474.914421296293</v>
      </c>
      <c r="C897" s="15">
        <v>0.91442129629629632</v>
      </c>
      <c r="D897" s="16">
        <v>4</v>
      </c>
      <c r="E897" s="17" t="s">
        <v>3058</v>
      </c>
      <c r="F897">
        <f t="shared" si="15"/>
        <v>30</v>
      </c>
      <c r="G897">
        <v>16</v>
      </c>
      <c r="H897">
        <v>2</v>
      </c>
      <c r="I897">
        <v>18</v>
      </c>
      <c r="J897" s="67">
        <v>14</v>
      </c>
    </row>
    <row r="898" spans="1:10">
      <c r="A898">
        <v>897</v>
      </c>
      <c r="B898" s="6">
        <v>42479.24900462963</v>
      </c>
      <c r="C898" s="7">
        <v>0.24900462962962963</v>
      </c>
      <c r="D898" s="8">
        <v>4</v>
      </c>
      <c r="E898" s="9" t="s">
        <v>3058</v>
      </c>
      <c r="F898">
        <f t="shared" si="15"/>
        <v>30</v>
      </c>
      <c r="G898">
        <v>35</v>
      </c>
      <c r="H898">
        <v>1</v>
      </c>
      <c r="I898">
        <v>36</v>
      </c>
      <c r="J898" s="67">
        <v>-5</v>
      </c>
    </row>
    <row r="899" spans="1:10">
      <c r="A899">
        <v>898</v>
      </c>
      <c r="B899" s="10">
        <v>42479.249039351853</v>
      </c>
      <c r="C899" s="11">
        <v>0.24903935185185186</v>
      </c>
      <c r="D899" s="12">
        <v>4</v>
      </c>
      <c r="E899" s="13" t="s">
        <v>3058</v>
      </c>
      <c r="F899">
        <f t="shared" ref="F899:F929" si="16">40*0.75</f>
        <v>30</v>
      </c>
      <c r="G899">
        <v>18</v>
      </c>
      <c r="H899">
        <v>2</v>
      </c>
      <c r="I899">
        <v>20</v>
      </c>
      <c r="J899" s="67">
        <v>12</v>
      </c>
    </row>
    <row r="900" spans="1:10">
      <c r="A900">
        <v>899</v>
      </c>
      <c r="B900" s="10">
        <v>42479.249050925922</v>
      </c>
      <c r="C900" s="11">
        <v>0.24905092592592593</v>
      </c>
      <c r="D900" s="12">
        <v>4</v>
      </c>
      <c r="E900" s="13" t="s">
        <v>3058</v>
      </c>
      <c r="F900">
        <f t="shared" si="16"/>
        <v>30</v>
      </c>
      <c r="G900">
        <v>38</v>
      </c>
      <c r="H900">
        <v>1</v>
      </c>
      <c r="I900">
        <v>39</v>
      </c>
      <c r="J900" s="67">
        <v>-8</v>
      </c>
    </row>
    <row r="901" spans="1:10">
      <c r="A901">
        <v>900</v>
      </c>
      <c r="B901" s="10">
        <v>42479.249074074076</v>
      </c>
      <c r="C901" s="11">
        <v>0.24907407407407409</v>
      </c>
      <c r="D901" s="12">
        <v>4</v>
      </c>
      <c r="E901" s="13" t="s">
        <v>3058</v>
      </c>
      <c r="F901">
        <f t="shared" si="16"/>
        <v>30</v>
      </c>
      <c r="G901">
        <v>23</v>
      </c>
      <c r="H901">
        <v>1</v>
      </c>
      <c r="I901">
        <v>24</v>
      </c>
      <c r="J901" s="67">
        <v>7</v>
      </c>
    </row>
    <row r="902" spans="1:10">
      <c r="A902">
        <v>901</v>
      </c>
      <c r="B902" s="10">
        <v>42479.249085648145</v>
      </c>
      <c r="C902" s="11">
        <v>0.24908564814814815</v>
      </c>
      <c r="D902" s="12">
        <v>4</v>
      </c>
      <c r="E902" s="13" t="s">
        <v>3058</v>
      </c>
      <c r="F902">
        <f t="shared" si="16"/>
        <v>30</v>
      </c>
      <c r="G902">
        <v>22</v>
      </c>
      <c r="H902">
        <v>2</v>
      </c>
      <c r="I902">
        <v>24</v>
      </c>
      <c r="J902" s="67">
        <v>8</v>
      </c>
    </row>
    <row r="903" spans="1:10">
      <c r="A903">
        <v>902</v>
      </c>
      <c r="B903" s="10">
        <v>42479.249131944445</v>
      </c>
      <c r="C903" s="11">
        <v>0.24913194444444445</v>
      </c>
      <c r="D903" s="12">
        <v>4</v>
      </c>
      <c r="E903" s="13" t="s">
        <v>3058</v>
      </c>
      <c r="F903">
        <f t="shared" si="16"/>
        <v>30</v>
      </c>
      <c r="G903">
        <v>22</v>
      </c>
      <c r="H903">
        <v>3</v>
      </c>
      <c r="I903">
        <v>25</v>
      </c>
      <c r="J903" s="67">
        <v>8</v>
      </c>
    </row>
    <row r="904" spans="1:10">
      <c r="A904">
        <v>903</v>
      </c>
      <c r="B904" s="10">
        <v>42479.249155092592</v>
      </c>
      <c r="C904" s="11">
        <v>0.24915509259259258</v>
      </c>
      <c r="D904" s="12">
        <v>4</v>
      </c>
      <c r="E904" s="13" t="s">
        <v>3058</v>
      </c>
      <c r="F904">
        <f t="shared" si="16"/>
        <v>30</v>
      </c>
      <c r="G904">
        <v>11</v>
      </c>
      <c r="H904">
        <v>2</v>
      </c>
      <c r="I904">
        <v>13</v>
      </c>
      <c r="J904" s="67">
        <v>19</v>
      </c>
    </row>
    <row r="905" spans="1:10" ht="15" thickBot="1">
      <c r="A905">
        <v>904</v>
      </c>
      <c r="B905" s="14">
        <v>42479.249178240738</v>
      </c>
      <c r="C905" s="15">
        <v>0.24917824074074074</v>
      </c>
      <c r="D905" s="16">
        <v>4</v>
      </c>
      <c r="E905" s="17" t="s">
        <v>3058</v>
      </c>
      <c r="F905">
        <f t="shared" si="16"/>
        <v>30</v>
      </c>
      <c r="G905">
        <v>0</v>
      </c>
      <c r="H905">
        <v>0</v>
      </c>
      <c r="I905">
        <v>0</v>
      </c>
      <c r="J905" s="67">
        <v>30</v>
      </c>
    </row>
    <row r="906" spans="1:10">
      <c r="A906">
        <v>905</v>
      </c>
      <c r="B906" s="6">
        <v>42479.584687499999</v>
      </c>
      <c r="C906" s="7">
        <v>0.58468750000000003</v>
      </c>
      <c r="D906" s="8">
        <v>4</v>
      </c>
      <c r="E906" s="9" t="s">
        <v>3058</v>
      </c>
      <c r="F906">
        <f t="shared" si="16"/>
        <v>30</v>
      </c>
      <c r="G906">
        <v>0</v>
      </c>
      <c r="H906">
        <v>0</v>
      </c>
      <c r="I906">
        <v>0</v>
      </c>
      <c r="J906" s="67">
        <v>30</v>
      </c>
    </row>
    <row r="907" spans="1:10">
      <c r="A907">
        <v>906</v>
      </c>
      <c r="B907" s="10">
        <v>42479.584699074076</v>
      </c>
      <c r="C907" s="11">
        <v>0.58469907407407407</v>
      </c>
      <c r="D907" s="12">
        <v>4</v>
      </c>
      <c r="E907" s="13" t="s">
        <v>3058</v>
      </c>
      <c r="F907">
        <f t="shared" si="16"/>
        <v>30</v>
      </c>
      <c r="G907">
        <v>0</v>
      </c>
      <c r="H907">
        <v>0</v>
      </c>
      <c r="I907">
        <v>0</v>
      </c>
      <c r="J907" s="67">
        <v>30</v>
      </c>
    </row>
    <row r="908" spans="1:10">
      <c r="A908">
        <v>907</v>
      </c>
      <c r="B908" s="10">
        <v>42479.584791666668</v>
      </c>
      <c r="C908" s="11">
        <v>0.58479166666666671</v>
      </c>
      <c r="D908" s="12">
        <v>4</v>
      </c>
      <c r="E908" s="13" t="s">
        <v>3058</v>
      </c>
      <c r="F908">
        <f t="shared" si="16"/>
        <v>30</v>
      </c>
      <c r="G908">
        <v>0</v>
      </c>
      <c r="H908">
        <v>0</v>
      </c>
      <c r="I908">
        <v>0</v>
      </c>
      <c r="J908" s="67">
        <v>30</v>
      </c>
    </row>
    <row r="909" spans="1:10">
      <c r="A909">
        <v>908</v>
      </c>
      <c r="B909" s="10">
        <v>42479.584826388891</v>
      </c>
      <c r="C909" s="11">
        <v>0.58482638888888894</v>
      </c>
      <c r="D909" s="12">
        <v>4</v>
      </c>
      <c r="E909" s="13" t="s">
        <v>3058</v>
      </c>
      <c r="F909">
        <f t="shared" si="16"/>
        <v>30</v>
      </c>
      <c r="G909">
        <v>0</v>
      </c>
      <c r="H909">
        <v>0</v>
      </c>
      <c r="I909">
        <v>0</v>
      </c>
      <c r="J909" s="67">
        <v>30</v>
      </c>
    </row>
    <row r="910" spans="1:10">
      <c r="A910">
        <v>909</v>
      </c>
      <c r="B910" s="10">
        <v>42479.584861111114</v>
      </c>
      <c r="C910" s="11">
        <v>0.58486111111111116</v>
      </c>
      <c r="D910" s="12">
        <v>4</v>
      </c>
      <c r="E910" s="13" t="s">
        <v>3058</v>
      </c>
      <c r="F910">
        <f t="shared" si="16"/>
        <v>30</v>
      </c>
      <c r="G910">
        <v>1</v>
      </c>
      <c r="H910">
        <v>0</v>
      </c>
      <c r="I910">
        <v>1</v>
      </c>
      <c r="J910" s="67">
        <v>29</v>
      </c>
    </row>
    <row r="911" spans="1:10">
      <c r="A911">
        <v>910</v>
      </c>
      <c r="B911" s="10">
        <v>42479.58488425926</v>
      </c>
      <c r="C911" s="11">
        <v>0.58488425925925924</v>
      </c>
      <c r="D911" s="12">
        <v>4</v>
      </c>
      <c r="E911" s="13" t="s">
        <v>3058</v>
      </c>
      <c r="F911">
        <f t="shared" si="16"/>
        <v>30</v>
      </c>
      <c r="G911">
        <v>0</v>
      </c>
      <c r="H911">
        <v>0</v>
      </c>
      <c r="I911">
        <v>0</v>
      </c>
      <c r="J911" s="67">
        <v>30</v>
      </c>
    </row>
    <row r="912" spans="1:10">
      <c r="A912">
        <v>911</v>
      </c>
      <c r="B912" s="10">
        <v>42479.58489583333</v>
      </c>
      <c r="C912" s="11">
        <v>0.58489583333333328</v>
      </c>
      <c r="D912" s="12">
        <v>4</v>
      </c>
      <c r="E912" s="13" t="s">
        <v>3058</v>
      </c>
      <c r="F912">
        <f t="shared" si="16"/>
        <v>30</v>
      </c>
      <c r="G912">
        <v>10</v>
      </c>
      <c r="H912">
        <v>2</v>
      </c>
      <c r="I912">
        <v>12</v>
      </c>
      <c r="J912" s="67">
        <v>20</v>
      </c>
    </row>
    <row r="913" spans="1:10" ht="15" thickBot="1">
      <c r="A913">
        <v>912</v>
      </c>
      <c r="B913" s="14">
        <v>42479.584918981483</v>
      </c>
      <c r="C913" s="15">
        <v>0.58491898148148147</v>
      </c>
      <c r="D913" s="16">
        <v>4</v>
      </c>
      <c r="E913" s="17" t="s">
        <v>3058</v>
      </c>
      <c r="F913">
        <f t="shared" si="16"/>
        <v>30</v>
      </c>
      <c r="G913">
        <v>8</v>
      </c>
      <c r="H913">
        <v>5</v>
      </c>
      <c r="I913">
        <v>13</v>
      </c>
      <c r="J913" s="67">
        <v>22</v>
      </c>
    </row>
    <row r="914" spans="1:10">
      <c r="A914">
        <v>913</v>
      </c>
      <c r="B914" s="6">
        <v>42479.916724537034</v>
      </c>
      <c r="C914" s="7">
        <v>0.91672453703703705</v>
      </c>
      <c r="D914" s="8">
        <v>4</v>
      </c>
      <c r="E914" s="9" t="s">
        <v>3058</v>
      </c>
      <c r="F914">
        <f t="shared" si="16"/>
        <v>30</v>
      </c>
      <c r="G914">
        <v>14</v>
      </c>
      <c r="H914">
        <v>4</v>
      </c>
      <c r="I914">
        <v>18</v>
      </c>
      <c r="J914" s="67">
        <v>16</v>
      </c>
    </row>
    <row r="915" spans="1:10">
      <c r="A915">
        <v>914</v>
      </c>
      <c r="B915" s="10">
        <v>42479.91678240741</v>
      </c>
      <c r="C915" s="11">
        <v>0.91678240740740746</v>
      </c>
      <c r="D915" s="12">
        <v>4</v>
      </c>
      <c r="E915" s="13" t="s">
        <v>3058</v>
      </c>
      <c r="F915">
        <f t="shared" si="16"/>
        <v>30</v>
      </c>
      <c r="G915">
        <v>17</v>
      </c>
      <c r="H915">
        <v>5</v>
      </c>
      <c r="I915">
        <v>22</v>
      </c>
      <c r="J915" s="67">
        <v>13</v>
      </c>
    </row>
    <row r="916" spans="1:10">
      <c r="A916">
        <v>915</v>
      </c>
      <c r="B916" s="10">
        <v>42479.916817129626</v>
      </c>
      <c r="C916" s="11">
        <v>0.91681712962962958</v>
      </c>
      <c r="D916" s="12">
        <v>4</v>
      </c>
      <c r="E916" s="13" t="s">
        <v>3058</v>
      </c>
      <c r="F916">
        <f t="shared" si="16"/>
        <v>30</v>
      </c>
      <c r="G916">
        <v>17</v>
      </c>
      <c r="H916">
        <v>0</v>
      </c>
      <c r="I916">
        <v>17</v>
      </c>
      <c r="J916" s="67">
        <v>13</v>
      </c>
    </row>
    <row r="917" spans="1:10">
      <c r="A917">
        <v>916</v>
      </c>
      <c r="B917" s="10">
        <v>42479.916851851849</v>
      </c>
      <c r="C917" s="11">
        <v>0.91685185185185181</v>
      </c>
      <c r="D917" s="12">
        <v>4</v>
      </c>
      <c r="E917" s="13" t="s">
        <v>3058</v>
      </c>
      <c r="F917">
        <f t="shared" si="16"/>
        <v>30</v>
      </c>
      <c r="G917">
        <v>11</v>
      </c>
      <c r="H917">
        <v>0</v>
      </c>
      <c r="I917">
        <v>11</v>
      </c>
      <c r="J917" s="67">
        <v>19</v>
      </c>
    </row>
    <row r="918" spans="1:10">
      <c r="A918">
        <v>917</v>
      </c>
      <c r="B918" s="10">
        <v>42479.916875000003</v>
      </c>
      <c r="C918" s="11">
        <v>0.916875</v>
      </c>
      <c r="D918" s="12">
        <v>4</v>
      </c>
      <c r="E918" s="13" t="s">
        <v>3058</v>
      </c>
      <c r="F918">
        <f t="shared" si="16"/>
        <v>30</v>
      </c>
      <c r="G918">
        <v>32</v>
      </c>
      <c r="H918">
        <v>2</v>
      </c>
      <c r="I918">
        <v>34</v>
      </c>
      <c r="J918" s="67">
        <v>-2</v>
      </c>
    </row>
    <row r="919" spans="1:10">
      <c r="A919">
        <v>918</v>
      </c>
      <c r="B919" s="10">
        <v>42479.916898148149</v>
      </c>
      <c r="C919" s="11">
        <v>0.91689814814814818</v>
      </c>
      <c r="D919" s="12">
        <v>4</v>
      </c>
      <c r="E919" s="13" t="s">
        <v>3058</v>
      </c>
      <c r="F919">
        <f t="shared" si="16"/>
        <v>30</v>
      </c>
      <c r="G919">
        <v>34</v>
      </c>
      <c r="H919">
        <v>0</v>
      </c>
      <c r="I919">
        <v>34</v>
      </c>
      <c r="J919" s="67">
        <v>-4</v>
      </c>
    </row>
    <row r="920" spans="1:10">
      <c r="A920">
        <v>919</v>
      </c>
      <c r="B920" s="10">
        <v>42479.916932870372</v>
      </c>
      <c r="C920" s="11">
        <v>0.91693287037037041</v>
      </c>
      <c r="D920" s="12">
        <v>4</v>
      </c>
      <c r="E920" s="13" t="s">
        <v>3058</v>
      </c>
      <c r="F920">
        <f t="shared" si="16"/>
        <v>30</v>
      </c>
      <c r="G920">
        <v>38</v>
      </c>
      <c r="H920">
        <v>2</v>
      </c>
      <c r="I920">
        <v>40</v>
      </c>
      <c r="J920" s="67">
        <v>-8</v>
      </c>
    </row>
    <row r="921" spans="1:10" ht="15" thickBot="1">
      <c r="A921">
        <v>920</v>
      </c>
      <c r="B921" s="14">
        <v>42479.916967592595</v>
      </c>
      <c r="C921" s="15">
        <v>0.91696759259259264</v>
      </c>
      <c r="D921" s="16">
        <v>4</v>
      </c>
      <c r="E921" s="17" t="s">
        <v>3058</v>
      </c>
      <c r="F921">
        <f t="shared" si="16"/>
        <v>30</v>
      </c>
      <c r="G921">
        <v>26</v>
      </c>
      <c r="H921">
        <v>4</v>
      </c>
      <c r="I921">
        <v>30</v>
      </c>
      <c r="J921" s="67">
        <v>4</v>
      </c>
    </row>
    <row r="922" spans="1:10">
      <c r="A922">
        <v>921</v>
      </c>
      <c r="B922" s="6">
        <v>42480.250625000001</v>
      </c>
      <c r="C922" s="7">
        <v>0.25062499999999999</v>
      </c>
      <c r="D922" s="8">
        <v>4</v>
      </c>
      <c r="E922" s="9" t="s">
        <v>3058</v>
      </c>
      <c r="F922">
        <f t="shared" si="16"/>
        <v>30</v>
      </c>
      <c r="G922">
        <v>0</v>
      </c>
      <c r="H922">
        <v>0</v>
      </c>
      <c r="I922">
        <v>0</v>
      </c>
      <c r="J922" s="67">
        <v>30</v>
      </c>
    </row>
    <row r="923" spans="1:10">
      <c r="A923">
        <v>922</v>
      </c>
      <c r="B923" s="10">
        <v>42480.250636574077</v>
      </c>
      <c r="C923" s="11">
        <v>0.25063657407407408</v>
      </c>
      <c r="D923" s="12">
        <v>4</v>
      </c>
      <c r="E923" s="13" t="s">
        <v>3058</v>
      </c>
      <c r="F923">
        <f t="shared" si="16"/>
        <v>30</v>
      </c>
      <c r="G923">
        <v>0</v>
      </c>
      <c r="H923">
        <v>0</v>
      </c>
      <c r="I923">
        <v>0</v>
      </c>
      <c r="J923" s="67">
        <v>30</v>
      </c>
    </row>
    <row r="924" spans="1:10">
      <c r="A924">
        <v>923</v>
      </c>
      <c r="B924" s="10">
        <v>42480.250648148147</v>
      </c>
      <c r="C924" s="11">
        <v>0.25064814814814818</v>
      </c>
      <c r="D924" s="12">
        <v>4</v>
      </c>
      <c r="E924" s="13" t="s">
        <v>3058</v>
      </c>
      <c r="F924">
        <f t="shared" si="16"/>
        <v>30</v>
      </c>
      <c r="G924">
        <v>0</v>
      </c>
      <c r="H924">
        <v>0</v>
      </c>
      <c r="I924">
        <v>0</v>
      </c>
      <c r="J924" s="67">
        <v>30</v>
      </c>
    </row>
    <row r="925" spans="1:10">
      <c r="A925">
        <v>924</v>
      </c>
      <c r="B925" s="10">
        <v>42480.250659722224</v>
      </c>
      <c r="C925" s="11">
        <v>0.25065972222222221</v>
      </c>
      <c r="D925" s="12">
        <v>4</v>
      </c>
      <c r="E925" s="13" t="s">
        <v>3058</v>
      </c>
      <c r="F925">
        <f t="shared" si="16"/>
        <v>30</v>
      </c>
      <c r="G925">
        <v>0</v>
      </c>
      <c r="H925">
        <v>0</v>
      </c>
      <c r="I925">
        <v>0</v>
      </c>
      <c r="J925" s="67">
        <v>30</v>
      </c>
    </row>
    <row r="926" spans="1:10">
      <c r="A926">
        <v>925</v>
      </c>
      <c r="B926" s="10">
        <v>42480.250671296293</v>
      </c>
      <c r="C926" s="11">
        <v>0.25067129629629631</v>
      </c>
      <c r="D926" s="12">
        <v>4</v>
      </c>
      <c r="E926" s="13" t="s">
        <v>3058</v>
      </c>
      <c r="F926">
        <f t="shared" si="16"/>
        <v>30</v>
      </c>
      <c r="G926">
        <v>29</v>
      </c>
      <c r="H926">
        <v>2</v>
      </c>
      <c r="I926">
        <v>31</v>
      </c>
      <c r="J926" s="67">
        <v>1</v>
      </c>
    </row>
    <row r="927" spans="1:10">
      <c r="A927">
        <v>926</v>
      </c>
      <c r="B927" s="10">
        <v>42480.25068287037</v>
      </c>
      <c r="C927" s="11">
        <v>0.25068287037037035</v>
      </c>
      <c r="D927" s="12">
        <v>4</v>
      </c>
      <c r="E927" s="13" t="s">
        <v>3058</v>
      </c>
      <c r="F927">
        <f t="shared" si="16"/>
        <v>30</v>
      </c>
      <c r="G927">
        <v>35</v>
      </c>
      <c r="H927">
        <v>1</v>
      </c>
      <c r="I927">
        <v>36</v>
      </c>
      <c r="J927" s="67">
        <v>-5</v>
      </c>
    </row>
    <row r="928" spans="1:10">
      <c r="A928">
        <v>927</v>
      </c>
      <c r="B928" s="10">
        <v>42480.250694444447</v>
      </c>
      <c r="C928" s="11">
        <v>0.25069444444444444</v>
      </c>
      <c r="D928" s="12">
        <v>4</v>
      </c>
      <c r="E928" s="13" t="s">
        <v>3058</v>
      </c>
      <c r="F928">
        <f t="shared" si="16"/>
        <v>30</v>
      </c>
      <c r="G928">
        <v>38</v>
      </c>
      <c r="H928">
        <v>2</v>
      </c>
      <c r="I928">
        <v>40</v>
      </c>
      <c r="J928" s="67">
        <v>-8</v>
      </c>
    </row>
    <row r="929" spans="1:10" ht="15" thickBot="1">
      <c r="A929">
        <v>928</v>
      </c>
      <c r="B929" s="14">
        <v>42480.250717592593</v>
      </c>
      <c r="C929" s="15">
        <v>0.25071759259259258</v>
      </c>
      <c r="D929" s="16">
        <v>4</v>
      </c>
      <c r="E929" s="17" t="s">
        <v>3058</v>
      </c>
      <c r="F929">
        <f t="shared" si="16"/>
        <v>30</v>
      </c>
      <c r="G929">
        <v>32</v>
      </c>
      <c r="H929">
        <v>2</v>
      </c>
      <c r="I929">
        <v>34</v>
      </c>
      <c r="J929" s="67">
        <v>-2</v>
      </c>
    </row>
    <row r="930" spans="1:10">
      <c r="F930"/>
      <c r="G930"/>
      <c r="H930"/>
      <c r="I930"/>
      <c r="J930"/>
    </row>
    <row r="931" spans="1:10">
      <c r="F931"/>
      <c r="G931"/>
      <c r="H931"/>
      <c r="I931"/>
      <c r="J931"/>
    </row>
    <row r="932" spans="1:10">
      <c r="F932"/>
      <c r="G932"/>
      <c r="H932"/>
      <c r="I932"/>
      <c r="J932"/>
    </row>
    <row r="933" spans="1:10">
      <c r="F933"/>
      <c r="G933"/>
      <c r="H933"/>
      <c r="I933"/>
      <c r="J933"/>
    </row>
    <row r="934" spans="1:10">
      <c r="F934"/>
      <c r="G934"/>
      <c r="H934"/>
      <c r="I934"/>
      <c r="J934"/>
    </row>
    <row r="935" spans="1:10">
      <c r="F935"/>
      <c r="G935"/>
      <c r="H935"/>
      <c r="I935"/>
      <c r="J935"/>
    </row>
    <row r="936" spans="1:10">
      <c r="F936"/>
      <c r="G936"/>
      <c r="H936"/>
      <c r="I936"/>
      <c r="J936"/>
    </row>
    <row r="937" spans="1:10">
      <c r="F937"/>
      <c r="G937"/>
      <c r="H937"/>
      <c r="I937"/>
      <c r="J937"/>
    </row>
    <row r="938" spans="1:10">
      <c r="F938"/>
      <c r="G938"/>
      <c r="H938"/>
      <c r="I938"/>
      <c r="J938"/>
    </row>
    <row r="939" spans="1:10">
      <c r="F939"/>
      <c r="G939"/>
      <c r="H939"/>
      <c r="I939"/>
      <c r="J939"/>
    </row>
    <row r="940" spans="1:10">
      <c r="F940"/>
      <c r="G940"/>
      <c r="H940"/>
      <c r="I940"/>
      <c r="J940"/>
    </row>
    <row r="941" spans="1:10">
      <c r="F941"/>
      <c r="G941"/>
      <c r="H941"/>
      <c r="I941"/>
      <c r="J941"/>
    </row>
    <row r="942" spans="1:10">
      <c r="F942"/>
      <c r="G942"/>
      <c r="H942"/>
      <c r="I942"/>
      <c r="J942"/>
    </row>
    <row r="943" spans="1:10">
      <c r="F943"/>
      <c r="G943"/>
      <c r="H943"/>
      <c r="I943"/>
      <c r="J943"/>
    </row>
    <row r="944" spans="1:10">
      <c r="F944"/>
      <c r="G944"/>
      <c r="H944"/>
      <c r="I944"/>
      <c r="J944"/>
    </row>
    <row r="945" spans="6:10">
      <c r="F945"/>
      <c r="G945"/>
      <c r="H945"/>
      <c r="I945"/>
      <c r="J945"/>
    </row>
    <row r="946" spans="6:10">
      <c r="F946"/>
      <c r="G946"/>
      <c r="H946"/>
      <c r="I946"/>
      <c r="J946"/>
    </row>
    <row r="947" spans="6:10">
      <c r="F947"/>
      <c r="G947"/>
      <c r="H947"/>
      <c r="I947"/>
      <c r="J947"/>
    </row>
    <row r="948" spans="6:10">
      <c r="F948"/>
      <c r="G948"/>
      <c r="H948"/>
      <c r="I948"/>
      <c r="J948"/>
    </row>
    <row r="949" spans="6:10">
      <c r="F949"/>
      <c r="G949"/>
      <c r="H949"/>
      <c r="I949"/>
      <c r="J949"/>
    </row>
    <row r="950" spans="6:10">
      <c r="F950"/>
      <c r="G950"/>
      <c r="H950"/>
      <c r="I950"/>
      <c r="J950"/>
    </row>
    <row r="951" spans="6:10">
      <c r="F951"/>
      <c r="G951"/>
      <c r="H951"/>
      <c r="I951"/>
      <c r="J951"/>
    </row>
    <row r="952" spans="6:10">
      <c r="F952"/>
      <c r="G952"/>
      <c r="H952"/>
      <c r="I952"/>
      <c r="J952"/>
    </row>
    <row r="953" spans="6:10">
      <c r="F953"/>
      <c r="G953"/>
      <c r="H953"/>
      <c r="I953"/>
      <c r="J953"/>
    </row>
    <row r="954" spans="6:10">
      <c r="F954"/>
      <c r="G954"/>
      <c r="H954"/>
      <c r="I954"/>
      <c r="J954"/>
    </row>
    <row r="955" spans="6:10">
      <c r="F955"/>
      <c r="G955"/>
      <c r="H955"/>
      <c r="I955"/>
      <c r="J955"/>
    </row>
    <row r="956" spans="6:10">
      <c r="F956"/>
      <c r="G956"/>
      <c r="H956"/>
      <c r="I956"/>
      <c r="J956"/>
    </row>
    <row r="957" spans="6:10">
      <c r="F957"/>
      <c r="G957"/>
      <c r="H957"/>
      <c r="I957"/>
      <c r="J957"/>
    </row>
    <row r="958" spans="6:10">
      <c r="F958"/>
      <c r="G958"/>
      <c r="H958"/>
      <c r="I958"/>
      <c r="J958"/>
    </row>
    <row r="959" spans="6:10">
      <c r="F959"/>
      <c r="G959"/>
      <c r="H959"/>
      <c r="I959"/>
      <c r="J959"/>
    </row>
    <row r="960" spans="6:10">
      <c r="F960"/>
      <c r="G960"/>
      <c r="H960"/>
      <c r="I960"/>
      <c r="J960"/>
    </row>
    <row r="961" spans="6:10">
      <c r="F961"/>
      <c r="G961"/>
      <c r="H961"/>
      <c r="I961"/>
      <c r="J961"/>
    </row>
    <row r="962" spans="6:10">
      <c r="F962"/>
      <c r="G962"/>
      <c r="H962"/>
      <c r="I962"/>
      <c r="J962"/>
    </row>
    <row r="963" spans="6:10">
      <c r="F963"/>
      <c r="G963"/>
      <c r="H963"/>
      <c r="I963"/>
      <c r="J963"/>
    </row>
    <row r="964" spans="6:10">
      <c r="F964"/>
      <c r="G964"/>
      <c r="H964"/>
      <c r="I964"/>
      <c r="J964"/>
    </row>
    <row r="965" spans="6:10">
      <c r="F965"/>
      <c r="G965"/>
      <c r="H965"/>
      <c r="I965"/>
      <c r="J965"/>
    </row>
    <row r="966" spans="6:10">
      <c r="F966"/>
      <c r="G966"/>
      <c r="H966"/>
      <c r="I966"/>
      <c r="J966"/>
    </row>
    <row r="967" spans="6:10">
      <c r="F967"/>
      <c r="G967"/>
      <c r="H967"/>
      <c r="I967"/>
      <c r="J967"/>
    </row>
    <row r="968" spans="6:10">
      <c r="F968"/>
      <c r="G968"/>
      <c r="H968"/>
      <c r="I968"/>
      <c r="J968"/>
    </row>
    <row r="969" spans="6:10">
      <c r="F969"/>
      <c r="G969"/>
      <c r="H969"/>
      <c r="I969"/>
      <c r="J969"/>
    </row>
    <row r="970" spans="6:10">
      <c r="F970"/>
      <c r="G970"/>
      <c r="H970"/>
      <c r="I970"/>
      <c r="J970"/>
    </row>
    <row r="971" spans="6:10">
      <c r="F971"/>
      <c r="G971"/>
      <c r="H971"/>
      <c r="I971"/>
      <c r="J971"/>
    </row>
    <row r="972" spans="6:10">
      <c r="F972"/>
      <c r="G972"/>
      <c r="H972"/>
      <c r="I972"/>
      <c r="J972"/>
    </row>
    <row r="973" spans="6:10">
      <c r="F973"/>
      <c r="G973"/>
      <c r="H973"/>
      <c r="I973"/>
      <c r="J973"/>
    </row>
    <row r="974" spans="6:10">
      <c r="F974"/>
      <c r="G974"/>
      <c r="H974"/>
      <c r="I974"/>
      <c r="J974"/>
    </row>
    <row r="975" spans="6:10">
      <c r="F975"/>
      <c r="G975"/>
      <c r="H975"/>
      <c r="I975"/>
      <c r="J975"/>
    </row>
    <row r="976" spans="6:10">
      <c r="F976"/>
      <c r="G976"/>
      <c r="H976"/>
      <c r="I976"/>
      <c r="J976"/>
    </row>
    <row r="977" spans="6:10">
      <c r="F977"/>
      <c r="G977"/>
      <c r="H977"/>
      <c r="I977"/>
      <c r="J977"/>
    </row>
    <row r="978" spans="6:10">
      <c r="F978"/>
      <c r="G978"/>
      <c r="H978"/>
      <c r="I978"/>
      <c r="J978"/>
    </row>
    <row r="979" spans="6:10">
      <c r="F979"/>
      <c r="G979"/>
      <c r="H979"/>
      <c r="I979"/>
      <c r="J979"/>
    </row>
    <row r="980" spans="6:10">
      <c r="F980"/>
      <c r="G980"/>
      <c r="H980"/>
      <c r="I980"/>
      <c r="J980"/>
    </row>
    <row r="981" spans="6:10">
      <c r="F981"/>
      <c r="G981"/>
      <c r="H981"/>
      <c r="I981"/>
      <c r="J981"/>
    </row>
    <row r="982" spans="6:10">
      <c r="F982"/>
      <c r="G982"/>
      <c r="H982"/>
      <c r="I982"/>
      <c r="J982"/>
    </row>
    <row r="983" spans="6:10">
      <c r="F983"/>
      <c r="G983"/>
      <c r="H983"/>
      <c r="I983"/>
      <c r="J983"/>
    </row>
    <row r="984" spans="6:10">
      <c r="F984"/>
      <c r="G984"/>
      <c r="H984"/>
      <c r="I984"/>
      <c r="J984"/>
    </row>
    <row r="985" spans="6:10">
      <c r="F985"/>
      <c r="G985"/>
      <c r="H985"/>
      <c r="I985"/>
      <c r="J985"/>
    </row>
    <row r="986" spans="6:10">
      <c r="F986"/>
      <c r="G986"/>
      <c r="H986"/>
      <c r="I986"/>
      <c r="J986"/>
    </row>
    <row r="987" spans="6:10">
      <c r="F987"/>
      <c r="G987"/>
      <c r="H987"/>
      <c r="I987"/>
      <c r="J987"/>
    </row>
    <row r="988" spans="6:10">
      <c r="F988"/>
      <c r="G988"/>
      <c r="H988"/>
      <c r="I988"/>
      <c r="J988"/>
    </row>
    <row r="989" spans="6:10">
      <c r="F989"/>
      <c r="G989"/>
      <c r="H989"/>
      <c r="I989"/>
      <c r="J989"/>
    </row>
    <row r="990" spans="6:10">
      <c r="F990"/>
      <c r="G990"/>
      <c r="H990"/>
      <c r="I990"/>
      <c r="J990"/>
    </row>
    <row r="991" spans="6:10">
      <c r="F991"/>
      <c r="G991"/>
      <c r="H991"/>
      <c r="I991"/>
      <c r="J991"/>
    </row>
    <row r="992" spans="6:10">
      <c r="F992"/>
      <c r="G992"/>
      <c r="H992"/>
      <c r="I992"/>
      <c r="J992"/>
    </row>
    <row r="993" spans="6:10">
      <c r="F993"/>
      <c r="G993"/>
      <c r="H993"/>
      <c r="I993"/>
      <c r="J993"/>
    </row>
    <row r="994" spans="6:10">
      <c r="F994"/>
      <c r="G994"/>
      <c r="H994"/>
      <c r="I994"/>
      <c r="J994"/>
    </row>
    <row r="995" spans="6:10">
      <c r="F995"/>
      <c r="G995"/>
      <c r="H995"/>
      <c r="I995"/>
      <c r="J995"/>
    </row>
    <row r="996" spans="6:10">
      <c r="F996"/>
      <c r="G996"/>
      <c r="H996"/>
      <c r="I996"/>
      <c r="J996"/>
    </row>
    <row r="997" spans="6:10">
      <c r="F997"/>
      <c r="G997"/>
      <c r="H997"/>
      <c r="I997"/>
      <c r="J997"/>
    </row>
    <row r="998" spans="6:10">
      <c r="F998"/>
      <c r="G998"/>
      <c r="H998"/>
      <c r="I998"/>
      <c r="J998"/>
    </row>
    <row r="999" spans="6:10">
      <c r="F999"/>
      <c r="G999"/>
      <c r="H999"/>
      <c r="I999"/>
      <c r="J999"/>
    </row>
    <row r="1000" spans="6:10">
      <c r="F1000"/>
      <c r="G1000"/>
      <c r="H1000"/>
      <c r="I1000"/>
      <c r="J1000"/>
    </row>
    <row r="1001" spans="6:10">
      <c r="F1001"/>
      <c r="G1001"/>
      <c r="H1001"/>
      <c r="I1001"/>
      <c r="J1001"/>
    </row>
    <row r="1002" spans="6:10">
      <c r="F1002"/>
      <c r="G1002"/>
      <c r="H1002"/>
      <c r="I1002"/>
      <c r="J1002"/>
    </row>
    <row r="1003" spans="6:10">
      <c r="F1003"/>
      <c r="G1003"/>
      <c r="H1003"/>
      <c r="I1003"/>
      <c r="J1003"/>
    </row>
    <row r="1004" spans="6:10">
      <c r="F1004"/>
      <c r="G1004"/>
      <c r="H1004"/>
      <c r="I1004"/>
      <c r="J1004"/>
    </row>
    <row r="1005" spans="6:10">
      <c r="F1005"/>
      <c r="G1005"/>
      <c r="H1005"/>
      <c r="I1005"/>
      <c r="J1005"/>
    </row>
    <row r="1006" spans="6:10">
      <c r="F1006"/>
      <c r="G1006"/>
      <c r="H1006"/>
      <c r="I1006"/>
      <c r="J1006"/>
    </row>
    <row r="1007" spans="6:10">
      <c r="F1007"/>
      <c r="G1007"/>
      <c r="H1007"/>
      <c r="I1007"/>
      <c r="J1007"/>
    </row>
    <row r="1008" spans="6:10">
      <c r="F1008"/>
      <c r="G1008"/>
      <c r="H1008"/>
      <c r="I1008"/>
      <c r="J1008"/>
    </row>
    <row r="1009" spans="6:10">
      <c r="F1009"/>
      <c r="G1009"/>
      <c r="H1009"/>
      <c r="I1009"/>
      <c r="J1009"/>
    </row>
    <row r="1010" spans="6:10">
      <c r="F1010"/>
      <c r="G1010"/>
      <c r="H1010"/>
      <c r="I1010"/>
      <c r="J1010"/>
    </row>
    <row r="1011" spans="6:10">
      <c r="F1011"/>
      <c r="G1011"/>
      <c r="H1011"/>
      <c r="I1011"/>
      <c r="J1011"/>
    </row>
    <row r="1012" spans="6:10">
      <c r="F1012"/>
      <c r="G1012"/>
      <c r="H1012"/>
      <c r="I1012"/>
      <c r="J1012"/>
    </row>
    <row r="1013" spans="6:10">
      <c r="F1013"/>
      <c r="G1013"/>
      <c r="H1013"/>
      <c r="I1013"/>
      <c r="J1013"/>
    </row>
    <row r="1014" spans="6:10">
      <c r="F1014"/>
      <c r="G1014"/>
      <c r="H1014"/>
      <c r="I1014"/>
      <c r="J1014"/>
    </row>
    <row r="1015" spans="6:10">
      <c r="F1015"/>
      <c r="G1015"/>
      <c r="H1015"/>
      <c r="I1015"/>
      <c r="J1015"/>
    </row>
    <row r="1016" spans="6:10">
      <c r="F1016"/>
      <c r="G1016"/>
      <c r="H1016"/>
      <c r="I1016"/>
      <c r="J1016"/>
    </row>
    <row r="1017" spans="6:10">
      <c r="F1017"/>
      <c r="G1017"/>
      <c r="H1017"/>
      <c r="I1017"/>
      <c r="J1017"/>
    </row>
    <row r="1018" spans="6:10">
      <c r="F1018"/>
      <c r="G1018"/>
      <c r="H1018"/>
      <c r="I1018"/>
      <c r="J1018"/>
    </row>
    <row r="1019" spans="6:10">
      <c r="F1019"/>
      <c r="G1019"/>
      <c r="H1019"/>
      <c r="I1019"/>
      <c r="J1019"/>
    </row>
    <row r="1020" spans="6:10">
      <c r="F1020"/>
      <c r="G1020"/>
      <c r="H1020"/>
      <c r="I1020"/>
      <c r="J1020"/>
    </row>
    <row r="1021" spans="6:10">
      <c r="F1021"/>
      <c r="G1021"/>
      <c r="H1021"/>
      <c r="I1021"/>
      <c r="J1021"/>
    </row>
    <row r="1022" spans="6:10">
      <c r="F1022"/>
      <c r="G1022"/>
      <c r="H1022"/>
      <c r="I1022"/>
      <c r="J1022"/>
    </row>
    <row r="1023" spans="6:10">
      <c r="F1023"/>
      <c r="G1023"/>
      <c r="H1023"/>
      <c r="I1023"/>
      <c r="J1023"/>
    </row>
    <row r="1024" spans="6:10">
      <c r="F1024"/>
      <c r="G1024"/>
      <c r="H1024"/>
      <c r="I1024"/>
      <c r="J1024"/>
    </row>
    <row r="1025" spans="6:10">
      <c r="F1025"/>
      <c r="G1025"/>
      <c r="H1025"/>
      <c r="I1025"/>
      <c r="J1025"/>
    </row>
    <row r="1026" spans="6:10">
      <c r="F1026"/>
      <c r="G1026"/>
      <c r="H1026"/>
      <c r="I1026"/>
      <c r="J1026"/>
    </row>
    <row r="1027" spans="6:10">
      <c r="F1027"/>
      <c r="G1027"/>
      <c r="H1027"/>
      <c r="I1027"/>
      <c r="J1027"/>
    </row>
    <row r="1028" spans="6:10">
      <c r="F1028"/>
      <c r="G1028"/>
      <c r="H1028"/>
      <c r="I1028"/>
      <c r="J1028"/>
    </row>
    <row r="1029" spans="6:10">
      <c r="F1029"/>
      <c r="G1029"/>
      <c r="H1029"/>
      <c r="I1029"/>
      <c r="J1029"/>
    </row>
    <row r="1030" spans="6:10">
      <c r="F1030"/>
      <c r="G1030"/>
      <c r="H1030"/>
      <c r="I1030"/>
      <c r="J1030"/>
    </row>
    <row r="1031" spans="6:10">
      <c r="F1031"/>
      <c r="G1031"/>
      <c r="H1031"/>
      <c r="I1031"/>
      <c r="J1031"/>
    </row>
    <row r="1032" spans="6:10">
      <c r="F1032"/>
      <c r="G1032"/>
      <c r="H1032"/>
      <c r="I1032"/>
      <c r="J1032"/>
    </row>
    <row r="1033" spans="6:10">
      <c r="F1033"/>
      <c r="G1033"/>
      <c r="H1033"/>
      <c r="I1033"/>
      <c r="J1033"/>
    </row>
    <row r="1034" spans="6:10">
      <c r="F1034"/>
      <c r="G1034"/>
      <c r="H1034"/>
      <c r="I1034"/>
      <c r="J1034"/>
    </row>
    <row r="1035" spans="6:10">
      <c r="F1035"/>
      <c r="G1035"/>
      <c r="H1035"/>
      <c r="I1035"/>
      <c r="J1035"/>
    </row>
    <row r="1036" spans="6:10">
      <c r="F1036"/>
      <c r="G1036"/>
      <c r="H1036"/>
      <c r="I1036"/>
      <c r="J1036"/>
    </row>
    <row r="1037" spans="6:10">
      <c r="F1037"/>
      <c r="G1037"/>
      <c r="H1037"/>
      <c r="I1037"/>
      <c r="J1037"/>
    </row>
    <row r="1038" spans="6:10">
      <c r="F1038"/>
      <c r="G1038"/>
      <c r="H1038"/>
      <c r="I1038"/>
      <c r="J1038"/>
    </row>
    <row r="1039" spans="6:10">
      <c r="F1039"/>
      <c r="G1039"/>
      <c r="H1039"/>
      <c r="I1039"/>
      <c r="J1039"/>
    </row>
    <row r="1040" spans="6:10">
      <c r="F1040"/>
      <c r="G1040"/>
      <c r="H1040"/>
      <c r="I1040"/>
      <c r="J1040"/>
    </row>
    <row r="1041" spans="6:10">
      <c r="F1041"/>
      <c r="G1041"/>
      <c r="H1041"/>
      <c r="I1041"/>
      <c r="J1041"/>
    </row>
    <row r="1042" spans="6:10">
      <c r="F1042"/>
      <c r="G1042"/>
      <c r="H1042"/>
      <c r="I1042"/>
      <c r="J1042"/>
    </row>
    <row r="1043" spans="6:10">
      <c r="F1043"/>
      <c r="G1043"/>
      <c r="H1043"/>
      <c r="I1043"/>
      <c r="J1043"/>
    </row>
    <row r="1044" spans="6:10">
      <c r="F1044"/>
      <c r="G1044"/>
      <c r="H1044"/>
      <c r="I1044"/>
      <c r="J1044"/>
    </row>
    <row r="1045" spans="6:10">
      <c r="F1045"/>
      <c r="G1045"/>
      <c r="H1045"/>
      <c r="I1045"/>
      <c r="J1045"/>
    </row>
    <row r="1046" spans="6:10">
      <c r="F1046"/>
      <c r="G1046"/>
      <c r="H1046"/>
      <c r="I1046"/>
      <c r="J1046"/>
    </row>
    <row r="1047" spans="6:10">
      <c r="F1047"/>
      <c r="G1047"/>
      <c r="H1047"/>
      <c r="I1047"/>
      <c r="J1047"/>
    </row>
    <row r="1048" spans="6:10">
      <c r="F1048"/>
      <c r="G1048"/>
      <c r="H1048"/>
      <c r="I1048"/>
      <c r="J1048"/>
    </row>
    <row r="1049" spans="6:10">
      <c r="F1049"/>
      <c r="G1049"/>
      <c r="H1049"/>
      <c r="I1049"/>
      <c r="J1049"/>
    </row>
    <row r="1050" spans="6:10">
      <c r="F1050"/>
      <c r="G1050"/>
      <c r="H1050"/>
      <c r="I1050"/>
      <c r="J1050"/>
    </row>
    <row r="1051" spans="6:10">
      <c r="F1051"/>
      <c r="G1051"/>
      <c r="H1051"/>
      <c r="I1051"/>
      <c r="J1051"/>
    </row>
    <row r="1052" spans="6:10">
      <c r="F1052"/>
      <c r="G1052"/>
      <c r="H1052"/>
      <c r="I1052"/>
      <c r="J1052"/>
    </row>
    <row r="1053" spans="6:10">
      <c r="F1053"/>
      <c r="G1053"/>
      <c r="H1053"/>
      <c r="I1053"/>
      <c r="J1053"/>
    </row>
    <row r="1054" spans="6:10">
      <c r="F1054"/>
      <c r="G1054"/>
      <c r="H1054"/>
      <c r="I1054"/>
      <c r="J1054"/>
    </row>
    <row r="1055" spans="6:10">
      <c r="F1055"/>
      <c r="G1055"/>
      <c r="H1055"/>
      <c r="I1055"/>
      <c r="J1055"/>
    </row>
    <row r="1056" spans="6:10">
      <c r="F1056"/>
      <c r="G1056"/>
      <c r="H1056"/>
      <c r="I1056"/>
      <c r="J1056"/>
    </row>
    <row r="1057" spans="6:10">
      <c r="F1057"/>
      <c r="G1057"/>
      <c r="H1057"/>
      <c r="I1057"/>
      <c r="J1057"/>
    </row>
    <row r="1058" spans="6:10">
      <c r="F1058"/>
      <c r="G1058"/>
      <c r="H1058"/>
      <c r="I1058"/>
      <c r="J1058"/>
    </row>
    <row r="1059" spans="6:10">
      <c r="F1059"/>
      <c r="G1059"/>
      <c r="H1059"/>
      <c r="I1059"/>
      <c r="J1059"/>
    </row>
    <row r="1060" spans="6:10">
      <c r="F1060"/>
      <c r="G1060"/>
      <c r="H1060"/>
      <c r="I1060"/>
      <c r="J1060"/>
    </row>
    <row r="1061" spans="6:10">
      <c r="F1061"/>
      <c r="G1061"/>
      <c r="H1061"/>
      <c r="I1061"/>
      <c r="J1061"/>
    </row>
    <row r="1062" spans="6:10">
      <c r="F1062"/>
      <c r="G1062"/>
      <c r="H1062"/>
      <c r="I1062"/>
      <c r="J1062"/>
    </row>
    <row r="1063" spans="6:10">
      <c r="F1063"/>
      <c r="G1063"/>
      <c r="H1063"/>
      <c r="I1063"/>
      <c r="J1063"/>
    </row>
    <row r="1064" spans="6:10">
      <c r="F1064"/>
      <c r="G1064"/>
      <c r="H1064"/>
      <c r="I1064"/>
      <c r="J1064"/>
    </row>
    <row r="1065" spans="6:10">
      <c r="F1065"/>
      <c r="G1065"/>
      <c r="H1065"/>
      <c r="I1065"/>
      <c r="J1065"/>
    </row>
    <row r="1066" spans="6:10">
      <c r="F1066"/>
      <c r="G1066"/>
      <c r="H1066"/>
      <c r="I1066"/>
      <c r="J1066"/>
    </row>
    <row r="1067" spans="6:10">
      <c r="F1067"/>
      <c r="G1067"/>
      <c r="H1067"/>
      <c r="I1067"/>
      <c r="J1067"/>
    </row>
    <row r="1068" spans="6:10">
      <c r="F1068"/>
      <c r="G1068"/>
      <c r="H1068"/>
      <c r="I1068"/>
      <c r="J1068"/>
    </row>
    <row r="1069" spans="6:10">
      <c r="F1069"/>
      <c r="G1069"/>
      <c r="H1069"/>
      <c r="I1069"/>
      <c r="J1069"/>
    </row>
    <row r="1070" spans="6:10">
      <c r="F1070"/>
      <c r="G1070"/>
      <c r="H1070"/>
      <c r="I1070"/>
      <c r="J1070"/>
    </row>
    <row r="1071" spans="6:10">
      <c r="F1071"/>
      <c r="G1071"/>
      <c r="H1071"/>
      <c r="I1071"/>
      <c r="J1071"/>
    </row>
    <row r="1072" spans="6:10">
      <c r="F1072"/>
      <c r="G1072"/>
      <c r="H1072"/>
      <c r="I1072"/>
      <c r="J1072"/>
    </row>
    <row r="1073" spans="6:10">
      <c r="F1073"/>
      <c r="G1073"/>
      <c r="H1073"/>
      <c r="I1073"/>
      <c r="J1073"/>
    </row>
    <row r="1074" spans="6:10">
      <c r="F1074"/>
      <c r="G1074"/>
      <c r="H1074"/>
      <c r="I1074"/>
      <c r="J1074"/>
    </row>
    <row r="1075" spans="6:10">
      <c r="F1075"/>
      <c r="G1075"/>
      <c r="H1075"/>
      <c r="I1075"/>
      <c r="J1075"/>
    </row>
    <row r="1076" spans="6:10">
      <c r="F1076"/>
      <c r="G1076"/>
      <c r="H1076"/>
      <c r="I1076"/>
      <c r="J1076"/>
    </row>
    <row r="1077" spans="6:10">
      <c r="F1077"/>
      <c r="G1077"/>
      <c r="H1077"/>
      <c r="I1077"/>
      <c r="J1077"/>
    </row>
    <row r="1078" spans="6:10">
      <c r="F1078"/>
      <c r="G1078"/>
      <c r="H1078"/>
      <c r="I1078"/>
      <c r="J1078"/>
    </row>
    <row r="1079" spans="6:10">
      <c r="F1079"/>
      <c r="G1079"/>
      <c r="H1079"/>
      <c r="I1079"/>
      <c r="J1079"/>
    </row>
    <row r="1080" spans="6:10">
      <c r="F1080"/>
      <c r="G1080"/>
      <c r="H1080"/>
      <c r="I1080"/>
      <c r="J1080"/>
    </row>
    <row r="1081" spans="6:10">
      <c r="F1081"/>
      <c r="G1081"/>
      <c r="H1081"/>
      <c r="I1081"/>
      <c r="J1081"/>
    </row>
    <row r="1082" spans="6:10">
      <c r="F1082"/>
      <c r="G1082"/>
      <c r="H1082"/>
      <c r="I1082"/>
      <c r="J1082"/>
    </row>
    <row r="1083" spans="6:10">
      <c r="F1083"/>
      <c r="G1083"/>
      <c r="H1083"/>
      <c r="I1083"/>
      <c r="J1083"/>
    </row>
    <row r="1084" spans="6:10">
      <c r="F1084"/>
      <c r="G1084"/>
      <c r="H1084"/>
      <c r="I1084"/>
      <c r="J1084"/>
    </row>
    <row r="1085" spans="6:10">
      <c r="F1085"/>
      <c r="G1085"/>
      <c r="H1085"/>
      <c r="I1085"/>
      <c r="J1085"/>
    </row>
    <row r="1086" spans="6:10">
      <c r="F1086"/>
      <c r="G1086"/>
      <c r="H1086"/>
      <c r="I1086"/>
      <c r="J1086"/>
    </row>
    <row r="1087" spans="6:10">
      <c r="F1087"/>
      <c r="G1087"/>
      <c r="H1087"/>
      <c r="I1087"/>
      <c r="J1087"/>
    </row>
    <row r="1088" spans="6:10">
      <c r="F1088"/>
      <c r="G1088"/>
      <c r="H1088"/>
      <c r="I1088"/>
      <c r="J1088"/>
    </row>
    <row r="1089" spans="6:10">
      <c r="F1089"/>
      <c r="G1089"/>
      <c r="H1089"/>
      <c r="I1089"/>
      <c r="J1089"/>
    </row>
    <row r="1090" spans="6:10">
      <c r="F1090"/>
      <c r="G1090"/>
      <c r="H1090"/>
      <c r="I1090"/>
      <c r="J1090"/>
    </row>
    <row r="1091" spans="6:10">
      <c r="F1091"/>
      <c r="G1091"/>
      <c r="H1091"/>
      <c r="I1091"/>
      <c r="J1091"/>
    </row>
    <row r="1092" spans="6:10">
      <c r="F1092"/>
      <c r="G1092"/>
      <c r="H1092"/>
      <c r="I1092"/>
      <c r="J1092"/>
    </row>
    <row r="1093" spans="6:10">
      <c r="F1093"/>
      <c r="G1093"/>
      <c r="H1093"/>
      <c r="I1093"/>
      <c r="J1093"/>
    </row>
    <row r="1094" spans="6:10">
      <c r="F1094"/>
      <c r="G1094"/>
      <c r="H1094"/>
      <c r="I1094"/>
      <c r="J1094"/>
    </row>
    <row r="1095" spans="6:10">
      <c r="F1095"/>
      <c r="G1095"/>
      <c r="H1095"/>
      <c r="I1095"/>
      <c r="J1095"/>
    </row>
    <row r="1096" spans="6:10">
      <c r="F1096"/>
      <c r="G1096"/>
      <c r="H1096"/>
      <c r="I1096"/>
      <c r="J1096"/>
    </row>
    <row r="1097" spans="6:10">
      <c r="F1097"/>
      <c r="G1097"/>
      <c r="H1097"/>
      <c r="I1097"/>
      <c r="J1097"/>
    </row>
    <row r="1098" spans="6:10">
      <c r="F1098"/>
      <c r="G1098"/>
      <c r="H1098"/>
      <c r="I1098"/>
      <c r="J1098"/>
    </row>
    <row r="1099" spans="6:10">
      <c r="F1099"/>
      <c r="G1099"/>
      <c r="H1099"/>
      <c r="I1099"/>
      <c r="J1099"/>
    </row>
    <row r="1100" spans="6:10">
      <c r="F1100"/>
      <c r="G1100"/>
      <c r="H1100"/>
      <c r="I1100"/>
      <c r="J1100"/>
    </row>
    <row r="1101" spans="6:10">
      <c r="F1101"/>
      <c r="G1101"/>
      <c r="H1101"/>
      <c r="I1101"/>
      <c r="J1101"/>
    </row>
    <row r="1102" spans="6:10">
      <c r="F1102"/>
      <c r="G1102"/>
      <c r="H1102"/>
      <c r="I1102"/>
      <c r="J1102"/>
    </row>
    <row r="1103" spans="6:10">
      <c r="F1103"/>
      <c r="G1103"/>
      <c r="H1103"/>
      <c r="I1103"/>
      <c r="J1103"/>
    </row>
    <row r="1104" spans="6:10">
      <c r="F1104"/>
      <c r="G1104"/>
      <c r="H1104"/>
      <c r="I1104"/>
      <c r="J1104"/>
    </row>
    <row r="1105" spans="6:10">
      <c r="F1105"/>
      <c r="G1105"/>
      <c r="H1105"/>
      <c r="I1105"/>
      <c r="J1105"/>
    </row>
    <row r="1106" spans="6:10">
      <c r="F1106"/>
      <c r="G1106"/>
      <c r="H1106"/>
      <c r="I1106"/>
      <c r="J1106"/>
    </row>
    <row r="1107" spans="6:10">
      <c r="F1107"/>
      <c r="G1107"/>
      <c r="H1107"/>
      <c r="I1107"/>
      <c r="J1107"/>
    </row>
    <row r="1108" spans="6:10">
      <c r="F1108"/>
      <c r="G1108"/>
      <c r="H1108"/>
      <c r="I1108"/>
      <c r="J1108"/>
    </row>
    <row r="1109" spans="6:10">
      <c r="F1109"/>
      <c r="G1109"/>
      <c r="H1109"/>
      <c r="I1109"/>
      <c r="J1109"/>
    </row>
    <row r="1110" spans="6:10">
      <c r="F1110"/>
      <c r="G1110"/>
      <c r="H1110"/>
      <c r="I1110"/>
      <c r="J1110"/>
    </row>
    <row r="1111" spans="6:10">
      <c r="F1111"/>
      <c r="G1111"/>
      <c r="H1111"/>
      <c r="I1111"/>
      <c r="J1111"/>
    </row>
    <row r="1112" spans="6:10">
      <c r="F1112"/>
      <c r="G1112"/>
      <c r="H1112"/>
      <c r="I1112"/>
      <c r="J1112"/>
    </row>
    <row r="1113" spans="6:10">
      <c r="F1113"/>
      <c r="G1113"/>
      <c r="H1113"/>
      <c r="I1113"/>
      <c r="J1113"/>
    </row>
    <row r="1114" spans="6:10">
      <c r="F1114"/>
      <c r="G1114"/>
      <c r="H1114"/>
      <c r="I1114"/>
      <c r="J1114"/>
    </row>
    <row r="1115" spans="6:10">
      <c r="F1115"/>
      <c r="G1115"/>
      <c r="H1115"/>
      <c r="I1115"/>
      <c r="J1115"/>
    </row>
    <row r="1116" spans="6:10">
      <c r="F1116"/>
      <c r="G1116"/>
      <c r="H1116"/>
      <c r="I1116"/>
      <c r="J1116"/>
    </row>
    <row r="1117" spans="6:10">
      <c r="F1117"/>
      <c r="G1117"/>
      <c r="H1117"/>
      <c r="I1117"/>
      <c r="J1117"/>
    </row>
    <row r="1118" spans="6:10">
      <c r="F1118"/>
      <c r="G1118"/>
      <c r="H1118"/>
      <c r="I1118"/>
      <c r="J1118"/>
    </row>
    <row r="1119" spans="6:10">
      <c r="F1119"/>
      <c r="G1119"/>
      <c r="H1119"/>
      <c r="I1119"/>
      <c r="J1119"/>
    </row>
    <row r="1120" spans="6:10">
      <c r="F1120"/>
      <c r="G1120"/>
      <c r="H1120"/>
      <c r="I1120"/>
      <c r="J1120"/>
    </row>
    <row r="1121" spans="6:10">
      <c r="F1121"/>
      <c r="G1121"/>
      <c r="H1121"/>
      <c r="I1121"/>
      <c r="J1121"/>
    </row>
    <row r="1122" spans="6:10">
      <c r="F1122"/>
      <c r="G1122"/>
      <c r="H1122"/>
      <c r="I1122"/>
      <c r="J1122"/>
    </row>
    <row r="1123" spans="6:10">
      <c r="F1123"/>
      <c r="G1123"/>
      <c r="H1123"/>
      <c r="I1123"/>
      <c r="J1123"/>
    </row>
    <row r="1124" spans="6:10">
      <c r="F1124"/>
      <c r="G1124"/>
      <c r="H1124"/>
      <c r="I1124"/>
      <c r="J1124"/>
    </row>
    <row r="1125" spans="6:10">
      <c r="F1125"/>
      <c r="G1125"/>
      <c r="H1125"/>
      <c r="I1125"/>
      <c r="J1125"/>
    </row>
    <row r="1126" spans="6:10">
      <c r="F1126"/>
      <c r="G1126"/>
      <c r="H1126"/>
      <c r="I1126"/>
      <c r="J1126"/>
    </row>
    <row r="1127" spans="6:10">
      <c r="F1127"/>
      <c r="G1127"/>
      <c r="H1127"/>
      <c r="I1127"/>
      <c r="J1127"/>
    </row>
    <row r="1128" spans="6:10">
      <c r="F1128"/>
      <c r="G1128"/>
      <c r="H1128"/>
      <c r="I1128"/>
      <c r="J1128"/>
    </row>
    <row r="1129" spans="6:10">
      <c r="F1129"/>
      <c r="G1129"/>
      <c r="H1129"/>
      <c r="I1129"/>
      <c r="J1129"/>
    </row>
    <row r="1130" spans="6:10">
      <c r="F1130"/>
      <c r="G1130"/>
      <c r="H1130"/>
      <c r="I1130"/>
      <c r="J1130"/>
    </row>
    <row r="1131" spans="6:10">
      <c r="F1131"/>
      <c r="G1131"/>
      <c r="H1131"/>
      <c r="I1131"/>
      <c r="J1131"/>
    </row>
    <row r="1132" spans="6:10">
      <c r="F1132"/>
      <c r="G1132"/>
      <c r="H1132"/>
      <c r="I1132"/>
      <c r="J1132"/>
    </row>
    <row r="1133" spans="6:10">
      <c r="F1133"/>
      <c r="G1133"/>
      <c r="H1133"/>
      <c r="I1133"/>
      <c r="J1133"/>
    </row>
    <row r="1134" spans="6:10">
      <c r="F1134"/>
      <c r="G1134"/>
      <c r="H1134"/>
      <c r="I1134"/>
      <c r="J1134"/>
    </row>
    <row r="1135" spans="6:10">
      <c r="F1135"/>
      <c r="G1135"/>
      <c r="H1135"/>
      <c r="I1135"/>
      <c r="J1135"/>
    </row>
    <row r="1136" spans="6:10">
      <c r="F1136"/>
      <c r="G1136"/>
      <c r="H1136"/>
      <c r="I1136"/>
      <c r="J1136"/>
    </row>
    <row r="1137" spans="6:10">
      <c r="F1137"/>
      <c r="G1137"/>
      <c r="H1137"/>
      <c r="I1137"/>
      <c r="J1137"/>
    </row>
    <row r="1138" spans="6:10">
      <c r="F1138"/>
      <c r="G1138"/>
      <c r="H1138"/>
      <c r="I1138"/>
      <c r="J1138"/>
    </row>
    <row r="1139" spans="6:10">
      <c r="F1139"/>
      <c r="G1139"/>
      <c r="H1139"/>
      <c r="I1139"/>
      <c r="J1139"/>
    </row>
    <row r="1140" spans="6:10">
      <c r="F1140"/>
      <c r="G1140"/>
      <c r="H1140"/>
      <c r="I1140"/>
      <c r="J1140"/>
    </row>
    <row r="1141" spans="6:10">
      <c r="F1141"/>
      <c r="G1141"/>
      <c r="H1141"/>
      <c r="I1141"/>
      <c r="J1141"/>
    </row>
    <row r="1142" spans="6:10">
      <c r="F1142"/>
      <c r="G1142"/>
      <c r="H1142"/>
      <c r="I1142"/>
      <c r="J1142"/>
    </row>
    <row r="1143" spans="6:10">
      <c r="F1143"/>
      <c r="G1143"/>
      <c r="H1143"/>
      <c r="I1143"/>
      <c r="J1143"/>
    </row>
    <row r="1144" spans="6:10">
      <c r="F1144"/>
      <c r="G1144"/>
      <c r="H1144"/>
      <c r="I1144"/>
      <c r="J1144"/>
    </row>
    <row r="1145" spans="6:10">
      <c r="F1145"/>
      <c r="G1145"/>
      <c r="H1145"/>
      <c r="I1145"/>
      <c r="J1145"/>
    </row>
    <row r="1146" spans="6:10">
      <c r="F1146"/>
      <c r="G1146"/>
      <c r="H1146"/>
      <c r="I1146"/>
      <c r="J1146"/>
    </row>
    <row r="1147" spans="6:10">
      <c r="F1147"/>
      <c r="G1147"/>
      <c r="H1147"/>
      <c r="I1147"/>
      <c r="J1147"/>
    </row>
    <row r="1148" spans="6:10">
      <c r="F1148"/>
      <c r="G1148"/>
      <c r="H1148"/>
      <c r="I1148"/>
      <c r="J1148"/>
    </row>
    <row r="1149" spans="6:10">
      <c r="F1149"/>
      <c r="G1149"/>
      <c r="H1149"/>
      <c r="I1149"/>
      <c r="J1149"/>
    </row>
    <row r="1150" spans="6:10">
      <c r="F1150"/>
      <c r="G1150"/>
      <c r="H1150"/>
      <c r="I1150"/>
      <c r="J1150"/>
    </row>
    <row r="1151" spans="6:10">
      <c r="F1151"/>
      <c r="G1151"/>
      <c r="H1151"/>
      <c r="I1151"/>
      <c r="J1151"/>
    </row>
    <row r="1152" spans="6:10">
      <c r="F1152"/>
      <c r="G1152"/>
      <c r="H1152"/>
      <c r="I1152"/>
      <c r="J1152"/>
    </row>
    <row r="1153" spans="6:10">
      <c r="F1153"/>
      <c r="G1153"/>
      <c r="H1153"/>
      <c r="I1153"/>
      <c r="J1153"/>
    </row>
    <row r="1154" spans="6:10">
      <c r="F1154"/>
      <c r="G1154"/>
      <c r="H1154"/>
      <c r="I1154"/>
      <c r="J1154"/>
    </row>
    <row r="1155" spans="6:10">
      <c r="F1155"/>
      <c r="G1155"/>
      <c r="H1155"/>
      <c r="I1155"/>
      <c r="J1155"/>
    </row>
    <row r="1156" spans="6:10">
      <c r="F1156"/>
      <c r="G1156"/>
      <c r="H1156"/>
      <c r="I1156"/>
      <c r="J1156"/>
    </row>
    <row r="1157" spans="6:10">
      <c r="F1157"/>
      <c r="G1157"/>
      <c r="H1157"/>
      <c r="I1157"/>
      <c r="J1157"/>
    </row>
    <row r="1158" spans="6:10">
      <c r="F1158"/>
      <c r="G1158"/>
      <c r="H1158"/>
      <c r="I1158"/>
      <c r="J1158"/>
    </row>
    <row r="1159" spans="6:10">
      <c r="F1159"/>
      <c r="G1159"/>
      <c r="H1159"/>
      <c r="I1159"/>
      <c r="J1159"/>
    </row>
    <row r="1160" spans="6:10">
      <c r="F1160"/>
      <c r="G1160"/>
      <c r="H1160"/>
      <c r="I1160"/>
      <c r="J1160"/>
    </row>
    <row r="1161" spans="6:10">
      <c r="F1161"/>
      <c r="G1161"/>
      <c r="H1161"/>
      <c r="I1161"/>
      <c r="J1161"/>
    </row>
    <row r="1162" spans="6:10">
      <c r="F1162"/>
      <c r="G1162"/>
      <c r="H1162"/>
      <c r="I1162"/>
      <c r="J1162"/>
    </row>
    <row r="1163" spans="6:10">
      <c r="F1163"/>
      <c r="G1163"/>
      <c r="H1163"/>
      <c r="I1163"/>
      <c r="J1163"/>
    </row>
    <row r="1164" spans="6:10">
      <c r="F1164"/>
      <c r="G1164"/>
      <c r="H1164"/>
      <c r="I1164"/>
      <c r="J1164"/>
    </row>
    <row r="1165" spans="6:10">
      <c r="F1165"/>
      <c r="G1165"/>
      <c r="H1165"/>
      <c r="I1165"/>
      <c r="J1165"/>
    </row>
    <row r="1166" spans="6:10">
      <c r="F1166"/>
      <c r="G1166"/>
      <c r="H1166"/>
      <c r="I1166"/>
      <c r="J1166"/>
    </row>
    <row r="1167" spans="6:10">
      <c r="F1167"/>
      <c r="G1167"/>
      <c r="H1167"/>
      <c r="I1167"/>
      <c r="J1167"/>
    </row>
    <row r="1168" spans="6:10">
      <c r="F1168"/>
      <c r="G1168"/>
      <c r="H1168"/>
      <c r="I1168"/>
      <c r="J1168"/>
    </row>
    <row r="1169" spans="6:10">
      <c r="F1169"/>
      <c r="G1169"/>
      <c r="H1169"/>
      <c r="I1169"/>
      <c r="J1169"/>
    </row>
    <row r="1170" spans="6:10">
      <c r="F1170"/>
      <c r="G1170"/>
      <c r="H1170"/>
      <c r="I1170"/>
      <c r="J1170"/>
    </row>
    <row r="1171" spans="6:10">
      <c r="F1171"/>
      <c r="G1171"/>
      <c r="H1171"/>
      <c r="I1171"/>
      <c r="J1171"/>
    </row>
    <row r="1172" spans="6:10">
      <c r="F1172"/>
      <c r="G1172"/>
      <c r="H1172"/>
      <c r="I1172"/>
      <c r="J1172"/>
    </row>
    <row r="1173" spans="6:10">
      <c r="F1173"/>
      <c r="G1173"/>
      <c r="H1173"/>
      <c r="I1173"/>
      <c r="J1173"/>
    </row>
    <row r="1174" spans="6:10">
      <c r="F1174"/>
      <c r="G1174"/>
      <c r="H1174"/>
      <c r="I1174"/>
      <c r="J1174"/>
    </row>
    <row r="1175" spans="6:10">
      <c r="F1175"/>
      <c r="G1175"/>
      <c r="H1175"/>
      <c r="I1175"/>
      <c r="J1175"/>
    </row>
    <row r="1176" spans="6:10">
      <c r="F1176"/>
      <c r="G1176"/>
      <c r="H1176"/>
      <c r="I1176"/>
      <c r="J1176"/>
    </row>
    <row r="1177" spans="6:10">
      <c r="F1177"/>
      <c r="G1177"/>
      <c r="H1177"/>
      <c r="I1177"/>
      <c r="J1177"/>
    </row>
    <row r="1178" spans="6:10">
      <c r="F1178"/>
      <c r="G1178"/>
      <c r="H1178"/>
      <c r="I1178"/>
      <c r="J1178"/>
    </row>
    <row r="1179" spans="6:10">
      <c r="F1179"/>
      <c r="G1179"/>
      <c r="H1179"/>
      <c r="I1179"/>
      <c r="J1179"/>
    </row>
    <row r="1180" spans="6:10">
      <c r="F1180"/>
      <c r="G1180"/>
      <c r="H1180"/>
      <c r="I1180"/>
      <c r="J1180"/>
    </row>
    <row r="1181" spans="6:10">
      <c r="F1181"/>
      <c r="G1181"/>
      <c r="H1181"/>
      <c r="I1181"/>
      <c r="J1181"/>
    </row>
    <row r="1182" spans="6:10">
      <c r="F1182"/>
      <c r="G1182"/>
      <c r="H1182"/>
      <c r="I1182"/>
      <c r="J1182"/>
    </row>
    <row r="1183" spans="6:10">
      <c r="F1183"/>
      <c r="G1183"/>
      <c r="H1183"/>
      <c r="I1183"/>
      <c r="J1183"/>
    </row>
    <row r="1184" spans="6:10">
      <c r="F1184"/>
      <c r="G1184"/>
      <c r="H1184"/>
      <c r="I1184"/>
      <c r="J1184"/>
    </row>
    <row r="1185" spans="6:10">
      <c r="F1185"/>
      <c r="G1185"/>
      <c r="H1185"/>
      <c r="I1185"/>
      <c r="J1185"/>
    </row>
    <row r="1186" spans="6:10">
      <c r="F1186"/>
      <c r="G1186"/>
      <c r="H1186"/>
      <c r="I1186"/>
      <c r="J1186"/>
    </row>
    <row r="1187" spans="6:10">
      <c r="F1187"/>
      <c r="G1187"/>
      <c r="H1187"/>
      <c r="I1187"/>
      <c r="J1187"/>
    </row>
    <row r="1188" spans="6:10">
      <c r="F1188"/>
      <c r="G1188"/>
      <c r="H1188"/>
      <c r="I1188"/>
      <c r="J1188"/>
    </row>
    <row r="1189" spans="6:10">
      <c r="F1189"/>
      <c r="G1189"/>
      <c r="H1189"/>
      <c r="I1189"/>
      <c r="J1189"/>
    </row>
    <row r="1190" spans="6:10">
      <c r="F1190"/>
      <c r="G1190"/>
      <c r="H1190"/>
      <c r="I1190"/>
      <c r="J1190"/>
    </row>
    <row r="1191" spans="6:10">
      <c r="F1191"/>
      <c r="G1191"/>
      <c r="H1191"/>
      <c r="I1191"/>
      <c r="J1191"/>
    </row>
    <row r="1192" spans="6:10">
      <c r="F1192"/>
      <c r="G1192"/>
      <c r="H1192"/>
      <c r="I1192"/>
      <c r="J1192"/>
    </row>
    <row r="1193" spans="6:10">
      <c r="F1193"/>
      <c r="G1193"/>
      <c r="H1193"/>
      <c r="I1193"/>
      <c r="J1193"/>
    </row>
    <row r="1194" spans="6:10">
      <c r="F1194"/>
      <c r="G1194"/>
      <c r="H1194"/>
      <c r="I1194"/>
      <c r="J1194"/>
    </row>
    <row r="1195" spans="6:10">
      <c r="F1195"/>
      <c r="G1195"/>
      <c r="H1195"/>
      <c r="I1195"/>
      <c r="J1195"/>
    </row>
    <row r="1196" spans="6:10">
      <c r="F1196"/>
      <c r="G1196"/>
      <c r="H1196"/>
      <c r="I1196"/>
      <c r="J1196"/>
    </row>
    <row r="1197" spans="6:10">
      <c r="F1197"/>
      <c r="G1197"/>
      <c r="H1197"/>
      <c r="I1197"/>
      <c r="J1197"/>
    </row>
    <row r="1198" spans="6:10">
      <c r="F1198"/>
      <c r="G1198"/>
      <c r="H1198"/>
      <c r="I1198"/>
      <c r="J1198"/>
    </row>
    <row r="1199" spans="6:10">
      <c r="F1199"/>
      <c r="G1199"/>
      <c r="H1199"/>
      <c r="I1199"/>
      <c r="J1199"/>
    </row>
    <row r="1200" spans="6:10">
      <c r="F1200"/>
      <c r="G1200"/>
      <c r="H1200"/>
      <c r="I1200"/>
      <c r="J1200"/>
    </row>
    <row r="1201" spans="6:10">
      <c r="F1201"/>
      <c r="G1201"/>
      <c r="H1201"/>
      <c r="I1201"/>
      <c r="J1201"/>
    </row>
    <row r="1202" spans="6:10">
      <c r="F1202"/>
      <c r="G1202"/>
      <c r="H1202"/>
      <c r="I1202"/>
      <c r="J1202"/>
    </row>
    <row r="1203" spans="6:10">
      <c r="F1203"/>
      <c r="G1203"/>
      <c r="H1203"/>
      <c r="I1203"/>
      <c r="J1203"/>
    </row>
    <row r="1204" spans="6:10">
      <c r="F1204"/>
      <c r="G1204"/>
      <c r="H1204"/>
      <c r="I1204"/>
      <c r="J1204"/>
    </row>
    <row r="1205" spans="6:10">
      <c r="F1205"/>
      <c r="G1205"/>
      <c r="H1205"/>
      <c r="I1205"/>
      <c r="J1205"/>
    </row>
    <row r="1206" spans="6:10">
      <c r="F1206"/>
      <c r="G1206"/>
      <c r="H1206"/>
      <c r="I1206"/>
      <c r="J1206"/>
    </row>
    <row r="1207" spans="6:10">
      <c r="F1207"/>
      <c r="G1207"/>
      <c r="H1207"/>
      <c r="I1207"/>
      <c r="J1207"/>
    </row>
    <row r="1208" spans="6:10">
      <c r="F1208"/>
      <c r="G1208"/>
      <c r="H1208"/>
      <c r="I1208"/>
      <c r="J1208"/>
    </row>
    <row r="1209" spans="6:10">
      <c r="F1209"/>
      <c r="G1209"/>
      <c r="H1209"/>
      <c r="I1209"/>
      <c r="J1209"/>
    </row>
    <row r="1210" spans="6:10">
      <c r="F1210"/>
      <c r="G1210"/>
      <c r="H1210"/>
      <c r="I1210"/>
      <c r="J1210"/>
    </row>
    <row r="1211" spans="6:10">
      <c r="F1211"/>
      <c r="G1211"/>
      <c r="H1211"/>
      <c r="I1211"/>
      <c r="J1211"/>
    </row>
    <row r="1212" spans="6:10">
      <c r="F1212"/>
      <c r="G1212"/>
      <c r="H1212"/>
      <c r="I1212"/>
      <c r="J1212"/>
    </row>
    <row r="1213" spans="6:10">
      <c r="F1213"/>
      <c r="G1213"/>
      <c r="H1213"/>
      <c r="I1213"/>
      <c r="J1213"/>
    </row>
    <row r="1214" spans="6:10">
      <c r="F1214"/>
      <c r="G1214"/>
      <c r="H1214"/>
      <c r="I1214"/>
      <c r="J1214"/>
    </row>
    <row r="1215" spans="6:10">
      <c r="F1215"/>
      <c r="G1215"/>
      <c r="H1215"/>
      <c r="I1215"/>
      <c r="J1215"/>
    </row>
    <row r="1216" spans="6:10">
      <c r="F1216"/>
      <c r="G1216"/>
      <c r="H1216"/>
      <c r="I1216"/>
      <c r="J1216"/>
    </row>
    <row r="1217" spans="6:10">
      <c r="F1217"/>
      <c r="G1217"/>
      <c r="H1217"/>
      <c r="I1217"/>
      <c r="J1217"/>
    </row>
    <row r="1218" spans="6:10">
      <c r="F1218"/>
      <c r="G1218"/>
      <c r="H1218"/>
      <c r="I1218"/>
      <c r="J1218"/>
    </row>
    <row r="1219" spans="6:10">
      <c r="F1219"/>
      <c r="G1219"/>
      <c r="H1219"/>
      <c r="I1219"/>
      <c r="J1219"/>
    </row>
    <row r="1220" spans="6:10">
      <c r="F1220"/>
      <c r="G1220"/>
      <c r="H1220"/>
      <c r="I1220"/>
      <c r="J1220"/>
    </row>
    <row r="1221" spans="6:10">
      <c r="F1221"/>
      <c r="G1221"/>
      <c r="H1221"/>
      <c r="I1221"/>
      <c r="J1221"/>
    </row>
    <row r="1222" spans="6:10">
      <c r="F1222"/>
      <c r="G1222"/>
      <c r="H1222"/>
      <c r="I1222"/>
      <c r="J1222"/>
    </row>
    <row r="1223" spans="6:10">
      <c r="F1223"/>
      <c r="G1223"/>
      <c r="H1223"/>
      <c r="I1223"/>
      <c r="J1223"/>
    </row>
    <row r="1224" spans="6:10">
      <c r="F1224"/>
      <c r="G1224"/>
      <c r="H1224"/>
      <c r="I1224"/>
      <c r="J1224"/>
    </row>
    <row r="1225" spans="6:10">
      <c r="F1225"/>
      <c r="G1225"/>
      <c r="H1225"/>
      <c r="I1225"/>
      <c r="J1225"/>
    </row>
    <row r="1226" spans="6:10">
      <c r="F1226"/>
      <c r="G1226"/>
      <c r="H1226"/>
      <c r="I1226"/>
      <c r="J1226"/>
    </row>
    <row r="1227" spans="6:10">
      <c r="F1227"/>
      <c r="G1227"/>
      <c r="H1227"/>
      <c r="I1227"/>
      <c r="J1227"/>
    </row>
    <row r="1228" spans="6:10">
      <c r="F1228"/>
      <c r="G1228"/>
      <c r="H1228"/>
      <c r="I1228"/>
      <c r="J1228"/>
    </row>
    <row r="1229" spans="6:10">
      <c r="F1229"/>
      <c r="G1229"/>
      <c r="H1229"/>
      <c r="I1229"/>
      <c r="J1229"/>
    </row>
    <row r="1230" spans="6:10">
      <c r="F1230"/>
      <c r="G1230"/>
      <c r="H1230"/>
      <c r="I1230"/>
      <c r="J1230"/>
    </row>
    <row r="1231" spans="6:10">
      <c r="F1231"/>
      <c r="G1231"/>
      <c r="H1231"/>
      <c r="I1231"/>
      <c r="J1231"/>
    </row>
    <row r="1232" spans="6:10">
      <c r="F1232"/>
      <c r="G1232"/>
      <c r="H1232"/>
      <c r="I1232"/>
      <c r="J1232"/>
    </row>
    <row r="1233" spans="6:10">
      <c r="F1233"/>
      <c r="G1233"/>
      <c r="H1233"/>
      <c r="I1233"/>
      <c r="J1233"/>
    </row>
    <row r="1234" spans="6:10">
      <c r="F1234"/>
      <c r="G1234"/>
      <c r="H1234"/>
      <c r="I1234"/>
      <c r="J1234"/>
    </row>
    <row r="1235" spans="6:10">
      <c r="F1235"/>
      <c r="G1235"/>
      <c r="H1235"/>
      <c r="I1235"/>
      <c r="J1235"/>
    </row>
    <row r="1236" spans="6:10">
      <c r="F1236"/>
      <c r="G1236"/>
      <c r="H1236"/>
      <c r="I1236"/>
      <c r="J1236"/>
    </row>
    <row r="1237" spans="6:10">
      <c r="F1237"/>
      <c r="G1237"/>
      <c r="H1237"/>
      <c r="I1237"/>
      <c r="J1237"/>
    </row>
    <row r="1238" spans="6:10">
      <c r="F1238"/>
      <c r="G1238"/>
      <c r="H1238"/>
      <c r="I1238"/>
      <c r="J1238"/>
    </row>
    <row r="1239" spans="6:10">
      <c r="F1239"/>
      <c r="G1239"/>
      <c r="H1239"/>
      <c r="I1239"/>
      <c r="J1239"/>
    </row>
    <row r="1240" spans="6:10">
      <c r="F1240"/>
      <c r="G1240"/>
      <c r="H1240"/>
      <c r="I1240"/>
      <c r="J1240"/>
    </row>
    <row r="1241" spans="6:10">
      <c r="F1241"/>
      <c r="G1241"/>
      <c r="H1241"/>
      <c r="I1241"/>
      <c r="J1241"/>
    </row>
    <row r="1242" spans="6:10">
      <c r="F1242"/>
      <c r="G1242"/>
      <c r="H1242"/>
      <c r="I1242"/>
      <c r="J1242"/>
    </row>
    <row r="1243" spans="6:10">
      <c r="F1243"/>
      <c r="G1243"/>
      <c r="H1243"/>
      <c r="I1243"/>
      <c r="J1243"/>
    </row>
    <row r="1244" spans="6:10">
      <c r="F1244"/>
      <c r="G1244"/>
      <c r="H1244"/>
      <c r="I1244"/>
      <c r="J1244"/>
    </row>
    <row r="1245" spans="6:10">
      <c r="F1245"/>
      <c r="G1245"/>
      <c r="H1245"/>
      <c r="I1245"/>
      <c r="J1245"/>
    </row>
    <row r="1246" spans="6:10">
      <c r="F1246"/>
      <c r="G1246"/>
      <c r="H1246"/>
      <c r="I1246"/>
      <c r="J1246"/>
    </row>
    <row r="1247" spans="6:10">
      <c r="F1247"/>
      <c r="G1247"/>
      <c r="H1247"/>
      <c r="I1247"/>
      <c r="J1247"/>
    </row>
    <row r="1248" spans="6:10">
      <c r="F1248"/>
      <c r="G1248"/>
      <c r="H1248"/>
      <c r="I1248"/>
      <c r="J1248"/>
    </row>
    <row r="1249" spans="6:10">
      <c r="F1249"/>
      <c r="G1249"/>
      <c r="H1249"/>
      <c r="I1249"/>
      <c r="J1249"/>
    </row>
    <row r="1250" spans="6:10">
      <c r="F1250"/>
      <c r="G1250"/>
      <c r="H1250"/>
      <c r="I1250"/>
      <c r="J1250"/>
    </row>
    <row r="1251" spans="6:10">
      <c r="F1251"/>
      <c r="G1251"/>
      <c r="H1251"/>
      <c r="I1251"/>
      <c r="J1251"/>
    </row>
    <row r="1252" spans="6:10">
      <c r="F1252"/>
      <c r="G1252"/>
      <c r="H1252"/>
      <c r="I1252"/>
      <c r="J1252"/>
    </row>
    <row r="1253" spans="6:10">
      <c r="F1253"/>
      <c r="G1253"/>
      <c r="H1253"/>
      <c r="I1253"/>
      <c r="J1253"/>
    </row>
    <row r="1254" spans="6:10">
      <c r="F1254"/>
      <c r="G1254"/>
      <c r="H1254"/>
      <c r="I1254"/>
      <c r="J1254"/>
    </row>
    <row r="1255" spans="6:10">
      <c r="F1255"/>
      <c r="G1255"/>
      <c r="H1255"/>
      <c r="I1255"/>
      <c r="J1255"/>
    </row>
    <row r="1256" spans="6:10">
      <c r="F1256"/>
      <c r="G1256"/>
      <c r="H1256"/>
      <c r="I1256"/>
      <c r="J1256"/>
    </row>
    <row r="1257" spans="6:10">
      <c r="F1257"/>
      <c r="G1257"/>
      <c r="H1257"/>
      <c r="I1257"/>
      <c r="J1257"/>
    </row>
    <row r="1258" spans="6:10">
      <c r="F1258"/>
      <c r="G1258"/>
      <c r="H1258"/>
      <c r="I1258"/>
      <c r="J1258"/>
    </row>
    <row r="1259" spans="6:10">
      <c r="F1259"/>
      <c r="G1259"/>
      <c r="H1259"/>
      <c r="I1259"/>
      <c r="J1259"/>
    </row>
    <row r="1260" spans="6:10">
      <c r="F1260"/>
      <c r="G1260"/>
      <c r="H1260"/>
      <c r="I1260"/>
      <c r="J1260"/>
    </row>
    <row r="1261" spans="6:10">
      <c r="F1261"/>
      <c r="G1261"/>
      <c r="H1261"/>
      <c r="I1261"/>
      <c r="J1261"/>
    </row>
    <row r="1262" spans="6:10">
      <c r="F1262"/>
      <c r="G1262"/>
      <c r="H1262"/>
      <c r="I1262"/>
      <c r="J1262"/>
    </row>
    <row r="1263" spans="6:10">
      <c r="F1263"/>
      <c r="G1263"/>
      <c r="H1263"/>
      <c r="I1263"/>
      <c r="J1263"/>
    </row>
    <row r="1264" spans="6:10">
      <c r="F1264"/>
      <c r="G1264"/>
      <c r="H1264"/>
      <c r="I1264"/>
      <c r="J1264"/>
    </row>
    <row r="1265" spans="6:10">
      <c r="F1265"/>
      <c r="G1265"/>
      <c r="H1265"/>
      <c r="I1265"/>
      <c r="J1265"/>
    </row>
    <row r="1266" spans="6:10">
      <c r="F1266"/>
      <c r="G1266"/>
      <c r="H1266"/>
      <c r="I1266"/>
      <c r="J1266"/>
    </row>
    <row r="1267" spans="6:10">
      <c r="F1267"/>
      <c r="G1267"/>
      <c r="H1267"/>
      <c r="I1267"/>
      <c r="J1267"/>
    </row>
    <row r="1268" spans="6:10">
      <c r="F1268"/>
      <c r="G1268"/>
      <c r="H1268"/>
      <c r="I1268"/>
      <c r="J1268"/>
    </row>
    <row r="1269" spans="6:10">
      <c r="F1269"/>
      <c r="G1269"/>
      <c r="H1269"/>
      <c r="I1269"/>
      <c r="J1269"/>
    </row>
    <row r="1270" spans="6:10">
      <c r="F1270"/>
      <c r="G1270"/>
      <c r="H1270"/>
      <c r="I1270"/>
      <c r="J1270"/>
    </row>
    <row r="1271" spans="6:10">
      <c r="F1271"/>
      <c r="G1271"/>
      <c r="H1271"/>
      <c r="I1271"/>
      <c r="J1271"/>
    </row>
    <row r="1272" spans="6:10">
      <c r="F1272"/>
      <c r="G1272"/>
      <c r="H1272"/>
      <c r="I1272"/>
      <c r="J1272"/>
    </row>
    <row r="1273" spans="6:10">
      <c r="F1273"/>
      <c r="G1273"/>
      <c r="H1273"/>
      <c r="I1273"/>
      <c r="J1273"/>
    </row>
    <row r="1274" spans="6:10">
      <c r="F1274"/>
      <c r="G1274"/>
      <c r="H1274"/>
      <c r="I1274"/>
      <c r="J1274"/>
    </row>
    <row r="1275" spans="6:10">
      <c r="F1275"/>
      <c r="G1275"/>
      <c r="H1275"/>
      <c r="I1275"/>
      <c r="J1275"/>
    </row>
    <row r="1276" spans="6:10">
      <c r="F1276"/>
      <c r="G1276"/>
      <c r="H1276"/>
      <c r="I1276"/>
      <c r="J1276"/>
    </row>
    <row r="1277" spans="6:10">
      <c r="F1277"/>
      <c r="G1277"/>
      <c r="H1277"/>
      <c r="I1277"/>
      <c r="J1277"/>
    </row>
    <row r="1278" spans="6:10">
      <c r="F1278"/>
      <c r="G1278"/>
      <c r="H1278"/>
      <c r="I1278"/>
      <c r="J1278"/>
    </row>
    <row r="1279" spans="6:10">
      <c r="F1279"/>
      <c r="G1279"/>
      <c r="H1279"/>
      <c r="I1279"/>
      <c r="J1279"/>
    </row>
    <row r="1280" spans="6:10">
      <c r="F1280"/>
      <c r="G1280"/>
      <c r="H1280"/>
      <c r="I1280"/>
      <c r="J1280"/>
    </row>
    <row r="1281" spans="6:10">
      <c r="F1281"/>
      <c r="G1281"/>
      <c r="H1281"/>
      <c r="I1281"/>
      <c r="J1281"/>
    </row>
    <row r="1282" spans="6:10">
      <c r="F1282"/>
      <c r="G1282"/>
      <c r="H1282"/>
      <c r="I1282"/>
      <c r="J1282"/>
    </row>
    <row r="1283" spans="6:10">
      <c r="F1283"/>
      <c r="G1283"/>
      <c r="H1283"/>
      <c r="I1283"/>
      <c r="J1283"/>
    </row>
    <row r="1284" spans="6:10">
      <c r="F1284"/>
      <c r="G1284"/>
      <c r="H1284"/>
      <c r="I1284"/>
      <c r="J1284"/>
    </row>
    <row r="1285" spans="6:10">
      <c r="F1285"/>
      <c r="G1285"/>
      <c r="H1285"/>
      <c r="I1285"/>
      <c r="J1285"/>
    </row>
    <row r="1286" spans="6:10">
      <c r="F1286"/>
      <c r="G1286"/>
      <c r="H1286"/>
      <c r="I1286"/>
      <c r="J1286"/>
    </row>
    <row r="1287" spans="6:10">
      <c r="F1287"/>
      <c r="G1287"/>
      <c r="H1287"/>
      <c r="I1287"/>
      <c r="J1287"/>
    </row>
    <row r="1288" spans="6:10">
      <c r="F1288"/>
      <c r="G1288"/>
      <c r="H1288"/>
      <c r="I1288"/>
      <c r="J1288"/>
    </row>
    <row r="1289" spans="6:10">
      <c r="F1289"/>
      <c r="G1289"/>
      <c r="H1289"/>
      <c r="I1289"/>
      <c r="J1289"/>
    </row>
    <row r="1290" spans="6:10">
      <c r="F1290"/>
      <c r="G1290"/>
      <c r="H1290"/>
      <c r="I1290"/>
      <c r="J1290"/>
    </row>
    <row r="1291" spans="6:10">
      <c r="F1291"/>
      <c r="G1291"/>
      <c r="H1291"/>
      <c r="I1291"/>
      <c r="J1291"/>
    </row>
    <row r="1292" spans="6:10">
      <c r="F1292"/>
      <c r="G1292"/>
      <c r="H1292"/>
      <c r="I1292"/>
      <c r="J1292"/>
    </row>
    <row r="1293" spans="6:10">
      <c r="F1293"/>
      <c r="G1293"/>
      <c r="H1293"/>
      <c r="I1293"/>
      <c r="J1293"/>
    </row>
    <row r="1294" spans="6:10">
      <c r="F1294"/>
      <c r="G1294"/>
      <c r="H1294"/>
      <c r="I1294"/>
      <c r="J1294"/>
    </row>
    <row r="1295" spans="6:10">
      <c r="F1295"/>
      <c r="G1295"/>
      <c r="H1295"/>
      <c r="I1295"/>
      <c r="J1295"/>
    </row>
    <row r="1296" spans="6:10">
      <c r="F1296"/>
      <c r="G1296"/>
      <c r="H1296"/>
      <c r="I1296"/>
      <c r="J1296"/>
    </row>
    <row r="1297" spans="6:10">
      <c r="F1297"/>
      <c r="G1297"/>
      <c r="H1297"/>
      <c r="I1297"/>
      <c r="J1297"/>
    </row>
    <row r="1298" spans="6:10">
      <c r="F1298"/>
      <c r="G1298"/>
      <c r="H1298"/>
      <c r="I1298"/>
      <c r="J1298"/>
    </row>
    <row r="1299" spans="6:10">
      <c r="F1299"/>
      <c r="G1299"/>
      <c r="H1299"/>
      <c r="I1299"/>
      <c r="J1299"/>
    </row>
    <row r="1300" spans="6:10">
      <c r="F1300"/>
      <c r="G1300"/>
      <c r="H1300"/>
      <c r="I1300"/>
      <c r="J1300"/>
    </row>
    <row r="1301" spans="6:10">
      <c r="F1301"/>
      <c r="G1301"/>
      <c r="H1301"/>
      <c r="I1301"/>
      <c r="J1301"/>
    </row>
    <row r="1302" spans="6:10">
      <c r="F1302"/>
      <c r="G1302"/>
      <c r="H1302"/>
      <c r="I1302"/>
      <c r="J1302"/>
    </row>
    <row r="1303" spans="6:10">
      <c r="F1303"/>
      <c r="G1303"/>
      <c r="H1303"/>
      <c r="I1303"/>
      <c r="J1303"/>
    </row>
    <row r="1304" spans="6:10">
      <c r="F1304"/>
      <c r="G1304"/>
      <c r="H1304"/>
      <c r="I1304"/>
      <c r="J1304"/>
    </row>
    <row r="1305" spans="6:10">
      <c r="F1305"/>
      <c r="G1305"/>
      <c r="H1305"/>
      <c r="I1305"/>
      <c r="J1305"/>
    </row>
    <row r="1306" spans="6:10">
      <c r="F1306"/>
      <c r="G1306"/>
      <c r="H1306"/>
      <c r="I1306"/>
      <c r="J1306"/>
    </row>
    <row r="1307" spans="6:10">
      <c r="F1307"/>
      <c r="G1307"/>
      <c r="H1307"/>
      <c r="I1307"/>
      <c r="J1307"/>
    </row>
    <row r="1308" spans="6:10">
      <c r="F1308"/>
      <c r="G1308"/>
      <c r="H1308"/>
      <c r="I1308"/>
      <c r="J1308"/>
    </row>
    <row r="1309" spans="6:10">
      <c r="F1309"/>
      <c r="G1309"/>
      <c r="H1309"/>
      <c r="I1309"/>
      <c r="J1309"/>
    </row>
    <row r="1310" spans="6:10">
      <c r="F1310"/>
      <c r="G1310"/>
      <c r="H1310"/>
      <c r="I1310"/>
      <c r="J1310"/>
    </row>
    <row r="1311" spans="6:10">
      <c r="F1311"/>
      <c r="G1311"/>
      <c r="H1311"/>
      <c r="I1311"/>
      <c r="J1311"/>
    </row>
    <row r="1312" spans="6:10">
      <c r="F1312"/>
      <c r="G1312"/>
      <c r="H1312"/>
      <c r="I1312"/>
      <c r="J1312"/>
    </row>
    <row r="1313" spans="6:10">
      <c r="F1313"/>
      <c r="G1313"/>
      <c r="H1313"/>
      <c r="I1313"/>
      <c r="J1313"/>
    </row>
    <row r="1314" spans="6:10">
      <c r="F1314"/>
      <c r="G1314"/>
      <c r="H1314"/>
      <c r="I1314"/>
      <c r="J1314"/>
    </row>
    <row r="1315" spans="6:10">
      <c r="F1315"/>
      <c r="G1315"/>
      <c r="H1315"/>
      <c r="I1315"/>
      <c r="J1315"/>
    </row>
    <row r="1316" spans="6:10">
      <c r="F1316"/>
      <c r="G1316"/>
      <c r="H1316"/>
      <c r="I1316"/>
      <c r="J1316"/>
    </row>
    <row r="1317" spans="6:10">
      <c r="F1317"/>
      <c r="G1317"/>
      <c r="H1317"/>
      <c r="I1317"/>
      <c r="J1317"/>
    </row>
    <row r="1318" spans="6:10">
      <c r="F1318"/>
      <c r="G1318"/>
      <c r="H1318"/>
      <c r="I1318"/>
      <c r="J1318"/>
    </row>
    <row r="1319" spans="6:10">
      <c r="F1319"/>
      <c r="G1319"/>
      <c r="H1319"/>
      <c r="I1319"/>
      <c r="J1319"/>
    </row>
    <row r="1320" spans="6:10">
      <c r="F1320"/>
      <c r="G1320"/>
      <c r="H1320"/>
      <c r="I1320"/>
      <c r="J1320"/>
    </row>
    <row r="1321" spans="6:10">
      <c r="F1321"/>
      <c r="G1321"/>
      <c r="H1321"/>
      <c r="I1321"/>
      <c r="J1321"/>
    </row>
    <row r="1322" spans="6:10">
      <c r="F1322"/>
      <c r="G1322"/>
      <c r="H1322"/>
      <c r="I1322"/>
      <c r="J1322"/>
    </row>
    <row r="1323" spans="6:10">
      <c r="F1323"/>
      <c r="G1323"/>
      <c r="H1323"/>
      <c r="I1323"/>
      <c r="J1323"/>
    </row>
    <row r="1324" spans="6:10">
      <c r="F1324"/>
      <c r="G1324"/>
      <c r="H1324"/>
      <c r="I1324"/>
      <c r="J1324"/>
    </row>
    <row r="1325" spans="6:10">
      <c r="F1325"/>
      <c r="G1325"/>
      <c r="H1325"/>
      <c r="I1325"/>
      <c r="J1325"/>
    </row>
    <row r="1326" spans="6:10">
      <c r="F1326"/>
      <c r="G1326"/>
      <c r="H1326"/>
      <c r="I1326"/>
      <c r="J1326"/>
    </row>
    <row r="1327" spans="6:10">
      <c r="F1327"/>
      <c r="G1327"/>
      <c r="H1327"/>
      <c r="I1327"/>
      <c r="J1327"/>
    </row>
    <row r="1328" spans="6:10">
      <c r="F1328"/>
      <c r="G1328"/>
      <c r="H1328"/>
      <c r="I1328"/>
      <c r="J1328"/>
    </row>
    <row r="1329" spans="6:10">
      <c r="F1329"/>
      <c r="G1329"/>
      <c r="H1329"/>
      <c r="I1329"/>
      <c r="J1329"/>
    </row>
    <row r="1330" spans="6:10">
      <c r="F1330"/>
      <c r="G1330"/>
      <c r="H1330"/>
      <c r="I1330"/>
      <c r="J1330"/>
    </row>
    <row r="1331" spans="6:10">
      <c r="F1331"/>
      <c r="G1331"/>
      <c r="H1331"/>
      <c r="I1331"/>
      <c r="J1331"/>
    </row>
    <row r="1332" spans="6:10">
      <c r="F1332"/>
      <c r="G1332"/>
      <c r="H1332"/>
      <c r="I1332"/>
      <c r="J1332"/>
    </row>
    <row r="1333" spans="6:10">
      <c r="F1333"/>
      <c r="G1333"/>
      <c r="H1333"/>
      <c r="I1333"/>
      <c r="J1333"/>
    </row>
    <row r="1334" spans="6:10">
      <c r="F1334"/>
      <c r="G1334"/>
      <c r="H1334"/>
      <c r="I1334"/>
      <c r="J1334"/>
    </row>
    <row r="1335" spans="6:10">
      <c r="F1335"/>
      <c r="G1335"/>
      <c r="H1335"/>
      <c r="I1335"/>
      <c r="J1335"/>
    </row>
    <row r="1336" spans="6:10">
      <c r="F1336"/>
      <c r="G1336"/>
      <c r="H1336"/>
      <c r="I1336"/>
      <c r="J1336"/>
    </row>
    <row r="1337" spans="6:10">
      <c r="F1337"/>
      <c r="G1337"/>
      <c r="H1337"/>
      <c r="I1337"/>
      <c r="J1337"/>
    </row>
    <row r="1338" spans="6:10">
      <c r="F1338"/>
      <c r="G1338"/>
      <c r="H1338"/>
      <c r="I1338"/>
      <c r="J1338"/>
    </row>
    <row r="1339" spans="6:10">
      <c r="F1339"/>
      <c r="G1339"/>
      <c r="H1339"/>
      <c r="I1339"/>
      <c r="J1339"/>
    </row>
    <row r="1340" spans="6:10">
      <c r="F1340"/>
      <c r="G1340"/>
      <c r="H1340"/>
      <c r="I1340"/>
      <c r="J1340"/>
    </row>
    <row r="1341" spans="6:10">
      <c r="F1341"/>
      <c r="G1341"/>
      <c r="H1341"/>
      <c r="I1341"/>
      <c r="J1341"/>
    </row>
    <row r="1342" spans="6:10">
      <c r="F1342"/>
      <c r="G1342"/>
      <c r="H1342"/>
      <c r="I1342"/>
      <c r="J1342"/>
    </row>
    <row r="1343" spans="6:10">
      <c r="F1343"/>
      <c r="G1343"/>
      <c r="H1343"/>
      <c r="I1343"/>
      <c r="J1343"/>
    </row>
    <row r="1344" spans="6:10">
      <c r="F1344"/>
      <c r="G1344"/>
      <c r="H1344"/>
      <c r="I1344"/>
      <c r="J1344"/>
    </row>
    <row r="1345" spans="6:10">
      <c r="F1345"/>
      <c r="G1345"/>
      <c r="H1345"/>
      <c r="I1345"/>
      <c r="J1345"/>
    </row>
    <row r="1346" spans="6:10">
      <c r="F1346"/>
      <c r="G1346"/>
      <c r="H1346"/>
      <c r="I1346"/>
      <c r="J1346"/>
    </row>
    <row r="1347" spans="6:10">
      <c r="F1347"/>
      <c r="G1347"/>
      <c r="H1347"/>
      <c r="I1347"/>
      <c r="J1347"/>
    </row>
    <row r="1348" spans="6:10">
      <c r="F1348"/>
      <c r="G1348"/>
      <c r="H1348"/>
      <c r="I1348"/>
      <c r="J1348"/>
    </row>
    <row r="1349" spans="6:10">
      <c r="F1349"/>
      <c r="G1349"/>
      <c r="H1349"/>
      <c r="I1349"/>
      <c r="J1349"/>
    </row>
    <row r="1350" spans="6:10">
      <c r="F1350"/>
      <c r="G1350"/>
      <c r="H1350"/>
      <c r="I1350"/>
      <c r="J1350"/>
    </row>
    <row r="1351" spans="6:10">
      <c r="F1351"/>
      <c r="G1351"/>
      <c r="H1351"/>
      <c r="I1351"/>
      <c r="J1351"/>
    </row>
    <row r="1352" spans="6:10">
      <c r="F1352"/>
      <c r="G1352"/>
      <c r="H1352"/>
      <c r="I1352"/>
      <c r="J1352"/>
    </row>
    <row r="1353" spans="6:10">
      <c r="F1353"/>
      <c r="G1353"/>
      <c r="H1353"/>
      <c r="I1353"/>
      <c r="J1353"/>
    </row>
    <row r="1354" spans="6:10">
      <c r="F1354"/>
      <c r="G1354"/>
      <c r="H1354"/>
      <c r="I1354"/>
      <c r="J1354"/>
    </row>
    <row r="1355" spans="6:10">
      <c r="F1355"/>
      <c r="G1355"/>
      <c r="H1355"/>
      <c r="I1355"/>
      <c r="J1355"/>
    </row>
    <row r="1356" spans="6:10">
      <c r="F1356"/>
      <c r="G1356"/>
      <c r="H1356"/>
      <c r="I1356"/>
      <c r="J1356"/>
    </row>
    <row r="1357" spans="6:10">
      <c r="F1357"/>
      <c r="G1357"/>
      <c r="H1357"/>
      <c r="I1357"/>
      <c r="J1357"/>
    </row>
    <row r="1358" spans="6:10">
      <c r="F1358"/>
      <c r="G1358"/>
      <c r="H1358"/>
      <c r="I1358"/>
      <c r="J1358"/>
    </row>
    <row r="1359" spans="6:10">
      <c r="F1359"/>
      <c r="G1359"/>
      <c r="H1359"/>
      <c r="I1359"/>
      <c r="J1359"/>
    </row>
    <row r="1360" spans="6:10">
      <c r="F1360"/>
      <c r="G1360"/>
      <c r="H1360"/>
      <c r="I1360"/>
      <c r="J1360"/>
    </row>
    <row r="1361" spans="6:10">
      <c r="F1361"/>
      <c r="G1361"/>
      <c r="H1361"/>
      <c r="I1361"/>
      <c r="J1361"/>
    </row>
    <row r="1362" spans="6:10">
      <c r="F1362"/>
      <c r="G1362"/>
      <c r="H1362"/>
      <c r="I1362"/>
      <c r="J1362"/>
    </row>
    <row r="1363" spans="6:10">
      <c r="F1363"/>
      <c r="G1363"/>
      <c r="H1363"/>
      <c r="I1363"/>
      <c r="J1363"/>
    </row>
    <row r="1364" spans="6:10">
      <c r="F1364"/>
      <c r="G1364"/>
      <c r="H1364"/>
      <c r="I1364"/>
      <c r="J1364"/>
    </row>
    <row r="1365" spans="6:10">
      <c r="F1365"/>
      <c r="G1365"/>
      <c r="H1365"/>
      <c r="I1365"/>
      <c r="J1365"/>
    </row>
    <row r="1366" spans="6:10">
      <c r="F1366"/>
      <c r="G1366"/>
      <c r="H1366"/>
      <c r="I1366"/>
      <c r="J1366"/>
    </row>
    <row r="1367" spans="6:10">
      <c r="F1367"/>
      <c r="G1367"/>
      <c r="H1367"/>
      <c r="I1367"/>
      <c r="J1367"/>
    </row>
    <row r="1368" spans="6:10">
      <c r="F1368"/>
      <c r="G1368"/>
      <c r="H1368"/>
      <c r="I1368"/>
      <c r="J1368"/>
    </row>
    <row r="1369" spans="6:10">
      <c r="F1369"/>
      <c r="G1369"/>
      <c r="H1369"/>
      <c r="I1369"/>
      <c r="J1369"/>
    </row>
    <row r="1370" spans="6:10">
      <c r="F1370"/>
      <c r="G1370"/>
      <c r="H1370"/>
      <c r="I1370"/>
      <c r="J1370"/>
    </row>
    <row r="1371" spans="6:10">
      <c r="F1371"/>
      <c r="G1371"/>
      <c r="H1371"/>
      <c r="I1371"/>
      <c r="J1371"/>
    </row>
    <row r="1372" spans="6:10">
      <c r="F1372"/>
      <c r="G1372"/>
      <c r="H1372"/>
      <c r="I1372"/>
      <c r="J1372"/>
    </row>
    <row r="1373" spans="6:10">
      <c r="F1373"/>
      <c r="G1373"/>
      <c r="H1373"/>
      <c r="I1373"/>
      <c r="J1373"/>
    </row>
    <row r="1374" spans="6:10">
      <c r="F1374"/>
      <c r="G1374"/>
      <c r="H1374"/>
      <c r="I1374"/>
      <c r="J1374"/>
    </row>
    <row r="1375" spans="6:10">
      <c r="F1375"/>
      <c r="G1375"/>
      <c r="H1375"/>
      <c r="I1375"/>
      <c r="J1375"/>
    </row>
    <row r="1376" spans="6:10">
      <c r="F1376"/>
      <c r="G1376"/>
      <c r="H1376"/>
      <c r="I1376"/>
      <c r="J1376"/>
    </row>
    <row r="1377" spans="6:10">
      <c r="F1377"/>
      <c r="G1377"/>
      <c r="H1377"/>
      <c r="I1377"/>
      <c r="J1377"/>
    </row>
    <row r="1378" spans="6:10">
      <c r="F1378"/>
      <c r="G1378"/>
      <c r="H1378"/>
      <c r="I1378"/>
      <c r="J1378"/>
    </row>
    <row r="1379" spans="6:10">
      <c r="F1379"/>
      <c r="G1379"/>
      <c r="H1379"/>
      <c r="I1379"/>
      <c r="J1379"/>
    </row>
    <row r="1380" spans="6:10">
      <c r="F1380"/>
      <c r="G1380"/>
      <c r="H1380"/>
      <c r="I1380"/>
      <c r="J1380"/>
    </row>
    <row r="1381" spans="6:10">
      <c r="F1381"/>
      <c r="G1381"/>
      <c r="H1381"/>
      <c r="I1381"/>
      <c r="J1381"/>
    </row>
    <row r="1382" spans="6:10">
      <c r="F1382"/>
      <c r="G1382"/>
      <c r="H1382"/>
      <c r="I1382"/>
      <c r="J1382"/>
    </row>
    <row r="1383" spans="6:10">
      <c r="F1383"/>
      <c r="G1383"/>
      <c r="H1383"/>
      <c r="I1383"/>
      <c r="J1383"/>
    </row>
    <row r="1384" spans="6:10">
      <c r="F1384"/>
      <c r="G1384"/>
      <c r="H1384"/>
      <c r="I1384"/>
      <c r="J1384"/>
    </row>
    <row r="1385" spans="6:10">
      <c r="F1385"/>
      <c r="G1385"/>
      <c r="H1385"/>
      <c r="I1385"/>
      <c r="J1385"/>
    </row>
    <row r="1386" spans="6:10">
      <c r="F1386"/>
      <c r="G1386"/>
      <c r="H1386"/>
      <c r="I1386"/>
      <c r="J1386"/>
    </row>
    <row r="1387" spans="6:10">
      <c r="F1387"/>
      <c r="G1387"/>
      <c r="H1387"/>
      <c r="I1387"/>
      <c r="J1387"/>
    </row>
    <row r="1388" spans="6:10">
      <c r="F1388"/>
      <c r="G1388"/>
      <c r="H1388"/>
      <c r="I1388"/>
      <c r="J1388"/>
    </row>
    <row r="1389" spans="6:10">
      <c r="F1389"/>
      <c r="G1389"/>
      <c r="H1389"/>
      <c r="I1389"/>
      <c r="J1389"/>
    </row>
    <row r="1390" spans="6:10">
      <c r="F1390"/>
      <c r="G1390"/>
      <c r="H1390"/>
      <c r="I1390"/>
      <c r="J1390"/>
    </row>
    <row r="1391" spans="6:10">
      <c r="F1391"/>
      <c r="G1391"/>
      <c r="H1391"/>
      <c r="I1391"/>
      <c r="J1391"/>
    </row>
    <row r="1392" spans="6:10">
      <c r="F1392"/>
      <c r="G1392"/>
      <c r="H1392"/>
      <c r="I1392"/>
      <c r="J1392"/>
    </row>
    <row r="1393" spans="6:10">
      <c r="F1393"/>
      <c r="G1393"/>
      <c r="H1393"/>
      <c r="I1393"/>
      <c r="J1393"/>
    </row>
    <row r="1394" spans="6:10">
      <c r="F1394"/>
      <c r="G1394"/>
      <c r="H1394"/>
      <c r="I1394"/>
      <c r="J1394"/>
    </row>
    <row r="1395" spans="6:10">
      <c r="F1395"/>
      <c r="G1395"/>
      <c r="H1395"/>
      <c r="I1395"/>
      <c r="J1395"/>
    </row>
    <row r="1396" spans="6:10">
      <c r="F1396"/>
      <c r="G1396"/>
      <c r="H1396"/>
      <c r="I1396"/>
      <c r="J1396"/>
    </row>
    <row r="1397" spans="6:10">
      <c r="F1397"/>
      <c r="G1397"/>
      <c r="H1397"/>
      <c r="I1397"/>
      <c r="J1397"/>
    </row>
    <row r="1398" spans="6:10">
      <c r="F1398"/>
      <c r="G1398"/>
      <c r="H1398"/>
      <c r="I1398"/>
      <c r="J1398"/>
    </row>
    <row r="1399" spans="6:10">
      <c r="F1399"/>
      <c r="G1399"/>
      <c r="H1399"/>
      <c r="I1399"/>
      <c r="J1399"/>
    </row>
    <row r="1400" spans="6:10">
      <c r="F1400"/>
      <c r="G1400"/>
      <c r="H1400"/>
      <c r="I1400"/>
      <c r="J1400"/>
    </row>
    <row r="1401" spans="6:10">
      <c r="F1401"/>
      <c r="G1401"/>
      <c r="H1401"/>
      <c r="I1401"/>
      <c r="J1401"/>
    </row>
    <row r="1402" spans="6:10">
      <c r="F1402"/>
      <c r="G1402"/>
      <c r="H1402"/>
      <c r="I1402"/>
      <c r="J1402"/>
    </row>
    <row r="1403" spans="6:10">
      <c r="F1403"/>
      <c r="G1403"/>
      <c r="H1403"/>
      <c r="I1403"/>
      <c r="J1403"/>
    </row>
    <row r="1404" spans="6:10">
      <c r="F1404"/>
      <c r="G1404"/>
      <c r="H1404"/>
      <c r="I1404"/>
      <c r="J1404"/>
    </row>
    <row r="1405" spans="6:10">
      <c r="F1405"/>
      <c r="G1405"/>
      <c r="H1405"/>
      <c r="I1405"/>
      <c r="J1405"/>
    </row>
    <row r="1406" spans="6:10">
      <c r="F1406"/>
      <c r="G1406"/>
      <c r="H1406"/>
      <c r="I1406"/>
      <c r="J1406"/>
    </row>
    <row r="1407" spans="6:10">
      <c r="F1407"/>
      <c r="G1407"/>
      <c r="H1407"/>
      <c r="I1407"/>
      <c r="J1407"/>
    </row>
    <row r="1408" spans="6:10">
      <c r="F1408"/>
      <c r="G1408"/>
      <c r="H1408"/>
      <c r="I1408"/>
      <c r="J1408"/>
    </row>
    <row r="1409" spans="6:10">
      <c r="F1409"/>
      <c r="G1409"/>
      <c r="H1409"/>
      <c r="I1409"/>
      <c r="J1409"/>
    </row>
    <row r="1410" spans="6:10">
      <c r="F1410"/>
      <c r="G1410"/>
      <c r="H1410"/>
      <c r="I1410"/>
      <c r="J1410"/>
    </row>
    <row r="1411" spans="6:10">
      <c r="F1411"/>
      <c r="G1411"/>
      <c r="H1411"/>
      <c r="I1411"/>
      <c r="J1411"/>
    </row>
    <row r="1412" spans="6:10">
      <c r="F1412"/>
      <c r="G1412"/>
      <c r="H1412"/>
      <c r="I1412"/>
      <c r="J1412"/>
    </row>
    <row r="1413" spans="6:10">
      <c r="F1413"/>
      <c r="G1413"/>
      <c r="H1413"/>
      <c r="I1413"/>
      <c r="J1413"/>
    </row>
    <row r="1414" spans="6:10">
      <c r="F1414"/>
      <c r="G1414"/>
      <c r="H1414"/>
      <c r="I1414"/>
      <c r="J1414"/>
    </row>
    <row r="1415" spans="6:10">
      <c r="F1415"/>
      <c r="G1415"/>
      <c r="H1415"/>
      <c r="I1415"/>
      <c r="J1415"/>
    </row>
    <row r="1416" spans="6:10">
      <c r="F1416"/>
      <c r="G1416"/>
      <c r="H1416"/>
      <c r="I1416"/>
      <c r="J1416"/>
    </row>
    <row r="1417" spans="6:10">
      <c r="F1417"/>
      <c r="G1417"/>
      <c r="H1417"/>
      <c r="I1417"/>
      <c r="J1417"/>
    </row>
    <row r="1418" spans="6:10">
      <c r="F1418"/>
      <c r="G1418"/>
      <c r="H1418"/>
      <c r="I1418"/>
      <c r="J1418"/>
    </row>
    <row r="1419" spans="6:10">
      <c r="F1419"/>
      <c r="G1419"/>
      <c r="H1419"/>
      <c r="I1419"/>
      <c r="J1419"/>
    </row>
    <row r="1420" spans="6:10">
      <c r="F1420"/>
      <c r="G1420"/>
      <c r="H1420"/>
      <c r="I1420"/>
      <c r="J1420"/>
    </row>
    <row r="1421" spans="6:10">
      <c r="F1421"/>
      <c r="G1421"/>
      <c r="H1421"/>
      <c r="I1421"/>
      <c r="J1421"/>
    </row>
    <row r="1422" spans="6:10">
      <c r="F1422"/>
      <c r="G1422"/>
      <c r="H1422"/>
      <c r="I1422"/>
      <c r="J1422"/>
    </row>
    <row r="1423" spans="6:10">
      <c r="F1423"/>
      <c r="G1423"/>
      <c r="H1423"/>
      <c r="I1423"/>
      <c r="J1423"/>
    </row>
    <row r="1424" spans="6:10">
      <c r="F1424"/>
      <c r="G1424"/>
      <c r="H1424"/>
      <c r="I1424"/>
      <c r="J1424"/>
    </row>
    <row r="1425" spans="6:10">
      <c r="F1425"/>
      <c r="G1425"/>
      <c r="H1425"/>
      <c r="I1425"/>
      <c r="J1425"/>
    </row>
    <row r="1426" spans="6:10">
      <c r="F1426"/>
      <c r="G1426"/>
      <c r="H1426"/>
      <c r="I1426"/>
      <c r="J1426"/>
    </row>
    <row r="1427" spans="6:10">
      <c r="F1427"/>
      <c r="G1427"/>
      <c r="H1427"/>
      <c r="I1427"/>
      <c r="J1427"/>
    </row>
    <row r="1428" spans="6:10">
      <c r="F1428"/>
      <c r="G1428"/>
      <c r="H1428"/>
      <c r="I1428"/>
      <c r="J1428"/>
    </row>
    <row r="1429" spans="6:10">
      <c r="F1429"/>
      <c r="G1429"/>
      <c r="H1429"/>
      <c r="I1429"/>
      <c r="J1429"/>
    </row>
    <row r="1430" spans="6:10">
      <c r="F1430"/>
      <c r="G1430"/>
      <c r="H1430"/>
      <c r="I1430"/>
      <c r="J1430"/>
    </row>
    <row r="1431" spans="6:10">
      <c r="F1431"/>
      <c r="G1431"/>
      <c r="H1431"/>
      <c r="I1431"/>
      <c r="J1431"/>
    </row>
    <row r="1432" spans="6:10">
      <c r="F1432"/>
      <c r="G1432"/>
      <c r="H1432"/>
      <c r="I1432"/>
      <c r="J1432"/>
    </row>
    <row r="1433" spans="6:10">
      <c r="F1433"/>
      <c r="G1433"/>
      <c r="H1433"/>
      <c r="I1433"/>
      <c r="J1433"/>
    </row>
    <row r="1434" spans="6:10">
      <c r="F1434"/>
      <c r="G1434"/>
      <c r="H1434"/>
      <c r="I1434"/>
      <c r="J1434"/>
    </row>
    <row r="1435" spans="6:10">
      <c r="F1435"/>
      <c r="G1435"/>
      <c r="H1435"/>
      <c r="I1435"/>
      <c r="J1435"/>
    </row>
    <row r="1436" spans="6:10">
      <c r="F1436"/>
      <c r="G1436"/>
      <c r="H1436"/>
      <c r="I1436"/>
      <c r="J1436"/>
    </row>
    <row r="1437" spans="6:10">
      <c r="F1437"/>
      <c r="G1437"/>
      <c r="H1437"/>
      <c r="I1437"/>
      <c r="J1437"/>
    </row>
    <row r="1438" spans="6:10">
      <c r="F1438"/>
      <c r="G1438"/>
      <c r="H1438"/>
      <c r="I1438"/>
      <c r="J1438"/>
    </row>
    <row r="1439" spans="6:10">
      <c r="F1439"/>
      <c r="G1439"/>
      <c r="H1439"/>
      <c r="I1439"/>
      <c r="J1439"/>
    </row>
    <row r="1440" spans="6:10">
      <c r="F1440"/>
      <c r="G1440"/>
      <c r="H1440"/>
      <c r="I1440"/>
      <c r="J1440"/>
    </row>
    <row r="1441" spans="6:10">
      <c r="F1441"/>
      <c r="G1441"/>
      <c r="H1441"/>
      <c r="I1441"/>
      <c r="J1441"/>
    </row>
    <row r="1442" spans="6:10">
      <c r="F1442"/>
      <c r="G1442"/>
      <c r="H1442"/>
      <c r="I1442"/>
      <c r="J1442"/>
    </row>
    <row r="1443" spans="6:10">
      <c r="F1443"/>
      <c r="G1443"/>
      <c r="H1443"/>
      <c r="I1443"/>
      <c r="J1443"/>
    </row>
    <row r="1444" spans="6:10">
      <c r="F1444"/>
      <c r="G1444"/>
      <c r="H1444"/>
      <c r="I1444"/>
      <c r="J1444"/>
    </row>
    <row r="1445" spans="6:10">
      <c r="F1445"/>
      <c r="G1445"/>
      <c r="H1445"/>
      <c r="I1445"/>
      <c r="J1445"/>
    </row>
    <row r="1446" spans="6:10">
      <c r="F1446"/>
      <c r="G1446"/>
      <c r="H1446"/>
      <c r="I1446"/>
      <c r="J1446"/>
    </row>
    <row r="1447" spans="6:10">
      <c r="F1447"/>
      <c r="G1447"/>
      <c r="H1447"/>
      <c r="I1447"/>
      <c r="J1447"/>
    </row>
    <row r="1448" spans="6:10">
      <c r="F1448"/>
      <c r="G1448"/>
      <c r="H1448"/>
      <c r="I1448"/>
      <c r="J1448"/>
    </row>
    <row r="1449" spans="6:10">
      <c r="F1449"/>
      <c r="G1449"/>
      <c r="H1449"/>
      <c r="I1449"/>
      <c r="J1449"/>
    </row>
    <row r="1450" spans="6:10">
      <c r="F1450"/>
      <c r="G1450"/>
      <c r="H1450"/>
      <c r="I1450"/>
      <c r="J1450"/>
    </row>
    <row r="1451" spans="6:10">
      <c r="F1451"/>
      <c r="G1451"/>
      <c r="H1451"/>
      <c r="I1451"/>
      <c r="J1451"/>
    </row>
    <row r="1452" spans="6:10">
      <c r="F1452"/>
      <c r="G1452"/>
      <c r="H1452"/>
      <c r="I1452"/>
      <c r="J1452"/>
    </row>
    <row r="1453" spans="6:10">
      <c r="F1453"/>
      <c r="G1453"/>
      <c r="H1453"/>
      <c r="I1453"/>
      <c r="J1453"/>
    </row>
    <row r="1454" spans="6:10">
      <c r="F1454"/>
      <c r="G1454"/>
      <c r="H1454"/>
      <c r="I1454"/>
      <c r="J1454"/>
    </row>
    <row r="1455" spans="6:10">
      <c r="F1455"/>
      <c r="G1455"/>
      <c r="H1455"/>
      <c r="I1455"/>
      <c r="J1455"/>
    </row>
    <row r="1456" spans="6:10">
      <c r="F1456"/>
      <c r="G1456"/>
      <c r="H1456"/>
      <c r="I1456"/>
      <c r="J1456"/>
    </row>
    <row r="1457" spans="6:10">
      <c r="F1457"/>
      <c r="G1457"/>
      <c r="H1457"/>
      <c r="I1457"/>
      <c r="J1457"/>
    </row>
    <row r="1458" spans="6:10">
      <c r="F1458"/>
      <c r="G1458"/>
      <c r="H1458"/>
      <c r="I1458"/>
      <c r="J1458"/>
    </row>
    <row r="1459" spans="6:10">
      <c r="F1459"/>
      <c r="G1459"/>
      <c r="H1459"/>
      <c r="I1459"/>
      <c r="J1459"/>
    </row>
    <row r="1460" spans="6:10">
      <c r="F1460"/>
      <c r="G1460"/>
      <c r="H1460"/>
      <c r="I1460"/>
      <c r="J1460"/>
    </row>
    <row r="1461" spans="6:10">
      <c r="F1461"/>
      <c r="G1461"/>
      <c r="H1461"/>
      <c r="I1461"/>
      <c r="J1461"/>
    </row>
    <row r="1462" spans="6:10">
      <c r="F1462"/>
      <c r="G1462"/>
      <c r="H1462"/>
      <c r="I1462"/>
      <c r="J1462"/>
    </row>
    <row r="1463" spans="6:10">
      <c r="F1463"/>
      <c r="G1463"/>
      <c r="H1463"/>
      <c r="I1463"/>
      <c r="J1463"/>
    </row>
    <row r="1464" spans="6:10">
      <c r="F1464"/>
      <c r="G1464"/>
      <c r="H1464"/>
      <c r="I1464"/>
      <c r="J1464"/>
    </row>
    <row r="1465" spans="6:10">
      <c r="F1465"/>
      <c r="G1465"/>
      <c r="H1465"/>
      <c r="I1465"/>
      <c r="J1465"/>
    </row>
    <row r="1466" spans="6:10">
      <c r="F1466"/>
      <c r="G1466"/>
      <c r="H1466"/>
      <c r="I1466"/>
      <c r="J1466"/>
    </row>
    <row r="1467" spans="6:10">
      <c r="F1467"/>
      <c r="G1467"/>
      <c r="H1467"/>
      <c r="I1467"/>
      <c r="J1467"/>
    </row>
    <row r="1468" spans="6:10">
      <c r="F1468"/>
      <c r="G1468"/>
      <c r="H1468"/>
      <c r="I1468"/>
      <c r="J1468"/>
    </row>
    <row r="1469" spans="6:10">
      <c r="F1469"/>
      <c r="G1469"/>
      <c r="H1469"/>
      <c r="I1469"/>
      <c r="J1469"/>
    </row>
    <row r="1470" spans="6:10">
      <c r="F1470"/>
      <c r="G1470"/>
      <c r="H1470"/>
      <c r="I1470"/>
      <c r="J1470"/>
    </row>
    <row r="1471" spans="6:10">
      <c r="F1471"/>
      <c r="G1471"/>
      <c r="H1471"/>
      <c r="I1471"/>
      <c r="J1471"/>
    </row>
    <row r="1472" spans="6:10">
      <c r="F1472"/>
      <c r="G1472"/>
      <c r="H1472"/>
      <c r="I1472"/>
      <c r="J1472"/>
    </row>
    <row r="1473" spans="6:10">
      <c r="F1473"/>
      <c r="G1473"/>
      <c r="H1473"/>
      <c r="I1473"/>
      <c r="J1473"/>
    </row>
    <row r="1474" spans="6:10">
      <c r="F1474"/>
      <c r="G1474"/>
      <c r="H1474"/>
      <c r="I1474"/>
      <c r="J1474"/>
    </row>
    <row r="1475" spans="6:10">
      <c r="F1475"/>
      <c r="G1475"/>
      <c r="H1475"/>
      <c r="I1475"/>
      <c r="J1475"/>
    </row>
    <row r="1476" spans="6:10">
      <c r="F1476"/>
      <c r="G1476"/>
      <c r="H1476"/>
      <c r="I1476"/>
      <c r="J1476"/>
    </row>
    <row r="1477" spans="6:10">
      <c r="F1477"/>
      <c r="G1477"/>
      <c r="H1477"/>
      <c r="I1477"/>
      <c r="J1477"/>
    </row>
    <row r="1478" spans="6:10">
      <c r="F1478"/>
      <c r="G1478"/>
      <c r="H1478"/>
      <c r="I1478"/>
      <c r="J1478"/>
    </row>
    <row r="1479" spans="6:10">
      <c r="F1479"/>
      <c r="G1479"/>
      <c r="H1479"/>
      <c r="I1479"/>
      <c r="J1479"/>
    </row>
    <row r="1480" spans="6:10">
      <c r="F1480"/>
      <c r="G1480"/>
      <c r="H1480"/>
      <c r="I1480"/>
      <c r="J1480"/>
    </row>
    <row r="1481" spans="6:10">
      <c r="F1481"/>
      <c r="G1481"/>
      <c r="H1481"/>
      <c r="I1481"/>
      <c r="J1481"/>
    </row>
    <row r="1482" spans="6:10">
      <c r="F1482"/>
      <c r="G1482"/>
      <c r="H1482"/>
      <c r="I1482"/>
      <c r="J1482"/>
    </row>
    <row r="1483" spans="6:10">
      <c r="F1483"/>
      <c r="G1483"/>
      <c r="H1483"/>
      <c r="I1483"/>
      <c r="J1483"/>
    </row>
    <row r="1484" spans="6:10">
      <c r="F1484"/>
      <c r="G1484"/>
      <c r="H1484"/>
      <c r="I1484"/>
      <c r="J1484"/>
    </row>
    <row r="1485" spans="6:10">
      <c r="F1485"/>
      <c r="G1485"/>
      <c r="H1485"/>
      <c r="I1485"/>
      <c r="J1485"/>
    </row>
    <row r="1486" spans="6:10">
      <c r="F1486"/>
      <c r="G1486"/>
      <c r="H1486"/>
      <c r="I1486"/>
      <c r="J1486"/>
    </row>
    <row r="1487" spans="6:10">
      <c r="F1487"/>
      <c r="G1487"/>
      <c r="H1487"/>
      <c r="I1487"/>
      <c r="J1487"/>
    </row>
    <row r="1488" spans="6:10">
      <c r="F1488"/>
      <c r="G1488"/>
      <c r="H1488"/>
      <c r="I1488"/>
      <c r="J1488"/>
    </row>
    <row r="1489" spans="6:10">
      <c r="F1489"/>
      <c r="G1489"/>
      <c r="H1489"/>
      <c r="I1489"/>
      <c r="J1489"/>
    </row>
    <row r="1490" spans="6:10">
      <c r="F1490"/>
      <c r="G1490"/>
      <c r="H1490"/>
      <c r="I1490"/>
      <c r="J1490"/>
    </row>
    <row r="1491" spans="6:10">
      <c r="F1491"/>
      <c r="G1491"/>
      <c r="H1491"/>
      <c r="I1491"/>
      <c r="J1491"/>
    </row>
    <row r="1492" spans="6:10">
      <c r="F1492"/>
      <c r="G1492"/>
      <c r="H1492"/>
      <c r="I1492"/>
      <c r="J1492"/>
    </row>
    <row r="1493" spans="6:10">
      <c r="F1493"/>
      <c r="G1493"/>
      <c r="H1493"/>
      <c r="I1493"/>
      <c r="J1493"/>
    </row>
    <row r="1494" spans="6:10">
      <c r="F1494"/>
      <c r="G1494"/>
      <c r="H1494"/>
      <c r="I1494"/>
      <c r="J1494"/>
    </row>
    <row r="1495" spans="6:10">
      <c r="F1495"/>
      <c r="G1495"/>
      <c r="H1495"/>
      <c r="I1495"/>
      <c r="J1495"/>
    </row>
    <row r="1496" spans="6:10">
      <c r="F1496"/>
      <c r="G1496"/>
      <c r="H1496"/>
      <c r="I1496"/>
      <c r="J1496"/>
    </row>
    <row r="1497" spans="6:10">
      <c r="F1497"/>
      <c r="G1497"/>
      <c r="H1497"/>
      <c r="I1497"/>
      <c r="J1497"/>
    </row>
    <row r="1498" spans="6:10">
      <c r="F1498"/>
      <c r="G1498"/>
      <c r="H1498"/>
      <c r="I1498"/>
      <c r="J1498"/>
    </row>
    <row r="1499" spans="6:10">
      <c r="F1499"/>
      <c r="G1499"/>
      <c r="H1499"/>
      <c r="I1499"/>
      <c r="J1499"/>
    </row>
    <row r="1500" spans="6:10">
      <c r="F1500"/>
      <c r="G1500"/>
      <c r="H1500"/>
      <c r="I1500"/>
      <c r="J1500"/>
    </row>
    <row r="1501" spans="6:10">
      <c r="F1501"/>
      <c r="G1501"/>
      <c r="H1501"/>
      <c r="I1501"/>
      <c r="J1501"/>
    </row>
    <row r="1502" spans="6:10">
      <c r="F1502"/>
      <c r="G1502"/>
      <c r="H1502"/>
      <c r="I1502"/>
      <c r="J1502"/>
    </row>
    <row r="1503" spans="6:10">
      <c r="F1503"/>
      <c r="G1503"/>
      <c r="H1503"/>
      <c r="I1503"/>
      <c r="J1503"/>
    </row>
    <row r="1504" spans="6:10">
      <c r="F1504"/>
      <c r="G1504"/>
      <c r="H1504"/>
      <c r="I1504"/>
      <c r="J1504"/>
    </row>
    <row r="1505" spans="6:10">
      <c r="F1505"/>
      <c r="G1505"/>
      <c r="H1505"/>
      <c r="I1505"/>
      <c r="J1505"/>
    </row>
    <row r="1506" spans="6:10">
      <c r="F1506"/>
      <c r="G1506"/>
      <c r="H1506"/>
      <c r="I1506"/>
      <c r="J1506"/>
    </row>
    <row r="1507" spans="6:10">
      <c r="F1507"/>
      <c r="G1507"/>
      <c r="H1507"/>
      <c r="I1507"/>
      <c r="J1507"/>
    </row>
    <row r="1508" spans="6:10">
      <c r="F1508"/>
      <c r="G1508"/>
      <c r="H1508"/>
      <c r="I1508"/>
      <c r="J1508"/>
    </row>
    <row r="1509" spans="6:10">
      <c r="F1509"/>
      <c r="G1509"/>
      <c r="H1509"/>
      <c r="I1509"/>
      <c r="J1509"/>
    </row>
    <row r="1510" spans="6:10">
      <c r="F1510"/>
      <c r="G1510"/>
      <c r="H1510"/>
      <c r="I1510"/>
      <c r="J1510"/>
    </row>
    <row r="1511" spans="6:10">
      <c r="F1511"/>
      <c r="G1511"/>
      <c r="H1511"/>
      <c r="I1511"/>
      <c r="J1511"/>
    </row>
    <row r="1512" spans="6:10">
      <c r="F1512"/>
      <c r="G1512"/>
      <c r="H1512"/>
      <c r="I1512"/>
      <c r="J1512"/>
    </row>
    <row r="1513" spans="6:10">
      <c r="F1513"/>
      <c r="G1513"/>
      <c r="H1513"/>
      <c r="I1513"/>
      <c r="J1513"/>
    </row>
    <row r="1514" spans="6:10">
      <c r="F1514"/>
      <c r="G1514"/>
      <c r="H1514"/>
      <c r="I1514"/>
      <c r="J1514"/>
    </row>
    <row r="1515" spans="6:10">
      <c r="F1515"/>
      <c r="G1515"/>
      <c r="H1515"/>
      <c r="I1515"/>
      <c r="J1515"/>
    </row>
    <row r="1516" spans="6:10">
      <c r="F1516"/>
      <c r="G1516"/>
      <c r="H1516"/>
      <c r="I1516"/>
      <c r="J1516"/>
    </row>
    <row r="1517" spans="6:10">
      <c r="F1517"/>
      <c r="G1517"/>
      <c r="H1517"/>
      <c r="I1517"/>
      <c r="J1517"/>
    </row>
    <row r="1518" spans="6:10">
      <c r="F1518"/>
      <c r="G1518"/>
      <c r="H1518"/>
      <c r="I1518"/>
      <c r="J1518"/>
    </row>
    <row r="1519" spans="6:10">
      <c r="F1519"/>
      <c r="G1519"/>
      <c r="H1519"/>
      <c r="I1519"/>
      <c r="J1519"/>
    </row>
    <row r="1520" spans="6:10">
      <c r="F1520"/>
      <c r="G1520"/>
      <c r="H1520"/>
      <c r="I1520"/>
      <c r="J1520"/>
    </row>
    <row r="1521" spans="6:10">
      <c r="F1521"/>
      <c r="G1521"/>
      <c r="H1521"/>
      <c r="I1521"/>
      <c r="J1521"/>
    </row>
    <row r="1522" spans="6:10">
      <c r="F1522"/>
      <c r="G1522"/>
      <c r="H1522"/>
      <c r="I1522"/>
      <c r="J1522"/>
    </row>
    <row r="1523" spans="6:10">
      <c r="F1523"/>
      <c r="G1523"/>
      <c r="H1523"/>
      <c r="I1523"/>
      <c r="J1523"/>
    </row>
    <row r="1524" spans="6:10">
      <c r="F1524"/>
      <c r="G1524"/>
      <c r="H1524"/>
      <c r="I1524"/>
      <c r="J1524"/>
    </row>
    <row r="1525" spans="6:10">
      <c r="F1525"/>
      <c r="G1525"/>
      <c r="H1525"/>
      <c r="I1525"/>
      <c r="J1525"/>
    </row>
    <row r="1526" spans="6:10">
      <c r="F1526"/>
      <c r="G1526"/>
      <c r="H1526"/>
      <c r="I1526"/>
      <c r="J1526"/>
    </row>
    <row r="1527" spans="6:10">
      <c r="F1527"/>
      <c r="G1527"/>
      <c r="H1527"/>
      <c r="I1527"/>
      <c r="J1527"/>
    </row>
    <row r="1528" spans="6:10">
      <c r="F1528"/>
      <c r="G1528"/>
      <c r="H1528"/>
      <c r="I1528"/>
      <c r="J1528"/>
    </row>
    <row r="1529" spans="6:10">
      <c r="F1529"/>
      <c r="G1529"/>
      <c r="H1529"/>
      <c r="I1529"/>
      <c r="J1529"/>
    </row>
    <row r="1530" spans="6:10">
      <c r="F1530"/>
      <c r="G1530"/>
      <c r="H1530"/>
      <c r="I1530"/>
      <c r="J1530"/>
    </row>
    <row r="1531" spans="6:10">
      <c r="F1531"/>
      <c r="G1531"/>
      <c r="H1531"/>
      <c r="I1531"/>
      <c r="J1531"/>
    </row>
    <row r="1532" spans="6:10">
      <c r="F1532"/>
      <c r="G1532"/>
      <c r="H1532"/>
      <c r="I1532"/>
      <c r="J1532"/>
    </row>
    <row r="1533" spans="6:10">
      <c r="F1533"/>
      <c r="G1533"/>
      <c r="H1533"/>
      <c r="I1533"/>
      <c r="J1533"/>
    </row>
    <row r="1534" spans="6:10">
      <c r="F1534"/>
      <c r="G1534"/>
      <c r="H1534"/>
      <c r="I1534"/>
      <c r="J1534"/>
    </row>
    <row r="1535" spans="6:10">
      <c r="F1535"/>
      <c r="G1535"/>
      <c r="H1535"/>
      <c r="I1535"/>
      <c r="J1535"/>
    </row>
    <row r="1536" spans="6:10">
      <c r="F1536"/>
      <c r="G1536"/>
      <c r="H1536"/>
      <c r="I1536"/>
      <c r="J1536"/>
    </row>
    <row r="1537" spans="6:10">
      <c r="F1537"/>
      <c r="G1537"/>
      <c r="H1537"/>
      <c r="I1537"/>
      <c r="J1537"/>
    </row>
    <row r="1538" spans="6:10">
      <c r="F1538"/>
      <c r="G1538"/>
      <c r="H1538"/>
      <c r="I1538"/>
      <c r="J1538"/>
    </row>
    <row r="1539" spans="6:10">
      <c r="F1539"/>
      <c r="G1539"/>
      <c r="H1539"/>
      <c r="I1539"/>
      <c r="J1539"/>
    </row>
    <row r="1540" spans="6:10">
      <c r="F1540"/>
      <c r="G1540"/>
      <c r="H1540"/>
      <c r="I1540"/>
      <c r="J1540"/>
    </row>
    <row r="1541" spans="6:10">
      <c r="F1541"/>
      <c r="G1541"/>
      <c r="H1541"/>
      <c r="I1541"/>
      <c r="J1541"/>
    </row>
    <row r="1542" spans="6:10">
      <c r="F1542"/>
      <c r="G1542"/>
      <c r="H1542"/>
      <c r="I1542"/>
      <c r="J1542"/>
    </row>
    <row r="1543" spans="6:10">
      <c r="F1543"/>
      <c r="G1543"/>
      <c r="H1543"/>
      <c r="I1543"/>
      <c r="J1543"/>
    </row>
    <row r="1544" spans="6:10">
      <c r="F1544"/>
      <c r="G1544"/>
      <c r="H1544"/>
      <c r="I1544"/>
      <c r="J1544"/>
    </row>
    <row r="1545" spans="6:10">
      <c r="F1545"/>
      <c r="G1545"/>
      <c r="H1545"/>
      <c r="I1545"/>
      <c r="J1545"/>
    </row>
    <row r="1546" spans="6:10">
      <c r="F1546"/>
      <c r="G1546"/>
      <c r="H1546"/>
      <c r="I1546"/>
      <c r="J1546"/>
    </row>
    <row r="1547" spans="6:10">
      <c r="F1547"/>
      <c r="G1547"/>
      <c r="H1547"/>
      <c r="I1547"/>
      <c r="J1547"/>
    </row>
    <row r="1548" spans="6:10">
      <c r="F1548"/>
      <c r="G1548"/>
      <c r="H1548"/>
      <c r="I1548"/>
      <c r="J1548"/>
    </row>
    <row r="1549" spans="6:10">
      <c r="F1549"/>
      <c r="G1549"/>
      <c r="H1549"/>
      <c r="I1549"/>
      <c r="J1549"/>
    </row>
    <row r="1550" spans="6:10">
      <c r="F1550"/>
      <c r="G1550"/>
      <c r="H1550"/>
      <c r="I1550"/>
      <c r="J1550"/>
    </row>
    <row r="1551" spans="6:10">
      <c r="F1551"/>
      <c r="G1551"/>
      <c r="H1551"/>
      <c r="I1551"/>
      <c r="J1551"/>
    </row>
    <row r="1552" spans="6:10">
      <c r="F1552"/>
      <c r="G1552"/>
      <c r="H1552"/>
      <c r="I1552"/>
      <c r="J1552"/>
    </row>
    <row r="1553" spans="6:10">
      <c r="F1553"/>
      <c r="G1553"/>
      <c r="H1553"/>
      <c r="I1553"/>
      <c r="J1553"/>
    </row>
    <row r="1554" spans="6:10">
      <c r="F1554"/>
      <c r="G1554"/>
      <c r="H1554"/>
      <c r="I1554"/>
      <c r="J1554"/>
    </row>
    <row r="1555" spans="6:10">
      <c r="F1555"/>
      <c r="G1555"/>
      <c r="H1555"/>
      <c r="I1555"/>
      <c r="J1555"/>
    </row>
    <row r="1556" spans="6:10">
      <c r="F1556"/>
      <c r="G1556"/>
      <c r="H1556"/>
      <c r="I1556"/>
      <c r="J1556"/>
    </row>
    <row r="1557" spans="6:10">
      <c r="F1557"/>
      <c r="G1557"/>
      <c r="H1557"/>
      <c r="I1557"/>
      <c r="J1557"/>
    </row>
    <row r="1558" spans="6:10">
      <c r="F1558"/>
      <c r="G1558"/>
      <c r="H1558"/>
      <c r="I1558"/>
      <c r="J1558"/>
    </row>
    <row r="1559" spans="6:10">
      <c r="F1559"/>
      <c r="G1559"/>
      <c r="H1559"/>
      <c r="I1559"/>
      <c r="J1559"/>
    </row>
    <row r="1560" spans="6:10">
      <c r="F1560"/>
      <c r="G1560"/>
      <c r="H1560"/>
      <c r="I1560"/>
      <c r="J1560"/>
    </row>
    <row r="1561" spans="6:10">
      <c r="F1561"/>
      <c r="G1561"/>
      <c r="H1561"/>
      <c r="I1561"/>
      <c r="J1561"/>
    </row>
    <row r="1562" spans="6:10">
      <c r="F1562"/>
      <c r="G1562"/>
      <c r="H1562"/>
      <c r="I1562"/>
      <c r="J1562"/>
    </row>
    <row r="1563" spans="6:10">
      <c r="F1563"/>
      <c r="G1563"/>
      <c r="H1563"/>
      <c r="I1563"/>
      <c r="J1563"/>
    </row>
    <row r="1564" spans="6:10">
      <c r="F1564"/>
      <c r="G1564"/>
      <c r="H1564"/>
      <c r="I1564"/>
      <c r="J1564"/>
    </row>
    <row r="1565" spans="6:10">
      <c r="F1565"/>
      <c r="G1565"/>
      <c r="H1565"/>
      <c r="I1565"/>
      <c r="J1565"/>
    </row>
    <row r="1566" spans="6:10">
      <c r="F1566"/>
      <c r="G1566"/>
      <c r="H1566"/>
      <c r="I1566"/>
      <c r="J1566"/>
    </row>
    <row r="1567" spans="6:10">
      <c r="F1567"/>
      <c r="G1567"/>
      <c r="H1567"/>
      <c r="I1567"/>
      <c r="J1567"/>
    </row>
    <row r="1568" spans="6:10">
      <c r="F1568"/>
      <c r="G1568"/>
      <c r="H1568"/>
      <c r="I1568"/>
      <c r="J1568"/>
    </row>
    <row r="1569" spans="6:10">
      <c r="F1569"/>
      <c r="G1569"/>
      <c r="H1569"/>
      <c r="I1569"/>
      <c r="J1569"/>
    </row>
    <row r="1570" spans="6:10">
      <c r="F1570"/>
      <c r="G1570"/>
      <c r="H1570"/>
      <c r="I1570"/>
      <c r="J1570"/>
    </row>
    <row r="1571" spans="6:10">
      <c r="F1571"/>
      <c r="G1571"/>
      <c r="H1571"/>
      <c r="I1571"/>
      <c r="J1571"/>
    </row>
    <row r="1572" spans="6:10">
      <c r="F1572"/>
      <c r="G1572"/>
      <c r="H1572"/>
      <c r="I1572"/>
      <c r="J1572"/>
    </row>
    <row r="1573" spans="6:10">
      <c r="F1573"/>
      <c r="G1573"/>
      <c r="H1573"/>
      <c r="I1573"/>
      <c r="J1573"/>
    </row>
    <row r="1574" spans="6:10">
      <c r="F1574"/>
      <c r="G1574"/>
      <c r="H1574"/>
      <c r="I1574"/>
      <c r="J1574"/>
    </row>
    <row r="1575" spans="6:10">
      <c r="F1575"/>
      <c r="G1575"/>
      <c r="H1575"/>
      <c r="I1575"/>
      <c r="J1575"/>
    </row>
    <row r="1576" spans="6:10">
      <c r="F1576"/>
      <c r="G1576"/>
      <c r="H1576"/>
      <c r="I1576"/>
      <c r="J1576"/>
    </row>
    <row r="1577" spans="6:10">
      <c r="F1577"/>
      <c r="G1577"/>
      <c r="H1577"/>
      <c r="I1577"/>
      <c r="J1577"/>
    </row>
    <row r="1578" spans="6:10">
      <c r="F1578"/>
      <c r="G1578"/>
      <c r="H1578"/>
      <c r="I1578"/>
      <c r="J1578"/>
    </row>
    <row r="1579" spans="6:10">
      <c r="F1579"/>
      <c r="G1579"/>
      <c r="H1579"/>
      <c r="I1579"/>
      <c r="J1579"/>
    </row>
    <row r="1580" spans="6:10">
      <c r="F1580"/>
      <c r="G1580"/>
      <c r="H1580"/>
      <c r="I1580"/>
      <c r="J1580"/>
    </row>
    <row r="1581" spans="6:10">
      <c r="F1581"/>
      <c r="G1581"/>
      <c r="H1581"/>
      <c r="I1581"/>
      <c r="J1581"/>
    </row>
    <row r="1582" spans="6:10">
      <c r="F1582"/>
      <c r="G1582"/>
      <c r="H1582"/>
      <c r="I1582"/>
      <c r="J1582"/>
    </row>
    <row r="1583" spans="6:10">
      <c r="F1583"/>
      <c r="G1583"/>
      <c r="H1583"/>
      <c r="I1583"/>
      <c r="J1583"/>
    </row>
    <row r="1584" spans="6:10">
      <c r="F1584"/>
      <c r="G1584"/>
      <c r="H1584"/>
      <c r="I1584"/>
      <c r="J1584"/>
    </row>
    <row r="1585" spans="6:10">
      <c r="F1585"/>
      <c r="G1585"/>
      <c r="H1585"/>
      <c r="I1585"/>
      <c r="J1585"/>
    </row>
    <row r="1586" spans="6:10">
      <c r="F1586"/>
      <c r="G1586"/>
      <c r="H1586"/>
      <c r="I1586"/>
      <c r="J1586"/>
    </row>
    <row r="1587" spans="6:10">
      <c r="F1587"/>
      <c r="G1587"/>
      <c r="H1587"/>
      <c r="I1587"/>
      <c r="J1587"/>
    </row>
    <row r="1588" spans="6:10">
      <c r="F1588"/>
      <c r="G1588"/>
      <c r="H1588"/>
      <c r="I1588"/>
      <c r="J1588"/>
    </row>
    <row r="1589" spans="6:10">
      <c r="F1589"/>
      <c r="G1589"/>
      <c r="H1589"/>
      <c r="I1589"/>
      <c r="J1589"/>
    </row>
    <row r="1590" spans="6:10">
      <c r="F1590"/>
      <c r="G1590"/>
      <c r="H1590"/>
      <c r="I1590"/>
      <c r="J1590"/>
    </row>
    <row r="1591" spans="6:10">
      <c r="F1591"/>
      <c r="G1591"/>
      <c r="H1591"/>
      <c r="I1591"/>
      <c r="J1591"/>
    </row>
    <row r="1592" spans="6:10">
      <c r="F1592"/>
      <c r="G1592"/>
      <c r="H1592"/>
      <c r="I1592"/>
      <c r="J1592"/>
    </row>
    <row r="1593" spans="6:10">
      <c r="F1593"/>
      <c r="G1593"/>
      <c r="H1593"/>
      <c r="I1593"/>
      <c r="J1593"/>
    </row>
    <row r="1594" spans="6:10">
      <c r="F1594"/>
      <c r="G1594"/>
      <c r="H1594"/>
      <c r="I1594"/>
      <c r="J1594"/>
    </row>
    <row r="1595" spans="6:10">
      <c r="F1595"/>
      <c r="G1595"/>
      <c r="H1595"/>
      <c r="I1595"/>
      <c r="J1595"/>
    </row>
    <row r="1596" spans="6:10">
      <c r="F1596"/>
      <c r="G1596"/>
      <c r="H1596"/>
      <c r="I1596"/>
      <c r="J1596"/>
    </row>
    <row r="1597" spans="6:10">
      <c r="F1597"/>
      <c r="G1597"/>
      <c r="H1597"/>
      <c r="I1597"/>
      <c r="J1597"/>
    </row>
    <row r="1598" spans="6:10">
      <c r="F1598"/>
      <c r="G1598"/>
      <c r="H1598"/>
      <c r="I1598"/>
      <c r="J1598"/>
    </row>
    <row r="1599" spans="6:10">
      <c r="F1599"/>
      <c r="G1599"/>
      <c r="H1599"/>
      <c r="I1599"/>
      <c r="J1599"/>
    </row>
    <row r="1600" spans="6:10">
      <c r="F1600"/>
      <c r="G1600"/>
      <c r="H1600"/>
      <c r="I1600"/>
      <c r="J1600"/>
    </row>
    <row r="1601" spans="6:10">
      <c r="F1601"/>
      <c r="G1601"/>
      <c r="H1601"/>
      <c r="I1601"/>
      <c r="J1601"/>
    </row>
    <row r="1602" spans="6:10">
      <c r="F1602"/>
      <c r="G1602"/>
      <c r="H1602"/>
      <c r="I1602"/>
      <c r="J1602"/>
    </row>
    <row r="1603" spans="6:10">
      <c r="F1603"/>
      <c r="G1603"/>
      <c r="H1603"/>
      <c r="I1603"/>
      <c r="J1603"/>
    </row>
    <row r="1604" spans="6:10">
      <c r="F1604"/>
      <c r="G1604"/>
      <c r="H1604"/>
      <c r="I1604"/>
      <c r="J1604"/>
    </row>
    <row r="1605" spans="6:10">
      <c r="F1605"/>
      <c r="G1605"/>
      <c r="H1605"/>
      <c r="I1605"/>
      <c r="J1605"/>
    </row>
    <row r="1606" spans="6:10">
      <c r="F1606"/>
      <c r="G1606"/>
      <c r="H1606"/>
      <c r="I1606"/>
      <c r="J1606"/>
    </row>
    <row r="1607" spans="6:10">
      <c r="F1607"/>
      <c r="G1607"/>
      <c r="H1607"/>
      <c r="I1607"/>
      <c r="J1607"/>
    </row>
    <row r="1608" spans="6:10">
      <c r="F1608"/>
      <c r="G1608"/>
      <c r="H1608"/>
      <c r="I1608"/>
      <c r="J1608"/>
    </row>
    <row r="1609" spans="6:10">
      <c r="F1609"/>
      <c r="G1609"/>
      <c r="H1609"/>
      <c r="I1609"/>
      <c r="J1609"/>
    </row>
    <row r="1610" spans="6:10">
      <c r="F1610"/>
      <c r="G1610"/>
      <c r="H1610"/>
      <c r="I1610"/>
      <c r="J1610"/>
    </row>
    <row r="1611" spans="6:10">
      <c r="F1611"/>
      <c r="G1611"/>
      <c r="H1611"/>
      <c r="I1611"/>
      <c r="J1611"/>
    </row>
    <row r="1612" spans="6:10">
      <c r="F1612"/>
      <c r="G1612"/>
      <c r="H1612"/>
      <c r="I1612"/>
      <c r="J1612"/>
    </row>
    <row r="1613" spans="6:10">
      <c r="F1613"/>
      <c r="G1613"/>
      <c r="H1613"/>
      <c r="I1613"/>
      <c r="J1613"/>
    </row>
    <row r="1614" spans="6:10">
      <c r="F1614"/>
      <c r="G1614"/>
      <c r="H1614"/>
      <c r="I1614"/>
      <c r="J1614"/>
    </row>
    <row r="1615" spans="6:10">
      <c r="F1615"/>
      <c r="G1615"/>
      <c r="H1615"/>
      <c r="I1615"/>
      <c r="J1615"/>
    </row>
    <row r="1616" spans="6:10">
      <c r="F1616"/>
      <c r="G1616"/>
      <c r="H1616"/>
      <c r="I1616"/>
      <c r="J1616"/>
    </row>
    <row r="1617" spans="6:10">
      <c r="F1617"/>
      <c r="G1617"/>
      <c r="H1617"/>
      <c r="I1617"/>
      <c r="J1617"/>
    </row>
    <row r="1618" spans="6:10">
      <c r="F1618"/>
      <c r="G1618"/>
      <c r="H1618"/>
      <c r="I1618"/>
      <c r="J1618"/>
    </row>
    <row r="1619" spans="6:10">
      <c r="F1619"/>
      <c r="G1619"/>
      <c r="H1619"/>
      <c r="I1619"/>
      <c r="J1619"/>
    </row>
    <row r="1620" spans="6:10">
      <c r="F1620"/>
      <c r="G1620"/>
      <c r="H1620"/>
      <c r="I1620"/>
      <c r="J1620"/>
    </row>
    <row r="1621" spans="6:10">
      <c r="F1621"/>
      <c r="G1621"/>
      <c r="H1621"/>
      <c r="I1621"/>
      <c r="J1621"/>
    </row>
    <row r="1622" spans="6:10">
      <c r="F1622"/>
      <c r="G1622"/>
      <c r="H1622"/>
      <c r="I1622"/>
      <c r="J1622"/>
    </row>
    <row r="1623" spans="6:10">
      <c r="F1623"/>
      <c r="G1623"/>
      <c r="H1623"/>
      <c r="I1623"/>
      <c r="J1623"/>
    </row>
    <row r="1624" spans="6:10">
      <c r="F1624"/>
      <c r="G1624"/>
      <c r="H1624"/>
      <c r="I1624"/>
      <c r="J1624"/>
    </row>
    <row r="1625" spans="6:10">
      <c r="F1625"/>
      <c r="G1625"/>
      <c r="H1625"/>
      <c r="I1625"/>
      <c r="J1625"/>
    </row>
    <row r="1626" spans="6:10">
      <c r="F1626"/>
      <c r="G1626"/>
      <c r="H1626"/>
      <c r="I1626"/>
      <c r="J1626"/>
    </row>
    <row r="1627" spans="6:10">
      <c r="F1627"/>
      <c r="G1627"/>
      <c r="H1627"/>
      <c r="I1627"/>
      <c r="J1627"/>
    </row>
    <row r="1628" spans="6:10">
      <c r="F1628"/>
      <c r="G1628"/>
      <c r="H1628"/>
      <c r="I1628"/>
      <c r="J1628"/>
    </row>
    <row r="1629" spans="6:10">
      <c r="F1629"/>
      <c r="G1629"/>
      <c r="H1629"/>
      <c r="I1629"/>
      <c r="J1629"/>
    </row>
    <row r="1630" spans="6:10">
      <c r="F1630"/>
      <c r="G1630"/>
      <c r="H1630"/>
      <c r="I1630"/>
      <c r="J1630"/>
    </row>
    <row r="1631" spans="6:10">
      <c r="F1631"/>
      <c r="G1631"/>
      <c r="H1631"/>
      <c r="I1631"/>
      <c r="J1631"/>
    </row>
    <row r="1632" spans="6:10">
      <c r="F1632"/>
      <c r="G1632"/>
      <c r="H1632"/>
      <c r="I1632"/>
      <c r="J1632"/>
    </row>
    <row r="1633" spans="6:10">
      <c r="F1633"/>
      <c r="G1633"/>
      <c r="H1633"/>
      <c r="I1633"/>
      <c r="J1633"/>
    </row>
    <row r="1634" spans="6:10">
      <c r="F1634"/>
      <c r="G1634"/>
      <c r="H1634"/>
      <c r="I1634"/>
      <c r="J1634"/>
    </row>
    <row r="1635" spans="6:10">
      <c r="F1635"/>
      <c r="G1635"/>
      <c r="H1635"/>
      <c r="I1635"/>
      <c r="J1635"/>
    </row>
    <row r="1636" spans="6:10">
      <c r="F1636"/>
      <c r="G1636"/>
      <c r="H1636"/>
      <c r="I1636"/>
      <c r="J1636"/>
    </row>
    <row r="1637" spans="6:10">
      <c r="F1637"/>
      <c r="G1637"/>
      <c r="H1637"/>
      <c r="I1637"/>
      <c r="J1637"/>
    </row>
    <row r="1638" spans="6:10">
      <c r="F1638"/>
      <c r="G1638"/>
      <c r="H1638"/>
      <c r="I1638"/>
      <c r="J1638"/>
    </row>
    <row r="1639" spans="6:10">
      <c r="F1639"/>
      <c r="G1639"/>
      <c r="H1639"/>
      <c r="I1639"/>
      <c r="J1639"/>
    </row>
    <row r="1640" spans="6:10">
      <c r="F1640"/>
      <c r="G1640"/>
      <c r="H1640"/>
      <c r="I1640"/>
      <c r="J1640"/>
    </row>
    <row r="1641" spans="6:10">
      <c r="F1641"/>
      <c r="G1641"/>
      <c r="H1641"/>
      <c r="I1641"/>
      <c r="J1641"/>
    </row>
    <row r="1642" spans="6:10">
      <c r="F1642"/>
      <c r="G1642"/>
      <c r="H1642"/>
      <c r="I1642"/>
      <c r="J1642"/>
    </row>
    <row r="1643" spans="6:10">
      <c r="F1643"/>
      <c r="G1643"/>
      <c r="H1643"/>
      <c r="I1643"/>
      <c r="J1643"/>
    </row>
    <row r="1644" spans="6:10">
      <c r="F1644"/>
      <c r="G1644"/>
      <c r="H1644"/>
      <c r="I1644"/>
      <c r="J1644"/>
    </row>
    <row r="1645" spans="6:10">
      <c r="F1645"/>
      <c r="G1645"/>
      <c r="H1645"/>
      <c r="I1645"/>
      <c r="J1645"/>
    </row>
    <row r="1646" spans="6:10">
      <c r="F1646"/>
      <c r="G1646"/>
      <c r="H1646"/>
      <c r="I1646"/>
      <c r="J1646"/>
    </row>
    <row r="1647" spans="6:10">
      <c r="F1647"/>
      <c r="G1647"/>
      <c r="H1647"/>
      <c r="I1647"/>
      <c r="J1647"/>
    </row>
    <row r="1648" spans="6:10">
      <c r="F1648"/>
      <c r="G1648"/>
      <c r="H1648"/>
      <c r="I1648"/>
      <c r="J1648"/>
    </row>
    <row r="1649" spans="6:10">
      <c r="F1649"/>
      <c r="G1649"/>
      <c r="H1649"/>
      <c r="I1649"/>
      <c r="J1649"/>
    </row>
    <row r="1650" spans="6:10">
      <c r="F1650"/>
      <c r="G1650"/>
      <c r="H1650"/>
      <c r="I1650"/>
      <c r="J1650"/>
    </row>
    <row r="1651" spans="6:10">
      <c r="F1651"/>
      <c r="G1651"/>
      <c r="H1651"/>
      <c r="I1651"/>
      <c r="J1651"/>
    </row>
    <row r="1652" spans="6:10">
      <c r="F1652"/>
      <c r="G1652"/>
      <c r="H1652"/>
      <c r="I1652"/>
      <c r="J1652"/>
    </row>
    <row r="1653" spans="6:10">
      <c r="F1653"/>
      <c r="G1653"/>
      <c r="H1653"/>
      <c r="I1653"/>
      <c r="J1653"/>
    </row>
    <row r="1654" spans="6:10">
      <c r="F1654"/>
      <c r="G1654"/>
      <c r="H1654"/>
      <c r="I1654"/>
      <c r="J1654"/>
    </row>
    <row r="1655" spans="6:10">
      <c r="F1655"/>
      <c r="G1655"/>
      <c r="H1655"/>
      <c r="I1655"/>
      <c r="J1655"/>
    </row>
    <row r="1656" spans="6:10">
      <c r="F1656"/>
      <c r="G1656"/>
      <c r="H1656"/>
      <c r="I1656"/>
      <c r="J1656"/>
    </row>
    <row r="1657" spans="6:10">
      <c r="F1657"/>
      <c r="G1657"/>
      <c r="H1657"/>
      <c r="I1657"/>
      <c r="J1657"/>
    </row>
    <row r="1658" spans="6:10">
      <c r="F1658"/>
      <c r="G1658"/>
      <c r="H1658"/>
      <c r="I1658"/>
      <c r="J1658"/>
    </row>
    <row r="1659" spans="6:10">
      <c r="F1659"/>
      <c r="G1659"/>
      <c r="H1659"/>
      <c r="I1659"/>
      <c r="J1659"/>
    </row>
    <row r="1660" spans="6:10">
      <c r="F1660"/>
      <c r="G1660"/>
      <c r="H1660"/>
      <c r="I1660"/>
      <c r="J1660"/>
    </row>
    <row r="1661" spans="6:10">
      <c r="F1661"/>
      <c r="G1661"/>
      <c r="H1661"/>
      <c r="I1661"/>
      <c r="J1661"/>
    </row>
    <row r="1662" spans="6:10">
      <c r="F1662"/>
      <c r="G1662"/>
      <c r="H1662"/>
      <c r="I1662"/>
      <c r="J1662"/>
    </row>
    <row r="1663" spans="6:10">
      <c r="F1663"/>
      <c r="G1663"/>
      <c r="H1663"/>
      <c r="I1663"/>
      <c r="J1663"/>
    </row>
    <row r="1664" spans="6:10">
      <c r="F1664"/>
      <c r="G1664"/>
      <c r="H1664"/>
      <c r="I1664"/>
      <c r="J1664"/>
    </row>
    <row r="1665" spans="6:10">
      <c r="F1665"/>
      <c r="G1665"/>
      <c r="H1665"/>
      <c r="I1665"/>
      <c r="J1665"/>
    </row>
    <row r="1666" spans="6:10">
      <c r="F1666"/>
      <c r="G1666"/>
      <c r="H1666"/>
      <c r="I1666"/>
      <c r="J1666"/>
    </row>
    <row r="1667" spans="6:10">
      <c r="F1667"/>
      <c r="G1667"/>
      <c r="H1667"/>
      <c r="I1667"/>
      <c r="J1667"/>
    </row>
    <row r="1668" spans="6:10">
      <c r="F1668"/>
      <c r="G1668"/>
      <c r="H1668"/>
      <c r="I1668"/>
      <c r="J1668"/>
    </row>
    <row r="1669" spans="6:10">
      <c r="F1669"/>
      <c r="G1669"/>
      <c r="H1669"/>
      <c r="I1669"/>
      <c r="J1669"/>
    </row>
    <row r="1670" spans="6:10">
      <c r="F1670"/>
      <c r="G1670"/>
      <c r="H1670"/>
      <c r="I1670"/>
      <c r="J1670"/>
    </row>
    <row r="1671" spans="6:10">
      <c r="F1671"/>
      <c r="G1671"/>
      <c r="H1671"/>
      <c r="I1671"/>
      <c r="J1671"/>
    </row>
    <row r="1672" spans="6:10">
      <c r="F1672"/>
      <c r="G1672"/>
      <c r="H1672"/>
      <c r="I1672"/>
      <c r="J1672"/>
    </row>
    <row r="1673" spans="6:10">
      <c r="F1673"/>
      <c r="G1673"/>
      <c r="H1673"/>
      <c r="I1673"/>
      <c r="J1673"/>
    </row>
    <row r="1674" spans="6:10">
      <c r="F1674"/>
      <c r="G1674"/>
      <c r="H1674"/>
      <c r="I1674"/>
      <c r="J1674"/>
    </row>
    <row r="1675" spans="6:10">
      <c r="F1675"/>
      <c r="G1675"/>
      <c r="H1675"/>
      <c r="I1675"/>
      <c r="J1675"/>
    </row>
    <row r="1676" spans="6:10">
      <c r="F1676"/>
      <c r="G1676"/>
      <c r="H1676"/>
      <c r="I1676"/>
      <c r="J1676"/>
    </row>
    <row r="1677" spans="6:10">
      <c r="F1677"/>
      <c r="G1677"/>
      <c r="H1677"/>
      <c r="I1677"/>
      <c r="J1677"/>
    </row>
    <row r="1678" spans="6:10">
      <c r="F1678"/>
      <c r="G1678"/>
      <c r="H1678"/>
      <c r="I1678"/>
      <c r="J1678"/>
    </row>
    <row r="1679" spans="6:10">
      <c r="F1679"/>
      <c r="G1679"/>
      <c r="H1679"/>
      <c r="I1679"/>
      <c r="J1679"/>
    </row>
    <row r="1680" spans="6:10">
      <c r="F1680"/>
      <c r="G1680"/>
      <c r="H1680"/>
      <c r="I1680"/>
      <c r="J1680"/>
    </row>
    <row r="1681" spans="6:10">
      <c r="F1681"/>
      <c r="G1681"/>
      <c r="H1681"/>
      <c r="I1681"/>
      <c r="J1681"/>
    </row>
    <row r="1682" spans="6:10">
      <c r="F1682"/>
      <c r="G1682"/>
      <c r="H1682"/>
      <c r="I1682"/>
      <c r="J1682"/>
    </row>
    <row r="1683" spans="6:10">
      <c r="F1683"/>
      <c r="G1683"/>
      <c r="H1683"/>
      <c r="I1683"/>
      <c r="J1683"/>
    </row>
    <row r="1684" spans="6:10">
      <c r="F1684"/>
      <c r="G1684"/>
      <c r="H1684"/>
      <c r="I1684"/>
      <c r="J1684"/>
    </row>
    <row r="1685" spans="6:10">
      <c r="F1685"/>
      <c r="G1685"/>
      <c r="H1685"/>
      <c r="I1685"/>
      <c r="J1685"/>
    </row>
    <row r="1686" spans="6:10">
      <c r="F1686"/>
      <c r="G1686"/>
      <c r="H1686"/>
      <c r="I1686"/>
      <c r="J1686"/>
    </row>
    <row r="1687" spans="6:10">
      <c r="F1687"/>
      <c r="G1687"/>
      <c r="H1687"/>
      <c r="I1687"/>
      <c r="J1687"/>
    </row>
    <row r="1688" spans="6:10">
      <c r="F1688"/>
      <c r="G1688"/>
      <c r="H1688"/>
      <c r="I1688"/>
      <c r="J1688"/>
    </row>
    <row r="1689" spans="6:10">
      <c r="F1689"/>
      <c r="G1689"/>
      <c r="H1689"/>
      <c r="I1689"/>
      <c r="J1689"/>
    </row>
    <row r="1690" spans="6:10">
      <c r="F1690"/>
      <c r="G1690"/>
      <c r="H1690"/>
      <c r="I1690"/>
      <c r="J1690"/>
    </row>
    <row r="1691" spans="6:10">
      <c r="F1691"/>
      <c r="G1691"/>
      <c r="H1691"/>
      <c r="I1691"/>
      <c r="J1691"/>
    </row>
    <row r="1692" spans="6:10">
      <c r="F1692"/>
      <c r="G1692"/>
      <c r="H1692"/>
      <c r="I1692"/>
      <c r="J1692"/>
    </row>
    <row r="1693" spans="6:10">
      <c r="F1693"/>
      <c r="G1693"/>
      <c r="H1693"/>
      <c r="I1693"/>
      <c r="J1693"/>
    </row>
    <row r="1694" spans="6:10">
      <c r="F1694"/>
      <c r="G1694"/>
      <c r="H1694"/>
      <c r="I1694"/>
      <c r="J1694"/>
    </row>
    <row r="1695" spans="6:10">
      <c r="F1695"/>
      <c r="G1695"/>
      <c r="H1695"/>
      <c r="I1695"/>
      <c r="J1695"/>
    </row>
    <row r="1696" spans="6:10">
      <c r="F1696"/>
      <c r="G1696"/>
      <c r="H1696"/>
      <c r="I1696"/>
      <c r="J1696"/>
    </row>
    <row r="1697" spans="6:10">
      <c r="F1697"/>
      <c r="G1697"/>
      <c r="H1697"/>
      <c r="I1697"/>
      <c r="J1697"/>
    </row>
    <row r="1698" spans="6:10">
      <c r="F1698"/>
      <c r="G1698"/>
      <c r="H1698"/>
      <c r="I1698"/>
      <c r="J1698"/>
    </row>
    <row r="1699" spans="6:10">
      <c r="F1699"/>
      <c r="G1699"/>
      <c r="H1699"/>
      <c r="I1699"/>
      <c r="J1699"/>
    </row>
    <row r="1700" spans="6:10">
      <c r="F1700"/>
      <c r="G1700"/>
      <c r="H1700"/>
      <c r="I1700"/>
      <c r="J1700"/>
    </row>
    <row r="1701" spans="6:10">
      <c r="F1701"/>
      <c r="G1701"/>
      <c r="H1701"/>
      <c r="I1701"/>
      <c r="J1701"/>
    </row>
    <row r="1702" spans="6:10">
      <c r="F1702"/>
      <c r="G1702"/>
      <c r="H1702"/>
      <c r="I1702"/>
      <c r="J1702"/>
    </row>
    <row r="1703" spans="6:10">
      <c r="F1703"/>
      <c r="G1703"/>
      <c r="H1703"/>
      <c r="I1703"/>
      <c r="J1703"/>
    </row>
    <row r="1704" spans="6:10">
      <c r="F1704"/>
      <c r="G1704"/>
      <c r="H1704"/>
      <c r="I1704"/>
      <c r="J1704"/>
    </row>
    <row r="1705" spans="6:10">
      <c r="F1705"/>
      <c r="G1705"/>
      <c r="H1705"/>
      <c r="I1705"/>
      <c r="J1705"/>
    </row>
    <row r="1706" spans="6:10">
      <c r="F1706"/>
      <c r="G1706"/>
      <c r="H1706"/>
      <c r="I1706"/>
      <c r="J1706"/>
    </row>
    <row r="1707" spans="6:10">
      <c r="F1707"/>
      <c r="G1707"/>
      <c r="H1707"/>
      <c r="I1707"/>
      <c r="J1707"/>
    </row>
    <row r="1708" spans="6:10">
      <c r="F1708"/>
      <c r="G1708"/>
      <c r="H1708"/>
      <c r="I1708"/>
      <c r="J1708"/>
    </row>
    <row r="1709" spans="6:10">
      <c r="F1709"/>
      <c r="G1709"/>
      <c r="H1709"/>
      <c r="I1709"/>
      <c r="J1709"/>
    </row>
    <row r="1710" spans="6:10">
      <c r="F1710"/>
      <c r="G1710"/>
      <c r="H1710"/>
      <c r="I1710"/>
      <c r="J1710"/>
    </row>
    <row r="1711" spans="6:10">
      <c r="F1711"/>
      <c r="G1711"/>
      <c r="H1711"/>
      <c r="I1711"/>
      <c r="J1711"/>
    </row>
    <row r="1712" spans="6:10">
      <c r="F1712"/>
      <c r="G1712"/>
      <c r="H1712"/>
      <c r="I1712"/>
      <c r="J1712"/>
    </row>
    <row r="1713" spans="6:10">
      <c r="F1713"/>
      <c r="G1713"/>
      <c r="H1713"/>
      <c r="I1713"/>
      <c r="J1713"/>
    </row>
    <row r="1714" spans="6:10">
      <c r="F1714"/>
      <c r="G1714"/>
      <c r="H1714"/>
      <c r="I1714"/>
      <c r="J1714"/>
    </row>
    <row r="1715" spans="6:10">
      <c r="F1715"/>
      <c r="G1715"/>
      <c r="H1715"/>
      <c r="I1715"/>
      <c r="J1715"/>
    </row>
    <row r="1716" spans="6:10">
      <c r="F1716"/>
      <c r="G1716"/>
      <c r="H1716"/>
      <c r="I1716"/>
      <c r="J1716"/>
    </row>
    <row r="1717" spans="6:10">
      <c r="F1717"/>
      <c r="G1717"/>
      <c r="H1717"/>
      <c r="I1717"/>
      <c r="J1717"/>
    </row>
    <row r="1718" spans="6:10">
      <c r="F1718"/>
      <c r="G1718"/>
      <c r="H1718"/>
      <c r="I1718"/>
      <c r="J1718"/>
    </row>
    <row r="1719" spans="6:10">
      <c r="F1719"/>
      <c r="G1719"/>
      <c r="H1719"/>
      <c r="I1719"/>
      <c r="J1719"/>
    </row>
    <row r="1720" spans="6:10">
      <c r="F1720"/>
      <c r="G1720"/>
      <c r="H1720"/>
      <c r="I1720"/>
      <c r="J1720"/>
    </row>
    <row r="1721" spans="6:10">
      <c r="F1721"/>
      <c r="G1721"/>
      <c r="H1721"/>
      <c r="I1721"/>
      <c r="J1721"/>
    </row>
    <row r="1722" spans="6:10">
      <c r="F1722"/>
      <c r="G1722"/>
      <c r="H1722"/>
      <c r="I1722"/>
      <c r="J1722"/>
    </row>
    <row r="1723" spans="6:10">
      <c r="F1723"/>
      <c r="G1723"/>
      <c r="H1723"/>
      <c r="I1723"/>
      <c r="J1723"/>
    </row>
    <row r="1724" spans="6:10">
      <c r="F1724"/>
      <c r="G1724"/>
      <c r="H1724"/>
      <c r="I1724"/>
      <c r="J1724"/>
    </row>
    <row r="1725" spans="6:10">
      <c r="F1725"/>
      <c r="G1725"/>
      <c r="H1725"/>
      <c r="I1725"/>
      <c r="J1725"/>
    </row>
    <row r="1726" spans="6:10">
      <c r="F1726"/>
      <c r="G1726"/>
      <c r="H1726"/>
      <c r="I1726"/>
      <c r="J1726"/>
    </row>
    <row r="1727" spans="6:10">
      <c r="F1727"/>
      <c r="G1727"/>
      <c r="H1727"/>
      <c r="I1727"/>
      <c r="J1727"/>
    </row>
    <row r="1728" spans="6:10">
      <c r="F1728"/>
      <c r="G1728"/>
      <c r="H1728"/>
      <c r="I1728"/>
      <c r="J1728"/>
    </row>
    <row r="1729" spans="6:10">
      <c r="F1729"/>
      <c r="G1729"/>
      <c r="H1729"/>
      <c r="I1729"/>
      <c r="J1729"/>
    </row>
    <row r="1730" spans="6:10">
      <c r="F1730"/>
      <c r="G1730"/>
      <c r="H1730"/>
      <c r="I1730"/>
      <c r="J1730"/>
    </row>
    <row r="1731" spans="6:10">
      <c r="F1731"/>
      <c r="G1731"/>
      <c r="H1731"/>
      <c r="I1731"/>
      <c r="J1731"/>
    </row>
    <row r="1732" spans="6:10">
      <c r="F1732"/>
      <c r="G1732"/>
      <c r="H1732"/>
      <c r="I1732"/>
      <c r="J1732"/>
    </row>
    <row r="1733" spans="6:10">
      <c r="F1733"/>
      <c r="G1733"/>
      <c r="H1733"/>
      <c r="I1733"/>
      <c r="J1733"/>
    </row>
    <row r="1734" spans="6:10">
      <c r="F1734"/>
      <c r="G1734"/>
      <c r="H1734"/>
      <c r="I1734"/>
      <c r="J1734"/>
    </row>
    <row r="1735" spans="6:10">
      <c r="F1735"/>
      <c r="G1735"/>
      <c r="H1735"/>
      <c r="I1735"/>
      <c r="J1735"/>
    </row>
    <row r="1736" spans="6:10">
      <c r="F1736"/>
      <c r="G1736"/>
      <c r="H1736"/>
      <c r="I1736"/>
      <c r="J1736"/>
    </row>
    <row r="1737" spans="6:10">
      <c r="F1737"/>
      <c r="G1737"/>
      <c r="H1737"/>
      <c r="I1737"/>
      <c r="J1737"/>
    </row>
    <row r="1738" spans="6:10">
      <c r="F1738"/>
      <c r="G1738"/>
      <c r="H1738"/>
      <c r="I1738"/>
      <c r="J1738"/>
    </row>
    <row r="1739" spans="6:10">
      <c r="F1739"/>
      <c r="G1739"/>
      <c r="H1739"/>
      <c r="I1739"/>
      <c r="J1739"/>
    </row>
    <row r="1740" spans="6:10">
      <c r="F1740"/>
      <c r="G1740"/>
      <c r="H1740"/>
      <c r="I1740"/>
      <c r="J1740"/>
    </row>
    <row r="1741" spans="6:10">
      <c r="F1741"/>
      <c r="G1741"/>
      <c r="H1741"/>
      <c r="I1741"/>
      <c r="J1741"/>
    </row>
    <row r="1742" spans="6:10">
      <c r="F1742"/>
      <c r="G1742"/>
      <c r="H1742"/>
      <c r="I1742"/>
      <c r="J1742"/>
    </row>
    <row r="1743" spans="6:10">
      <c r="F1743"/>
      <c r="G1743"/>
      <c r="H1743"/>
      <c r="I1743"/>
      <c r="J1743"/>
    </row>
    <row r="1744" spans="6:10">
      <c r="F1744"/>
      <c r="G1744"/>
      <c r="H1744"/>
      <c r="I1744"/>
      <c r="J1744"/>
    </row>
    <row r="1745" spans="6:10">
      <c r="F1745"/>
      <c r="G1745"/>
      <c r="H1745"/>
      <c r="I1745"/>
      <c r="J1745"/>
    </row>
    <row r="1746" spans="6:10">
      <c r="F1746"/>
      <c r="G1746"/>
      <c r="H1746"/>
      <c r="I1746"/>
      <c r="J1746"/>
    </row>
    <row r="1747" spans="6:10">
      <c r="F1747"/>
      <c r="G1747"/>
      <c r="H1747"/>
      <c r="I1747"/>
      <c r="J1747"/>
    </row>
    <row r="1748" spans="6:10">
      <c r="F1748"/>
      <c r="G1748"/>
      <c r="H1748"/>
      <c r="I1748"/>
      <c r="J1748"/>
    </row>
    <row r="1749" spans="6:10">
      <c r="F1749"/>
      <c r="G1749"/>
      <c r="H1749"/>
      <c r="I1749"/>
      <c r="J1749"/>
    </row>
    <row r="1750" spans="6:10">
      <c r="F1750"/>
      <c r="G1750"/>
      <c r="H1750"/>
      <c r="I1750"/>
      <c r="J1750"/>
    </row>
    <row r="1751" spans="6:10">
      <c r="F1751"/>
      <c r="G1751"/>
      <c r="H1751"/>
      <c r="I1751"/>
      <c r="J1751"/>
    </row>
    <row r="1752" spans="6:10">
      <c r="F1752"/>
      <c r="G1752"/>
      <c r="H1752"/>
      <c r="I1752"/>
      <c r="J1752"/>
    </row>
    <row r="1753" spans="6:10">
      <c r="F1753"/>
      <c r="G1753"/>
      <c r="H1753"/>
      <c r="I1753"/>
      <c r="J1753"/>
    </row>
    <row r="1754" spans="6:10">
      <c r="F1754"/>
      <c r="G1754"/>
      <c r="H1754"/>
      <c r="I1754"/>
      <c r="J1754"/>
    </row>
    <row r="1755" spans="6:10">
      <c r="F1755"/>
      <c r="G1755"/>
      <c r="H1755"/>
      <c r="I1755"/>
      <c r="J1755"/>
    </row>
    <row r="1756" spans="6:10">
      <c r="F1756"/>
      <c r="G1756"/>
      <c r="H1756"/>
      <c r="I1756"/>
      <c r="J1756"/>
    </row>
    <row r="1757" spans="6:10">
      <c r="F1757"/>
      <c r="G1757"/>
      <c r="H1757"/>
      <c r="I1757"/>
      <c r="J1757"/>
    </row>
    <row r="1758" spans="6:10">
      <c r="F1758"/>
      <c r="G1758"/>
      <c r="H1758"/>
      <c r="I1758"/>
      <c r="J1758"/>
    </row>
    <row r="1759" spans="6:10">
      <c r="F1759"/>
      <c r="G1759"/>
      <c r="H1759"/>
      <c r="I1759"/>
      <c r="J1759"/>
    </row>
    <row r="1760" spans="6:10">
      <c r="F1760"/>
      <c r="G1760"/>
      <c r="H1760"/>
      <c r="I1760"/>
      <c r="J1760"/>
    </row>
    <row r="1761" spans="6:10">
      <c r="F1761"/>
      <c r="G1761"/>
      <c r="H1761"/>
      <c r="I1761"/>
      <c r="J1761"/>
    </row>
    <row r="1762" spans="6:10">
      <c r="F1762"/>
      <c r="G1762"/>
      <c r="H1762"/>
      <c r="I1762"/>
      <c r="J1762"/>
    </row>
    <row r="1763" spans="6:10">
      <c r="F1763"/>
      <c r="G1763"/>
      <c r="H1763"/>
      <c r="I1763"/>
      <c r="J1763"/>
    </row>
    <row r="1764" spans="6:10">
      <c r="F1764"/>
      <c r="G1764"/>
      <c r="H1764"/>
      <c r="I1764"/>
      <c r="J1764"/>
    </row>
    <row r="1765" spans="6:10">
      <c r="F1765"/>
      <c r="G1765"/>
      <c r="H1765"/>
      <c r="I1765"/>
      <c r="J1765"/>
    </row>
    <row r="1766" spans="6:10">
      <c r="F1766"/>
      <c r="G1766"/>
      <c r="H1766"/>
      <c r="I1766"/>
      <c r="J1766"/>
    </row>
    <row r="1767" spans="6:10">
      <c r="F1767"/>
      <c r="G1767"/>
      <c r="H1767"/>
      <c r="I1767"/>
      <c r="J1767"/>
    </row>
    <row r="1768" spans="6:10">
      <c r="F1768"/>
      <c r="G1768"/>
      <c r="H1768"/>
      <c r="I1768"/>
      <c r="J1768"/>
    </row>
    <row r="1769" spans="6:10">
      <c r="F1769"/>
      <c r="G1769"/>
      <c r="H1769"/>
      <c r="I1769"/>
      <c r="J1769"/>
    </row>
    <row r="1770" spans="6:10">
      <c r="F1770"/>
      <c r="G1770"/>
      <c r="H1770"/>
      <c r="I1770"/>
      <c r="J1770"/>
    </row>
    <row r="1771" spans="6:10">
      <c r="F1771"/>
      <c r="G1771"/>
      <c r="H1771"/>
      <c r="I1771"/>
      <c r="J1771"/>
    </row>
    <row r="1772" spans="6:10">
      <c r="F1772"/>
      <c r="G1772"/>
      <c r="H1772"/>
      <c r="I1772"/>
      <c r="J1772"/>
    </row>
    <row r="1773" spans="6:10">
      <c r="F1773"/>
      <c r="G1773"/>
      <c r="H1773"/>
      <c r="I1773"/>
      <c r="J1773"/>
    </row>
    <row r="1774" spans="6:10">
      <c r="F1774"/>
      <c r="G1774"/>
      <c r="H1774"/>
      <c r="I1774"/>
      <c r="J1774"/>
    </row>
    <row r="1775" spans="6:10">
      <c r="F1775"/>
      <c r="G1775"/>
      <c r="H1775"/>
      <c r="I1775"/>
      <c r="J1775"/>
    </row>
    <row r="1776" spans="6:10">
      <c r="F1776"/>
      <c r="G1776"/>
      <c r="H1776"/>
      <c r="I1776"/>
      <c r="J1776"/>
    </row>
    <row r="1777" spans="6:10">
      <c r="F1777"/>
      <c r="G1777"/>
      <c r="H1777"/>
      <c r="I1777"/>
      <c r="J1777"/>
    </row>
    <row r="1778" spans="6:10">
      <c r="F1778"/>
      <c r="G1778"/>
      <c r="H1778"/>
      <c r="I1778"/>
      <c r="J1778"/>
    </row>
    <row r="1779" spans="6:10">
      <c r="F1779"/>
      <c r="G1779"/>
      <c r="H1779"/>
      <c r="I1779"/>
      <c r="J1779"/>
    </row>
    <row r="1780" spans="6:10">
      <c r="F1780"/>
      <c r="G1780"/>
      <c r="H1780"/>
      <c r="I1780"/>
      <c r="J1780"/>
    </row>
    <row r="1781" spans="6:10">
      <c r="F1781"/>
      <c r="G1781"/>
      <c r="H1781"/>
      <c r="I1781"/>
      <c r="J1781"/>
    </row>
    <row r="1782" spans="6:10">
      <c r="F1782"/>
      <c r="G1782"/>
      <c r="H1782"/>
      <c r="I1782"/>
      <c r="J1782"/>
    </row>
    <row r="1783" spans="6:10">
      <c r="F1783"/>
      <c r="G1783"/>
      <c r="H1783"/>
      <c r="I1783"/>
      <c r="J1783"/>
    </row>
    <row r="1784" spans="6:10">
      <c r="F1784"/>
      <c r="G1784"/>
      <c r="H1784"/>
      <c r="I1784"/>
      <c r="J1784"/>
    </row>
    <row r="1785" spans="6:10">
      <c r="F1785"/>
      <c r="G1785"/>
      <c r="H1785"/>
      <c r="I1785"/>
      <c r="J1785"/>
    </row>
    <row r="1786" spans="6:10">
      <c r="F1786"/>
      <c r="G1786"/>
      <c r="H1786"/>
      <c r="I1786"/>
      <c r="J1786"/>
    </row>
    <row r="1787" spans="6:10">
      <c r="F1787"/>
      <c r="G1787"/>
      <c r="H1787"/>
      <c r="I1787"/>
      <c r="J1787"/>
    </row>
    <row r="1788" spans="6:10">
      <c r="F1788"/>
      <c r="G1788"/>
      <c r="H1788"/>
      <c r="I1788"/>
      <c r="J1788"/>
    </row>
    <row r="1789" spans="6:10">
      <c r="F1789"/>
      <c r="G1789"/>
      <c r="H1789"/>
      <c r="I1789"/>
      <c r="J1789"/>
    </row>
    <row r="1790" spans="6:10">
      <c r="F1790"/>
      <c r="G1790"/>
      <c r="H1790"/>
      <c r="I1790"/>
      <c r="J1790"/>
    </row>
    <row r="1791" spans="6:10">
      <c r="F1791"/>
      <c r="G1791"/>
      <c r="H1791"/>
      <c r="I1791"/>
      <c r="J1791"/>
    </row>
    <row r="1792" spans="6:10">
      <c r="F1792"/>
      <c r="G1792"/>
      <c r="H1792"/>
      <c r="I1792"/>
      <c r="J1792"/>
    </row>
    <row r="1793" spans="6:10">
      <c r="F1793"/>
      <c r="G1793"/>
      <c r="H1793"/>
      <c r="I1793"/>
      <c r="J1793"/>
    </row>
    <row r="1794" spans="6:10">
      <c r="F1794"/>
      <c r="G1794"/>
      <c r="H1794"/>
      <c r="I1794"/>
      <c r="J1794"/>
    </row>
    <row r="1795" spans="6:10">
      <c r="F1795"/>
      <c r="G1795"/>
      <c r="H1795"/>
      <c r="I1795"/>
      <c r="J1795"/>
    </row>
    <row r="1796" spans="6:10">
      <c r="F1796"/>
      <c r="G1796"/>
      <c r="H1796"/>
      <c r="I1796"/>
      <c r="J1796"/>
    </row>
    <row r="1797" spans="6:10">
      <c r="F1797"/>
      <c r="G1797"/>
      <c r="H1797"/>
      <c r="I1797"/>
      <c r="J1797"/>
    </row>
    <row r="1798" spans="6:10">
      <c r="F1798"/>
      <c r="G1798"/>
      <c r="H1798"/>
      <c r="I1798"/>
      <c r="J1798"/>
    </row>
    <row r="1799" spans="6:10">
      <c r="F1799"/>
      <c r="G1799"/>
      <c r="H1799"/>
      <c r="I1799"/>
      <c r="J1799"/>
    </row>
    <row r="1800" spans="6:10">
      <c r="F1800"/>
      <c r="G1800"/>
      <c r="H1800"/>
      <c r="I1800"/>
      <c r="J1800"/>
    </row>
    <row r="1801" spans="6:10">
      <c r="F1801"/>
      <c r="G1801"/>
      <c r="H1801"/>
      <c r="I1801"/>
      <c r="J1801"/>
    </row>
    <row r="1802" spans="6:10">
      <c r="F1802"/>
      <c r="G1802"/>
      <c r="H1802"/>
      <c r="I1802"/>
      <c r="J1802"/>
    </row>
    <row r="1803" spans="6:10">
      <c r="F1803"/>
      <c r="G1803"/>
      <c r="H1803"/>
      <c r="I1803"/>
      <c r="J1803"/>
    </row>
    <row r="1804" spans="6:10">
      <c r="F1804"/>
      <c r="G1804"/>
      <c r="H1804"/>
      <c r="I1804"/>
      <c r="J1804"/>
    </row>
    <row r="1805" spans="6:10">
      <c r="F1805"/>
      <c r="G1805"/>
      <c r="H1805"/>
      <c r="I1805"/>
      <c r="J1805"/>
    </row>
    <row r="1806" spans="6:10">
      <c r="F1806"/>
      <c r="G1806"/>
      <c r="H1806"/>
      <c r="I1806"/>
      <c r="J1806"/>
    </row>
    <row r="1807" spans="6:10">
      <c r="F1807"/>
      <c r="G1807"/>
      <c r="H1807"/>
      <c r="I1807"/>
      <c r="J1807"/>
    </row>
    <row r="1808" spans="6:10">
      <c r="F1808"/>
      <c r="G1808"/>
      <c r="H1808"/>
      <c r="I1808"/>
      <c r="J1808"/>
    </row>
    <row r="1809" spans="6:10">
      <c r="F1809"/>
      <c r="G1809"/>
      <c r="H1809"/>
      <c r="I1809"/>
      <c r="J1809"/>
    </row>
    <row r="1810" spans="6:10">
      <c r="F1810"/>
      <c r="G1810"/>
      <c r="H1810"/>
      <c r="I1810"/>
      <c r="J1810"/>
    </row>
    <row r="1811" spans="6:10">
      <c r="F1811"/>
      <c r="G1811"/>
      <c r="H1811"/>
      <c r="I1811"/>
      <c r="J1811"/>
    </row>
    <row r="1812" spans="6:10">
      <c r="F1812"/>
      <c r="G1812"/>
      <c r="H1812"/>
      <c r="I1812"/>
      <c r="J1812"/>
    </row>
    <row r="1813" spans="6:10">
      <c r="F1813"/>
      <c r="G1813"/>
      <c r="H1813"/>
      <c r="I1813"/>
      <c r="J1813"/>
    </row>
    <row r="1814" spans="6:10">
      <c r="F1814"/>
      <c r="G1814"/>
      <c r="H1814"/>
      <c r="I1814"/>
      <c r="J1814"/>
    </row>
    <row r="1815" spans="6:10">
      <c r="F1815"/>
      <c r="G1815"/>
      <c r="H1815"/>
      <c r="I1815"/>
      <c r="J1815"/>
    </row>
    <row r="1816" spans="6:10">
      <c r="F1816"/>
      <c r="G1816"/>
      <c r="H1816"/>
      <c r="I1816"/>
      <c r="J1816"/>
    </row>
    <row r="1817" spans="6:10">
      <c r="F1817"/>
      <c r="G1817"/>
      <c r="H1817"/>
      <c r="I1817"/>
      <c r="J1817"/>
    </row>
    <row r="1818" spans="6:10">
      <c r="F1818"/>
      <c r="G1818"/>
      <c r="H1818"/>
      <c r="I1818"/>
      <c r="J1818"/>
    </row>
    <row r="1819" spans="6:10">
      <c r="F1819"/>
      <c r="G1819"/>
      <c r="H1819"/>
      <c r="I1819"/>
      <c r="J1819"/>
    </row>
    <row r="1820" spans="6:10">
      <c r="F1820"/>
      <c r="G1820"/>
      <c r="H1820"/>
      <c r="I1820"/>
      <c r="J1820"/>
    </row>
    <row r="1821" spans="6:10">
      <c r="F1821"/>
      <c r="G1821"/>
      <c r="H1821"/>
      <c r="I1821"/>
      <c r="J1821"/>
    </row>
    <row r="1822" spans="6:10">
      <c r="F1822"/>
      <c r="G1822"/>
      <c r="H1822"/>
      <c r="I1822"/>
      <c r="J1822"/>
    </row>
    <row r="1823" spans="6:10">
      <c r="F1823"/>
      <c r="G1823"/>
      <c r="H1823"/>
      <c r="I1823"/>
      <c r="J1823"/>
    </row>
    <row r="1824" spans="6:10">
      <c r="F1824"/>
      <c r="G1824"/>
      <c r="H1824"/>
      <c r="I1824"/>
      <c r="J1824"/>
    </row>
    <row r="1825" spans="6:10">
      <c r="F1825"/>
      <c r="G1825"/>
      <c r="H1825"/>
      <c r="I1825"/>
      <c r="J1825"/>
    </row>
    <row r="1826" spans="6:10">
      <c r="F1826"/>
      <c r="G1826"/>
      <c r="H1826"/>
      <c r="I1826"/>
      <c r="J1826"/>
    </row>
    <row r="1827" spans="6:10">
      <c r="F1827"/>
      <c r="G1827"/>
      <c r="H1827"/>
      <c r="I1827"/>
      <c r="J1827"/>
    </row>
    <row r="1828" spans="6:10">
      <c r="F1828"/>
      <c r="G1828"/>
      <c r="H1828"/>
      <c r="I1828"/>
      <c r="J1828"/>
    </row>
    <row r="1829" spans="6:10">
      <c r="F1829"/>
      <c r="G1829"/>
      <c r="H1829"/>
      <c r="I1829"/>
      <c r="J1829"/>
    </row>
    <row r="1830" spans="6:10">
      <c r="F1830"/>
      <c r="G1830"/>
      <c r="H1830"/>
      <c r="I1830"/>
      <c r="J1830"/>
    </row>
    <row r="1831" spans="6:10">
      <c r="F1831"/>
      <c r="G1831"/>
      <c r="H1831"/>
      <c r="I1831"/>
      <c r="J1831"/>
    </row>
    <row r="1832" spans="6:10">
      <c r="F1832"/>
      <c r="G1832"/>
      <c r="H1832"/>
      <c r="I1832"/>
      <c r="J1832"/>
    </row>
    <row r="1833" spans="6:10">
      <c r="F1833"/>
      <c r="G1833"/>
      <c r="H1833"/>
      <c r="I1833"/>
      <c r="J1833"/>
    </row>
    <row r="1834" spans="6:10">
      <c r="F1834"/>
      <c r="G1834"/>
      <c r="H1834"/>
      <c r="I1834"/>
      <c r="J1834"/>
    </row>
    <row r="1835" spans="6:10">
      <c r="F1835"/>
      <c r="G1835"/>
      <c r="H1835"/>
      <c r="I1835"/>
      <c r="J1835"/>
    </row>
    <row r="1836" spans="6:10">
      <c r="F1836"/>
      <c r="G1836"/>
      <c r="H1836"/>
      <c r="I1836"/>
      <c r="J1836"/>
    </row>
    <row r="1837" spans="6:10">
      <c r="F1837"/>
      <c r="G1837"/>
      <c r="H1837"/>
      <c r="I1837"/>
      <c r="J1837"/>
    </row>
    <row r="1838" spans="6:10">
      <c r="F1838"/>
      <c r="G1838"/>
      <c r="H1838"/>
      <c r="I1838"/>
      <c r="J1838"/>
    </row>
    <row r="1839" spans="6:10">
      <c r="F1839"/>
      <c r="G1839"/>
      <c r="H1839"/>
      <c r="I1839"/>
      <c r="J1839"/>
    </row>
    <row r="1840" spans="6:10">
      <c r="F1840"/>
      <c r="G1840"/>
      <c r="H1840"/>
      <c r="I1840"/>
      <c r="J1840"/>
    </row>
    <row r="1841" spans="6:10">
      <c r="F1841"/>
      <c r="G1841"/>
      <c r="H1841"/>
      <c r="I1841"/>
      <c r="J1841"/>
    </row>
    <row r="1842" spans="6:10">
      <c r="F1842"/>
      <c r="G1842"/>
      <c r="H1842"/>
      <c r="I1842"/>
      <c r="J1842"/>
    </row>
    <row r="1843" spans="6:10">
      <c r="F1843"/>
      <c r="G1843"/>
      <c r="H1843"/>
      <c r="I1843"/>
      <c r="J1843"/>
    </row>
    <row r="1844" spans="6:10">
      <c r="F1844"/>
      <c r="G1844"/>
      <c r="H1844"/>
      <c r="I1844"/>
      <c r="J1844"/>
    </row>
    <row r="1845" spans="6:10">
      <c r="F1845"/>
      <c r="G1845"/>
      <c r="H1845"/>
      <c r="I1845"/>
      <c r="J1845"/>
    </row>
    <row r="1846" spans="6:10">
      <c r="F1846"/>
      <c r="G1846"/>
      <c r="H1846"/>
      <c r="I1846"/>
      <c r="J1846"/>
    </row>
    <row r="1847" spans="6:10">
      <c r="F1847"/>
      <c r="G1847"/>
      <c r="H1847"/>
      <c r="I1847"/>
      <c r="J1847"/>
    </row>
    <row r="1848" spans="6:10">
      <c r="F1848"/>
      <c r="G1848"/>
      <c r="H1848"/>
      <c r="I1848"/>
      <c r="J1848"/>
    </row>
    <row r="1849" spans="6:10">
      <c r="F1849"/>
      <c r="G1849"/>
      <c r="H1849"/>
      <c r="I1849"/>
      <c r="J1849"/>
    </row>
    <row r="1850" spans="6:10">
      <c r="F1850"/>
      <c r="G1850"/>
      <c r="H1850"/>
      <c r="I1850"/>
      <c r="J1850"/>
    </row>
    <row r="1851" spans="6:10">
      <c r="F1851"/>
      <c r="G1851"/>
      <c r="H1851"/>
      <c r="I1851"/>
      <c r="J1851"/>
    </row>
    <row r="1852" spans="6:10">
      <c r="F1852"/>
      <c r="G1852"/>
      <c r="H1852"/>
      <c r="I1852"/>
      <c r="J1852"/>
    </row>
    <row r="1853" spans="6:10">
      <c r="F1853"/>
      <c r="G1853"/>
      <c r="H1853"/>
      <c r="I1853"/>
      <c r="J1853"/>
    </row>
    <row r="1854" spans="6:10">
      <c r="F1854"/>
      <c r="G1854"/>
      <c r="H1854"/>
      <c r="I1854"/>
      <c r="J1854"/>
    </row>
    <row r="1855" spans="6:10">
      <c r="F1855"/>
      <c r="G1855"/>
      <c r="H1855"/>
      <c r="I1855"/>
      <c r="J1855"/>
    </row>
    <row r="1856" spans="6:10">
      <c r="F1856"/>
      <c r="G1856"/>
      <c r="H1856"/>
      <c r="I1856"/>
      <c r="J1856"/>
    </row>
    <row r="1857" spans="6:10">
      <c r="F1857"/>
      <c r="G1857"/>
      <c r="H1857"/>
      <c r="I1857"/>
      <c r="J1857"/>
    </row>
    <row r="1858" spans="6:10">
      <c r="F1858"/>
      <c r="G1858"/>
      <c r="H1858"/>
      <c r="I1858"/>
      <c r="J1858"/>
    </row>
    <row r="1859" spans="6:10">
      <c r="F1859"/>
      <c r="G1859"/>
      <c r="H1859"/>
      <c r="I1859"/>
      <c r="J1859"/>
    </row>
    <row r="1860" spans="6:10">
      <c r="F1860"/>
      <c r="G1860"/>
      <c r="H1860"/>
      <c r="I1860"/>
      <c r="J1860"/>
    </row>
    <row r="1861" spans="6:10">
      <c r="F1861"/>
      <c r="G1861"/>
      <c r="H1861"/>
      <c r="I1861"/>
      <c r="J1861"/>
    </row>
    <row r="1862" spans="6:10">
      <c r="F1862"/>
      <c r="G1862"/>
      <c r="H1862"/>
      <c r="I1862"/>
      <c r="J1862"/>
    </row>
    <row r="1863" spans="6:10">
      <c r="F1863"/>
      <c r="G1863"/>
      <c r="H1863"/>
      <c r="I1863"/>
      <c r="J1863"/>
    </row>
    <row r="1864" spans="6:10">
      <c r="F1864"/>
      <c r="G1864"/>
      <c r="H1864"/>
      <c r="I1864"/>
      <c r="J1864"/>
    </row>
    <row r="1865" spans="6:10">
      <c r="F1865"/>
      <c r="G1865"/>
      <c r="H1865"/>
      <c r="I1865"/>
      <c r="J1865"/>
    </row>
    <row r="1866" spans="6:10">
      <c r="F1866"/>
      <c r="G1866"/>
      <c r="H1866"/>
      <c r="I1866"/>
      <c r="J1866"/>
    </row>
    <row r="1867" spans="6:10">
      <c r="F1867"/>
      <c r="G1867"/>
      <c r="H1867"/>
      <c r="I1867"/>
      <c r="J1867"/>
    </row>
    <row r="1868" spans="6:10">
      <c r="F1868"/>
      <c r="G1868"/>
      <c r="H1868"/>
      <c r="I1868"/>
      <c r="J1868"/>
    </row>
    <row r="1869" spans="6:10">
      <c r="F1869"/>
      <c r="G1869"/>
      <c r="H1869"/>
      <c r="I1869"/>
      <c r="J1869"/>
    </row>
    <row r="1870" spans="6:10">
      <c r="F1870"/>
      <c r="G1870"/>
      <c r="H1870"/>
      <c r="I1870"/>
      <c r="J1870"/>
    </row>
    <row r="1871" spans="6:10">
      <c r="F1871"/>
      <c r="G1871"/>
      <c r="H1871"/>
      <c r="I1871"/>
      <c r="J1871"/>
    </row>
    <row r="1872" spans="6:10">
      <c r="F1872"/>
      <c r="G1872"/>
      <c r="H1872"/>
      <c r="I1872"/>
      <c r="J1872"/>
    </row>
    <row r="1873" spans="6:10">
      <c r="F1873"/>
      <c r="G1873"/>
      <c r="H1873"/>
      <c r="I1873"/>
      <c r="J1873"/>
    </row>
    <row r="1874" spans="6:10">
      <c r="F1874"/>
      <c r="G1874"/>
      <c r="H1874"/>
      <c r="I1874"/>
      <c r="J1874"/>
    </row>
    <row r="1875" spans="6:10">
      <c r="F1875"/>
      <c r="G1875"/>
      <c r="H1875"/>
      <c r="I1875"/>
      <c r="J1875"/>
    </row>
    <row r="1876" spans="6:10">
      <c r="F1876"/>
      <c r="G1876"/>
      <c r="H1876"/>
      <c r="I1876"/>
      <c r="J1876"/>
    </row>
    <row r="1877" spans="6:10">
      <c r="F1877"/>
      <c r="G1877"/>
      <c r="H1877"/>
      <c r="I1877"/>
      <c r="J1877"/>
    </row>
    <row r="1878" spans="6:10">
      <c r="F1878"/>
      <c r="G1878"/>
      <c r="H1878"/>
      <c r="I1878"/>
      <c r="J1878"/>
    </row>
    <row r="1879" spans="6:10">
      <c r="F1879"/>
      <c r="G1879"/>
      <c r="H1879"/>
      <c r="I1879"/>
      <c r="J1879"/>
    </row>
    <row r="1880" spans="6:10">
      <c r="F1880"/>
      <c r="G1880"/>
      <c r="H1880"/>
      <c r="I1880"/>
      <c r="J1880"/>
    </row>
    <row r="1881" spans="6:10">
      <c r="F1881"/>
      <c r="G1881"/>
      <c r="H1881"/>
      <c r="I1881"/>
      <c r="J1881"/>
    </row>
    <row r="1882" spans="6:10">
      <c r="F1882"/>
      <c r="G1882"/>
      <c r="H1882"/>
      <c r="I1882"/>
      <c r="J1882"/>
    </row>
    <row r="1883" spans="6:10">
      <c r="F1883"/>
      <c r="G1883"/>
      <c r="H1883"/>
      <c r="I1883"/>
      <c r="J1883"/>
    </row>
    <row r="1884" spans="6:10">
      <c r="F1884"/>
      <c r="G1884"/>
      <c r="H1884"/>
      <c r="I1884"/>
      <c r="J1884"/>
    </row>
    <row r="1885" spans="6:10">
      <c r="F1885"/>
      <c r="G1885"/>
      <c r="H1885"/>
      <c r="I1885"/>
      <c r="J1885"/>
    </row>
    <row r="1886" spans="6:10">
      <c r="F1886"/>
      <c r="G1886"/>
      <c r="H1886"/>
      <c r="I1886"/>
      <c r="J1886"/>
    </row>
    <row r="1887" spans="6:10">
      <c r="F1887"/>
      <c r="G1887"/>
      <c r="H1887"/>
      <c r="I1887"/>
      <c r="J1887"/>
    </row>
    <row r="1888" spans="6:10">
      <c r="F1888"/>
      <c r="G1888"/>
      <c r="H1888"/>
      <c r="I1888"/>
      <c r="J1888"/>
    </row>
    <row r="1889" spans="6:10">
      <c r="F1889"/>
      <c r="G1889"/>
      <c r="H1889"/>
      <c r="I1889"/>
      <c r="J1889"/>
    </row>
    <row r="1890" spans="6:10">
      <c r="F1890"/>
      <c r="G1890"/>
      <c r="H1890"/>
      <c r="I1890"/>
      <c r="J1890"/>
    </row>
    <row r="1891" spans="6:10">
      <c r="F1891"/>
      <c r="G1891"/>
      <c r="H1891"/>
      <c r="I1891"/>
      <c r="J1891"/>
    </row>
    <row r="1892" spans="6:10">
      <c r="F1892"/>
      <c r="G1892"/>
      <c r="H1892"/>
      <c r="I1892"/>
      <c r="J1892"/>
    </row>
    <row r="1893" spans="6:10">
      <c r="F1893"/>
      <c r="G1893"/>
      <c r="H1893"/>
      <c r="I1893"/>
      <c r="J1893"/>
    </row>
    <row r="1894" spans="6:10">
      <c r="F1894"/>
      <c r="G1894"/>
      <c r="H1894"/>
      <c r="I1894"/>
      <c r="J1894"/>
    </row>
    <row r="1895" spans="6:10">
      <c r="F1895"/>
      <c r="G1895"/>
      <c r="H1895"/>
      <c r="I1895"/>
      <c r="J1895"/>
    </row>
    <row r="1896" spans="6:10">
      <c r="F1896"/>
      <c r="G1896"/>
      <c r="H1896"/>
      <c r="I1896"/>
      <c r="J1896"/>
    </row>
    <row r="1897" spans="6:10">
      <c r="F1897"/>
      <c r="G1897"/>
      <c r="H1897"/>
      <c r="I1897"/>
      <c r="J1897"/>
    </row>
    <row r="1898" spans="6:10">
      <c r="F1898"/>
      <c r="G1898"/>
      <c r="H1898"/>
      <c r="I1898"/>
      <c r="J1898"/>
    </row>
    <row r="1899" spans="6:10">
      <c r="F1899"/>
      <c r="G1899"/>
      <c r="H1899"/>
      <c r="I1899"/>
      <c r="J1899"/>
    </row>
    <row r="1900" spans="6:10">
      <c r="F1900"/>
      <c r="G1900"/>
      <c r="H1900"/>
      <c r="I1900"/>
      <c r="J1900"/>
    </row>
    <row r="1901" spans="6:10">
      <c r="F1901"/>
      <c r="G1901"/>
      <c r="H1901"/>
      <c r="I1901"/>
      <c r="J1901"/>
    </row>
    <row r="1902" spans="6:10">
      <c r="F1902"/>
      <c r="G1902"/>
      <c r="H1902"/>
      <c r="I1902"/>
      <c r="J1902"/>
    </row>
    <row r="1903" spans="6:10">
      <c r="F1903"/>
      <c r="G1903"/>
      <c r="H1903"/>
      <c r="I1903"/>
      <c r="J1903"/>
    </row>
    <row r="1904" spans="6:10">
      <c r="F1904"/>
      <c r="G1904"/>
      <c r="H1904"/>
      <c r="I1904"/>
      <c r="J1904"/>
    </row>
    <row r="1905" spans="6:10">
      <c r="F1905"/>
      <c r="G1905"/>
      <c r="H1905"/>
      <c r="I1905"/>
      <c r="J1905"/>
    </row>
    <row r="1906" spans="6:10">
      <c r="F1906"/>
      <c r="G1906"/>
      <c r="H1906"/>
      <c r="I1906"/>
      <c r="J1906"/>
    </row>
    <row r="1907" spans="6:10">
      <c r="F1907"/>
      <c r="G1907"/>
      <c r="H1907"/>
      <c r="I1907"/>
      <c r="J1907"/>
    </row>
    <row r="1908" spans="6:10">
      <c r="F1908"/>
      <c r="G1908"/>
      <c r="H1908"/>
      <c r="I1908"/>
      <c r="J1908"/>
    </row>
    <row r="1909" spans="6:10">
      <c r="F1909"/>
      <c r="G1909"/>
      <c r="H1909"/>
      <c r="I1909"/>
      <c r="J1909"/>
    </row>
    <row r="1910" spans="6:10">
      <c r="F1910"/>
      <c r="G1910"/>
      <c r="H1910"/>
      <c r="I1910"/>
      <c r="J1910"/>
    </row>
    <row r="1911" spans="6:10">
      <c r="F1911"/>
      <c r="G1911"/>
      <c r="H1911"/>
      <c r="I1911"/>
      <c r="J1911"/>
    </row>
    <row r="1912" spans="6:10">
      <c r="F1912"/>
      <c r="G1912"/>
      <c r="H1912"/>
      <c r="I1912"/>
      <c r="J1912"/>
    </row>
    <row r="1913" spans="6:10">
      <c r="F1913"/>
      <c r="G1913"/>
      <c r="H1913"/>
      <c r="I1913"/>
      <c r="J1913"/>
    </row>
    <row r="1914" spans="6:10">
      <c r="F1914"/>
      <c r="G1914"/>
      <c r="H1914"/>
      <c r="I1914"/>
      <c r="J1914"/>
    </row>
    <row r="1915" spans="6:10">
      <c r="F1915"/>
      <c r="G1915"/>
      <c r="H1915"/>
      <c r="I1915"/>
      <c r="J1915"/>
    </row>
    <row r="1916" spans="6:10">
      <c r="F1916"/>
      <c r="G1916"/>
      <c r="H1916"/>
      <c r="I1916"/>
      <c r="J1916"/>
    </row>
    <row r="1917" spans="6:10">
      <c r="F1917"/>
      <c r="G1917"/>
      <c r="H1917"/>
      <c r="I1917"/>
      <c r="J1917"/>
    </row>
    <row r="1918" spans="6:10">
      <c r="F1918"/>
      <c r="G1918"/>
      <c r="H1918"/>
      <c r="I1918"/>
      <c r="J1918"/>
    </row>
    <row r="1919" spans="6:10">
      <c r="F1919"/>
      <c r="G1919"/>
      <c r="H1919"/>
      <c r="I1919"/>
      <c r="J1919"/>
    </row>
    <row r="1920" spans="6:10">
      <c r="F1920"/>
      <c r="G1920"/>
      <c r="H1920"/>
      <c r="I1920"/>
      <c r="J1920"/>
    </row>
    <row r="1921" spans="6:10">
      <c r="F1921"/>
      <c r="G1921"/>
      <c r="H1921"/>
      <c r="I1921"/>
      <c r="J1921"/>
    </row>
    <row r="1922" spans="6:10">
      <c r="F1922"/>
      <c r="G1922"/>
      <c r="H1922"/>
      <c r="I1922"/>
      <c r="J1922"/>
    </row>
    <row r="1923" spans="6:10">
      <c r="F1923"/>
      <c r="G1923"/>
      <c r="H1923"/>
      <c r="I1923"/>
      <c r="J1923"/>
    </row>
    <row r="1924" spans="6:10">
      <c r="F1924"/>
      <c r="G1924"/>
      <c r="H1924"/>
      <c r="I1924"/>
      <c r="J1924"/>
    </row>
    <row r="1925" spans="6:10">
      <c r="F1925"/>
      <c r="G1925"/>
      <c r="H1925"/>
      <c r="I1925"/>
      <c r="J1925"/>
    </row>
    <row r="1926" spans="6:10">
      <c r="F1926"/>
      <c r="G1926"/>
      <c r="H1926"/>
      <c r="I1926"/>
      <c r="J1926"/>
    </row>
    <row r="1927" spans="6:10">
      <c r="F1927"/>
      <c r="G1927"/>
      <c r="H1927"/>
      <c r="I1927"/>
      <c r="J1927"/>
    </row>
    <row r="1928" spans="6:10">
      <c r="F1928"/>
      <c r="G1928"/>
      <c r="H1928"/>
      <c r="I1928"/>
      <c r="J1928"/>
    </row>
    <row r="1929" spans="6:10">
      <c r="F1929"/>
      <c r="G1929"/>
      <c r="H1929"/>
      <c r="I1929"/>
      <c r="J1929"/>
    </row>
    <row r="1930" spans="6:10">
      <c r="F1930"/>
      <c r="G1930"/>
      <c r="H1930"/>
      <c r="I1930"/>
      <c r="J1930"/>
    </row>
    <row r="1931" spans="6:10">
      <c r="F1931"/>
      <c r="G1931"/>
      <c r="H1931"/>
      <c r="I1931"/>
      <c r="J1931"/>
    </row>
    <row r="1932" spans="6:10">
      <c r="F1932"/>
      <c r="G1932"/>
      <c r="H1932"/>
      <c r="I1932"/>
      <c r="J1932"/>
    </row>
    <row r="1933" spans="6:10">
      <c r="F1933"/>
      <c r="G1933"/>
      <c r="H1933"/>
      <c r="I1933"/>
      <c r="J1933"/>
    </row>
    <row r="1934" spans="6:10">
      <c r="F1934"/>
      <c r="G1934"/>
      <c r="H1934"/>
      <c r="I1934"/>
      <c r="J1934"/>
    </row>
    <row r="1935" spans="6:10">
      <c r="F1935"/>
      <c r="G1935"/>
      <c r="H1935"/>
      <c r="I1935"/>
      <c r="J1935"/>
    </row>
    <row r="1936" spans="6:10">
      <c r="F1936"/>
      <c r="G1936"/>
      <c r="H1936"/>
      <c r="I1936"/>
      <c r="J1936"/>
    </row>
    <row r="1937" spans="6:10">
      <c r="F1937"/>
      <c r="G1937"/>
      <c r="H1937"/>
      <c r="I1937"/>
      <c r="J1937"/>
    </row>
    <row r="1938" spans="6:10">
      <c r="F1938"/>
      <c r="G1938"/>
      <c r="H1938"/>
      <c r="I1938"/>
      <c r="J1938"/>
    </row>
    <row r="1939" spans="6:10">
      <c r="F1939"/>
      <c r="G1939"/>
      <c r="H1939"/>
      <c r="I1939"/>
      <c r="J1939"/>
    </row>
    <row r="1940" spans="6:10">
      <c r="F1940"/>
      <c r="G1940"/>
      <c r="H1940"/>
      <c r="I1940"/>
      <c r="J1940"/>
    </row>
    <row r="1941" spans="6:10">
      <c r="F1941"/>
      <c r="G1941"/>
      <c r="H1941"/>
      <c r="I1941"/>
      <c r="J1941"/>
    </row>
    <row r="1942" spans="6:10">
      <c r="F1942"/>
      <c r="G1942"/>
      <c r="H1942"/>
      <c r="I1942"/>
      <c r="J1942"/>
    </row>
    <row r="1943" spans="6:10">
      <c r="F1943"/>
      <c r="G1943"/>
      <c r="H1943"/>
      <c r="I1943"/>
      <c r="J1943"/>
    </row>
    <row r="1944" spans="6:10">
      <c r="F1944"/>
      <c r="G1944"/>
      <c r="H1944"/>
      <c r="I1944"/>
      <c r="J1944"/>
    </row>
    <row r="1945" spans="6:10">
      <c r="F1945"/>
      <c r="G1945"/>
      <c r="H1945"/>
      <c r="I1945"/>
      <c r="J1945"/>
    </row>
    <row r="1946" spans="6:10">
      <c r="F1946"/>
      <c r="G1946"/>
      <c r="H1946"/>
      <c r="I1946"/>
      <c r="J1946"/>
    </row>
    <row r="1947" spans="6:10">
      <c r="F1947"/>
      <c r="G1947"/>
      <c r="H1947"/>
      <c r="I1947"/>
      <c r="J1947"/>
    </row>
    <row r="1948" spans="6:10">
      <c r="F1948"/>
      <c r="G1948"/>
      <c r="H1948"/>
      <c r="I1948"/>
      <c r="J1948"/>
    </row>
    <row r="1949" spans="6:10">
      <c r="F1949"/>
      <c r="G1949"/>
      <c r="H1949"/>
      <c r="I1949"/>
      <c r="J1949"/>
    </row>
    <row r="1950" spans="6:10">
      <c r="F1950"/>
      <c r="G1950"/>
      <c r="H1950"/>
      <c r="I1950"/>
      <c r="J1950"/>
    </row>
    <row r="1951" spans="6:10">
      <c r="F1951"/>
      <c r="G1951"/>
      <c r="H1951"/>
      <c r="I1951"/>
      <c r="J1951"/>
    </row>
    <row r="1952" spans="6:10">
      <c r="F1952"/>
      <c r="G1952"/>
      <c r="H1952"/>
      <c r="I1952"/>
      <c r="J1952"/>
    </row>
    <row r="1953" spans="6:10">
      <c r="F1953"/>
      <c r="G1953"/>
      <c r="H1953"/>
      <c r="I1953"/>
      <c r="J1953"/>
    </row>
    <row r="1954" spans="6:10">
      <c r="F1954"/>
      <c r="G1954"/>
      <c r="H1954"/>
      <c r="I1954"/>
      <c r="J1954"/>
    </row>
    <row r="1955" spans="6:10">
      <c r="F1955"/>
      <c r="G1955"/>
      <c r="H1955"/>
      <c r="I1955"/>
      <c r="J1955"/>
    </row>
    <row r="1956" spans="6:10">
      <c r="F1956"/>
      <c r="G1956"/>
      <c r="H1956"/>
      <c r="I1956"/>
      <c r="J1956"/>
    </row>
    <row r="1957" spans="6:10">
      <c r="F1957"/>
      <c r="G1957"/>
      <c r="H1957"/>
      <c r="I1957"/>
      <c r="J1957"/>
    </row>
    <row r="1958" spans="6:10">
      <c r="F1958"/>
      <c r="G1958"/>
      <c r="H1958"/>
      <c r="I1958"/>
      <c r="J1958"/>
    </row>
    <row r="1959" spans="6:10">
      <c r="F1959"/>
      <c r="G1959"/>
      <c r="H1959"/>
      <c r="I1959"/>
      <c r="J1959"/>
    </row>
    <row r="1960" spans="6:10">
      <c r="F1960"/>
      <c r="G1960"/>
      <c r="H1960"/>
      <c r="I1960"/>
      <c r="J1960"/>
    </row>
    <row r="1961" spans="6:10">
      <c r="F1961"/>
      <c r="G1961"/>
      <c r="H1961"/>
      <c r="I1961"/>
      <c r="J1961"/>
    </row>
    <row r="1962" spans="6:10">
      <c r="F1962"/>
      <c r="G1962"/>
      <c r="H1962"/>
      <c r="I1962"/>
      <c r="J1962"/>
    </row>
    <row r="1963" spans="6:10">
      <c r="F1963"/>
      <c r="G1963"/>
      <c r="H1963"/>
      <c r="I1963"/>
      <c r="J1963"/>
    </row>
    <row r="1964" spans="6:10">
      <c r="F1964"/>
      <c r="G1964"/>
      <c r="H1964"/>
      <c r="I1964"/>
      <c r="J1964"/>
    </row>
    <row r="1965" spans="6:10">
      <c r="F1965"/>
      <c r="G1965"/>
      <c r="H1965"/>
      <c r="I1965"/>
      <c r="J1965"/>
    </row>
    <row r="1966" spans="6:10">
      <c r="F1966"/>
      <c r="G1966"/>
      <c r="H1966"/>
      <c r="I1966"/>
      <c r="J1966"/>
    </row>
    <row r="1967" spans="6:10">
      <c r="F1967"/>
      <c r="G1967"/>
      <c r="H1967"/>
      <c r="I1967"/>
      <c r="J1967"/>
    </row>
    <row r="1968" spans="6:10">
      <c r="F1968"/>
      <c r="G1968"/>
      <c r="H1968"/>
      <c r="I1968"/>
      <c r="J1968"/>
    </row>
    <row r="1969" spans="6:10">
      <c r="F1969"/>
      <c r="G1969"/>
      <c r="H1969"/>
      <c r="I1969"/>
      <c r="J1969"/>
    </row>
    <row r="1970" spans="6:10">
      <c r="F1970"/>
      <c r="G1970"/>
      <c r="H1970"/>
      <c r="I1970"/>
      <c r="J1970"/>
    </row>
    <row r="1971" spans="6:10">
      <c r="F1971"/>
      <c r="G1971"/>
      <c r="H1971"/>
      <c r="I1971"/>
      <c r="J1971"/>
    </row>
    <row r="1972" spans="6:10">
      <c r="F1972"/>
      <c r="G1972"/>
      <c r="H1972"/>
      <c r="I1972"/>
      <c r="J1972"/>
    </row>
    <row r="1973" spans="6:10">
      <c r="F1973"/>
      <c r="G1973"/>
      <c r="H1973"/>
      <c r="I1973"/>
      <c r="J1973"/>
    </row>
    <row r="1974" spans="6:10">
      <c r="F1974"/>
      <c r="G1974"/>
      <c r="H1974"/>
      <c r="I1974"/>
      <c r="J1974"/>
    </row>
    <row r="1975" spans="6:10">
      <c r="F1975"/>
      <c r="G1975"/>
      <c r="H1975"/>
      <c r="I1975"/>
      <c r="J1975"/>
    </row>
    <row r="1976" spans="6:10">
      <c r="F1976"/>
      <c r="G1976"/>
      <c r="H1976"/>
      <c r="I1976"/>
      <c r="J1976"/>
    </row>
    <row r="1977" spans="6:10">
      <c r="F1977"/>
      <c r="G1977"/>
      <c r="H1977"/>
      <c r="I1977"/>
      <c r="J1977"/>
    </row>
    <row r="1978" spans="6:10">
      <c r="F1978"/>
      <c r="G1978"/>
      <c r="H1978"/>
      <c r="I1978"/>
      <c r="J1978"/>
    </row>
    <row r="1979" spans="6:10">
      <c r="F1979"/>
      <c r="G1979"/>
      <c r="H1979"/>
      <c r="I1979"/>
      <c r="J1979"/>
    </row>
    <row r="1980" spans="6:10">
      <c r="F1980"/>
      <c r="G1980"/>
      <c r="H1980"/>
      <c r="I1980"/>
      <c r="J1980"/>
    </row>
    <row r="1981" spans="6:10">
      <c r="F1981"/>
      <c r="G1981"/>
      <c r="H1981"/>
      <c r="I1981"/>
      <c r="J1981"/>
    </row>
    <row r="1982" spans="6:10">
      <c r="F1982"/>
      <c r="G1982"/>
      <c r="H1982"/>
      <c r="I1982"/>
      <c r="J1982"/>
    </row>
    <row r="1983" spans="6:10">
      <c r="F1983"/>
      <c r="G1983"/>
      <c r="H1983"/>
      <c r="I1983"/>
      <c r="J1983"/>
    </row>
    <row r="1984" spans="6:10">
      <c r="F1984"/>
      <c r="G1984"/>
      <c r="H1984"/>
      <c r="I1984"/>
      <c r="J1984"/>
    </row>
    <row r="1985" spans="6:10">
      <c r="F1985"/>
      <c r="G1985"/>
      <c r="H1985"/>
      <c r="I1985"/>
      <c r="J1985"/>
    </row>
    <row r="1986" spans="6:10">
      <c r="F1986"/>
      <c r="G1986"/>
      <c r="H1986"/>
      <c r="I1986"/>
      <c r="J1986"/>
    </row>
    <row r="1987" spans="6:10">
      <c r="F1987"/>
      <c r="G1987"/>
      <c r="H1987"/>
      <c r="I1987"/>
      <c r="J1987"/>
    </row>
    <row r="1988" spans="6:10">
      <c r="F1988"/>
      <c r="G1988"/>
      <c r="H1988"/>
      <c r="I1988"/>
      <c r="J1988"/>
    </row>
    <row r="1989" spans="6:10">
      <c r="F1989"/>
      <c r="G1989"/>
      <c r="H1989"/>
      <c r="I1989"/>
      <c r="J1989"/>
    </row>
    <row r="1990" spans="6:10">
      <c r="F1990"/>
      <c r="G1990"/>
      <c r="H1990"/>
      <c r="I1990"/>
      <c r="J1990"/>
    </row>
    <row r="1991" spans="6:10">
      <c r="F1991"/>
      <c r="G1991"/>
      <c r="H1991"/>
      <c r="I1991"/>
      <c r="J1991"/>
    </row>
    <row r="1992" spans="6:10">
      <c r="F1992"/>
      <c r="G1992"/>
      <c r="H1992"/>
      <c r="I1992"/>
      <c r="J1992"/>
    </row>
    <row r="1993" spans="6:10">
      <c r="F1993"/>
      <c r="G1993"/>
      <c r="H1993"/>
      <c r="I1993"/>
      <c r="J1993"/>
    </row>
    <row r="1994" spans="6:10">
      <c r="F1994"/>
      <c r="G1994"/>
      <c r="H1994"/>
      <c r="I1994"/>
      <c r="J1994"/>
    </row>
    <row r="1995" spans="6:10">
      <c r="F1995"/>
      <c r="G1995"/>
      <c r="H1995"/>
      <c r="I1995"/>
      <c r="J1995"/>
    </row>
    <row r="1996" spans="6:10">
      <c r="F1996"/>
      <c r="G1996"/>
      <c r="H1996"/>
      <c r="I1996"/>
      <c r="J1996"/>
    </row>
    <row r="1997" spans="6:10">
      <c r="F1997"/>
      <c r="G1997"/>
      <c r="H1997"/>
      <c r="I1997"/>
      <c r="J1997"/>
    </row>
    <row r="1998" spans="6:10">
      <c r="F1998"/>
      <c r="G1998"/>
      <c r="H1998"/>
      <c r="I1998"/>
      <c r="J1998"/>
    </row>
    <row r="1999" spans="6:10">
      <c r="F1999"/>
      <c r="G1999"/>
      <c r="H1999"/>
      <c r="I1999"/>
      <c r="J1999"/>
    </row>
    <row r="2000" spans="6:10">
      <c r="F2000"/>
      <c r="G2000"/>
      <c r="H2000"/>
      <c r="I2000"/>
      <c r="J2000"/>
    </row>
    <row r="2001" spans="6:10">
      <c r="F2001"/>
      <c r="G2001"/>
      <c r="H2001"/>
      <c r="I2001"/>
      <c r="J2001"/>
    </row>
    <row r="2002" spans="6:10">
      <c r="F2002"/>
      <c r="G2002"/>
      <c r="H2002"/>
      <c r="I2002"/>
      <c r="J2002"/>
    </row>
    <row r="2003" spans="6:10">
      <c r="F2003"/>
      <c r="G2003"/>
      <c r="H2003"/>
      <c r="I2003"/>
      <c r="J2003"/>
    </row>
    <row r="2004" spans="6:10">
      <c r="F2004"/>
      <c r="G2004"/>
      <c r="H2004"/>
      <c r="I2004"/>
      <c r="J2004"/>
    </row>
    <row r="2005" spans="6:10">
      <c r="F2005"/>
      <c r="G2005"/>
      <c r="H2005"/>
      <c r="I2005"/>
      <c r="J2005"/>
    </row>
    <row r="2006" spans="6:10">
      <c r="F2006"/>
      <c r="G2006"/>
      <c r="H2006"/>
      <c r="I2006"/>
      <c r="J2006"/>
    </row>
    <row r="2007" spans="6:10">
      <c r="F2007"/>
      <c r="G2007"/>
      <c r="H2007"/>
      <c r="I2007"/>
      <c r="J2007"/>
    </row>
    <row r="2008" spans="6:10">
      <c r="F2008"/>
      <c r="G2008"/>
      <c r="H2008"/>
      <c r="I2008"/>
      <c r="J2008"/>
    </row>
    <row r="2009" spans="6:10">
      <c r="F2009"/>
      <c r="G2009"/>
      <c r="H2009"/>
      <c r="I2009"/>
      <c r="J2009"/>
    </row>
    <row r="2010" spans="6:10">
      <c r="F2010"/>
      <c r="G2010"/>
      <c r="H2010"/>
      <c r="I2010"/>
      <c r="J2010"/>
    </row>
    <row r="2011" spans="6:10">
      <c r="F2011"/>
      <c r="G2011"/>
      <c r="H2011"/>
      <c r="I2011"/>
      <c r="J2011"/>
    </row>
    <row r="2012" spans="6:10">
      <c r="F2012"/>
      <c r="G2012"/>
      <c r="H2012"/>
      <c r="I2012"/>
      <c r="J2012"/>
    </row>
    <row r="2013" spans="6:10">
      <c r="F2013"/>
      <c r="G2013"/>
      <c r="H2013"/>
      <c r="I2013"/>
      <c r="J2013"/>
    </row>
    <row r="2014" spans="6:10">
      <c r="F2014"/>
      <c r="G2014"/>
      <c r="H2014"/>
      <c r="I2014"/>
      <c r="J2014"/>
    </row>
    <row r="2015" spans="6:10">
      <c r="F2015"/>
      <c r="G2015"/>
      <c r="H2015"/>
      <c r="I2015"/>
      <c r="J2015"/>
    </row>
    <row r="2016" spans="6:10">
      <c r="F2016"/>
      <c r="G2016"/>
      <c r="H2016"/>
      <c r="I2016"/>
      <c r="J2016"/>
    </row>
    <row r="2017" spans="6:10">
      <c r="F2017"/>
      <c r="G2017"/>
      <c r="H2017"/>
      <c r="I2017"/>
      <c r="J2017"/>
    </row>
    <row r="2018" spans="6:10">
      <c r="F2018"/>
      <c r="G2018"/>
      <c r="H2018"/>
      <c r="I2018"/>
      <c r="J2018"/>
    </row>
    <row r="2019" spans="6:10">
      <c r="F2019"/>
      <c r="G2019"/>
      <c r="H2019"/>
      <c r="I2019"/>
      <c r="J2019"/>
    </row>
    <row r="2020" spans="6:10">
      <c r="F2020"/>
      <c r="G2020"/>
      <c r="H2020"/>
      <c r="I2020"/>
      <c r="J2020"/>
    </row>
    <row r="2021" spans="6:10">
      <c r="F2021"/>
      <c r="G2021"/>
      <c r="H2021"/>
      <c r="I2021"/>
      <c r="J2021"/>
    </row>
    <row r="2022" spans="6:10">
      <c r="F2022"/>
      <c r="G2022"/>
      <c r="H2022"/>
      <c r="I2022"/>
      <c r="J2022"/>
    </row>
    <row r="2023" spans="6:10">
      <c r="F2023"/>
      <c r="G2023"/>
      <c r="H2023"/>
      <c r="I2023"/>
      <c r="J2023"/>
    </row>
    <row r="2024" spans="6:10">
      <c r="F2024"/>
      <c r="G2024"/>
      <c r="H2024"/>
      <c r="I2024"/>
      <c r="J2024"/>
    </row>
    <row r="2025" spans="6:10">
      <c r="F2025"/>
      <c r="G2025"/>
      <c r="H2025"/>
      <c r="I2025"/>
      <c r="J2025"/>
    </row>
    <row r="2026" spans="6:10">
      <c r="F2026"/>
      <c r="G2026"/>
      <c r="H2026"/>
      <c r="I2026"/>
      <c r="J2026"/>
    </row>
    <row r="2027" spans="6:10">
      <c r="F2027"/>
      <c r="G2027"/>
      <c r="H2027"/>
      <c r="I2027"/>
      <c r="J2027"/>
    </row>
    <row r="2028" spans="6:10">
      <c r="F2028"/>
      <c r="G2028"/>
      <c r="H2028"/>
      <c r="I2028"/>
      <c r="J2028"/>
    </row>
    <row r="2029" spans="6:10">
      <c r="F2029"/>
      <c r="G2029"/>
      <c r="H2029"/>
      <c r="I2029"/>
      <c r="J2029"/>
    </row>
    <row r="2030" spans="6:10">
      <c r="F2030"/>
      <c r="G2030"/>
      <c r="H2030"/>
      <c r="I2030"/>
      <c r="J2030"/>
    </row>
    <row r="2031" spans="6:10">
      <c r="F2031"/>
      <c r="G2031"/>
      <c r="H2031"/>
      <c r="I2031"/>
      <c r="J2031"/>
    </row>
    <row r="2032" spans="6:10">
      <c r="F2032"/>
      <c r="G2032"/>
      <c r="H2032"/>
      <c r="I2032"/>
      <c r="J2032"/>
    </row>
    <row r="2033" spans="6:10">
      <c r="F2033"/>
      <c r="G2033"/>
      <c r="H2033"/>
      <c r="I2033"/>
      <c r="J2033"/>
    </row>
    <row r="2034" spans="6:10">
      <c r="F2034"/>
      <c r="G2034"/>
      <c r="H2034"/>
      <c r="I2034"/>
      <c r="J2034"/>
    </row>
    <row r="2035" spans="6:10">
      <c r="F2035"/>
      <c r="G2035"/>
      <c r="H2035"/>
      <c r="I2035"/>
      <c r="J2035"/>
    </row>
    <row r="2036" spans="6:10">
      <c r="F2036"/>
      <c r="G2036"/>
      <c r="H2036"/>
      <c r="I2036"/>
      <c r="J2036"/>
    </row>
    <row r="2037" spans="6:10">
      <c r="F2037"/>
      <c r="G2037"/>
      <c r="H2037"/>
      <c r="I2037"/>
      <c r="J2037"/>
    </row>
    <row r="2038" spans="6:10">
      <c r="F2038"/>
      <c r="G2038"/>
      <c r="H2038"/>
      <c r="I2038"/>
      <c r="J2038"/>
    </row>
    <row r="2039" spans="6:10">
      <c r="F2039"/>
      <c r="G2039"/>
      <c r="H2039"/>
      <c r="I2039"/>
      <c r="J2039"/>
    </row>
    <row r="2040" spans="6:10">
      <c r="F2040"/>
      <c r="G2040"/>
      <c r="H2040"/>
      <c r="I2040"/>
      <c r="J2040"/>
    </row>
    <row r="2041" spans="6:10">
      <c r="F2041"/>
      <c r="G2041"/>
      <c r="H2041"/>
      <c r="I2041"/>
      <c r="J2041"/>
    </row>
    <row r="2042" spans="6:10">
      <c r="F2042"/>
      <c r="G2042"/>
      <c r="H2042"/>
      <c r="I2042"/>
      <c r="J2042"/>
    </row>
    <row r="2043" spans="6:10">
      <c r="F2043"/>
      <c r="G2043"/>
      <c r="H2043"/>
      <c r="I2043"/>
      <c r="J2043"/>
    </row>
    <row r="2044" spans="6:10">
      <c r="F2044"/>
      <c r="G2044"/>
      <c r="H2044"/>
      <c r="I2044"/>
      <c r="J2044"/>
    </row>
    <row r="2045" spans="6:10">
      <c r="F2045"/>
      <c r="G2045"/>
      <c r="H2045"/>
      <c r="I2045"/>
      <c r="J2045"/>
    </row>
    <row r="2046" spans="6:10">
      <c r="F2046"/>
      <c r="G2046"/>
      <c r="H2046"/>
      <c r="I2046"/>
      <c r="J2046"/>
    </row>
    <row r="2047" spans="6:10">
      <c r="F2047"/>
      <c r="G2047"/>
      <c r="H2047"/>
      <c r="I2047"/>
      <c r="J2047"/>
    </row>
    <row r="2048" spans="6:10">
      <c r="F2048"/>
      <c r="G2048"/>
      <c r="H2048"/>
      <c r="I2048"/>
      <c r="J2048"/>
    </row>
    <row r="2049" spans="6:10">
      <c r="F2049"/>
      <c r="G2049"/>
      <c r="H2049"/>
      <c r="I2049"/>
      <c r="J2049"/>
    </row>
    <row r="2050" spans="6:10">
      <c r="F2050"/>
      <c r="G2050"/>
      <c r="H2050"/>
      <c r="I2050"/>
      <c r="J2050"/>
    </row>
    <row r="2051" spans="6:10">
      <c r="F2051"/>
      <c r="G2051"/>
      <c r="H2051"/>
      <c r="I2051"/>
      <c r="J2051"/>
    </row>
    <row r="2052" spans="6:10">
      <c r="F2052"/>
      <c r="G2052"/>
      <c r="H2052"/>
      <c r="I2052"/>
      <c r="J2052"/>
    </row>
    <row r="2053" spans="6:10">
      <c r="F2053"/>
      <c r="G2053"/>
      <c r="H2053"/>
      <c r="I2053"/>
      <c r="J2053"/>
    </row>
    <row r="2054" spans="6:10">
      <c r="F2054"/>
      <c r="G2054"/>
      <c r="H2054"/>
      <c r="I2054"/>
      <c r="J2054"/>
    </row>
    <row r="2055" spans="6:10">
      <c r="F2055"/>
      <c r="G2055"/>
      <c r="H2055"/>
      <c r="I2055"/>
      <c r="J2055"/>
    </row>
    <row r="2056" spans="6:10">
      <c r="F2056"/>
      <c r="G2056"/>
      <c r="H2056"/>
      <c r="I2056"/>
      <c r="J2056"/>
    </row>
    <row r="2057" spans="6:10">
      <c r="F2057"/>
      <c r="G2057"/>
      <c r="H2057"/>
      <c r="I2057"/>
      <c r="J2057"/>
    </row>
    <row r="2058" spans="6:10">
      <c r="F2058"/>
      <c r="G2058"/>
      <c r="H2058"/>
      <c r="I2058"/>
      <c r="J2058"/>
    </row>
    <row r="2059" spans="6:10">
      <c r="F2059"/>
      <c r="G2059"/>
      <c r="H2059"/>
      <c r="I2059"/>
      <c r="J2059"/>
    </row>
    <row r="2060" spans="6:10">
      <c r="F2060"/>
      <c r="G2060"/>
      <c r="H2060"/>
      <c r="I2060"/>
      <c r="J2060"/>
    </row>
    <row r="2061" spans="6:10">
      <c r="F2061"/>
      <c r="G2061"/>
      <c r="H2061"/>
      <c r="I2061"/>
      <c r="J2061"/>
    </row>
    <row r="2062" spans="6:10">
      <c r="F2062"/>
      <c r="G2062"/>
      <c r="H2062"/>
      <c r="I2062"/>
      <c r="J2062"/>
    </row>
    <row r="2063" spans="6:10">
      <c r="F2063"/>
      <c r="G2063"/>
      <c r="H2063"/>
      <c r="I2063"/>
      <c r="J2063"/>
    </row>
    <row r="2064" spans="6:10">
      <c r="F2064"/>
      <c r="G2064"/>
      <c r="H2064"/>
      <c r="I2064"/>
      <c r="J2064"/>
    </row>
    <row r="2065" spans="6:10">
      <c r="F2065"/>
      <c r="G2065"/>
      <c r="H2065"/>
      <c r="I2065"/>
      <c r="J2065"/>
    </row>
    <row r="2066" spans="6:10">
      <c r="F2066"/>
      <c r="G2066"/>
      <c r="H2066"/>
      <c r="I2066"/>
      <c r="J2066"/>
    </row>
    <row r="2067" spans="6:10">
      <c r="F2067"/>
      <c r="G2067"/>
      <c r="H2067"/>
      <c r="I2067"/>
      <c r="J2067"/>
    </row>
    <row r="2068" spans="6:10">
      <c r="F2068"/>
      <c r="G2068"/>
      <c r="H2068"/>
      <c r="I2068"/>
      <c r="J2068"/>
    </row>
    <row r="2069" spans="6:10">
      <c r="F2069"/>
      <c r="G2069"/>
      <c r="H2069"/>
      <c r="I2069"/>
      <c r="J2069"/>
    </row>
    <row r="2070" spans="6:10">
      <c r="F2070"/>
      <c r="G2070"/>
      <c r="H2070"/>
      <c r="I2070"/>
      <c r="J2070"/>
    </row>
    <row r="2071" spans="6:10">
      <c r="F2071"/>
      <c r="G2071"/>
      <c r="H2071"/>
      <c r="I2071"/>
      <c r="J2071"/>
    </row>
    <row r="2072" spans="6:10">
      <c r="F2072"/>
      <c r="G2072"/>
      <c r="H2072"/>
      <c r="I2072"/>
      <c r="J2072"/>
    </row>
    <row r="2073" spans="6:10">
      <c r="F2073"/>
      <c r="G2073"/>
      <c r="H2073"/>
      <c r="I2073"/>
      <c r="J2073"/>
    </row>
    <row r="2074" spans="6:10">
      <c r="F2074"/>
      <c r="G2074"/>
      <c r="H2074"/>
      <c r="I2074"/>
      <c r="J2074"/>
    </row>
    <row r="2075" spans="6:10">
      <c r="F2075"/>
      <c r="G2075"/>
      <c r="H2075"/>
      <c r="I2075"/>
      <c r="J2075"/>
    </row>
    <row r="2076" spans="6:10">
      <c r="F2076"/>
      <c r="G2076"/>
      <c r="H2076"/>
      <c r="I2076"/>
      <c r="J2076"/>
    </row>
    <row r="2077" spans="6:10">
      <c r="F2077"/>
      <c r="G2077"/>
      <c r="H2077"/>
      <c r="I2077"/>
      <c r="J2077"/>
    </row>
    <row r="2078" spans="6:10">
      <c r="F2078"/>
      <c r="G2078"/>
      <c r="H2078"/>
      <c r="I2078"/>
      <c r="J2078"/>
    </row>
    <row r="2079" spans="6:10">
      <c r="F2079"/>
      <c r="G2079"/>
      <c r="H2079"/>
      <c r="I2079"/>
      <c r="J2079"/>
    </row>
    <row r="2080" spans="6:10">
      <c r="F2080"/>
      <c r="G2080"/>
      <c r="H2080"/>
      <c r="I2080"/>
      <c r="J2080"/>
    </row>
    <row r="2081" spans="6:10">
      <c r="F2081"/>
      <c r="G2081"/>
      <c r="H2081"/>
      <c r="I2081"/>
      <c r="J2081"/>
    </row>
    <row r="2082" spans="6:10">
      <c r="F2082"/>
      <c r="G2082"/>
      <c r="H2082"/>
      <c r="I2082"/>
      <c r="J2082"/>
    </row>
    <row r="2083" spans="6:10">
      <c r="F2083"/>
      <c r="G2083"/>
      <c r="H2083"/>
      <c r="I2083"/>
      <c r="J2083"/>
    </row>
    <row r="2084" spans="6:10">
      <c r="F2084"/>
      <c r="G2084"/>
      <c r="H2084"/>
      <c r="I2084"/>
      <c r="J2084"/>
    </row>
    <row r="2085" spans="6:10">
      <c r="F2085"/>
      <c r="G2085"/>
      <c r="H2085"/>
      <c r="I2085"/>
      <c r="J2085"/>
    </row>
    <row r="2086" spans="6:10">
      <c r="F2086"/>
      <c r="G2086"/>
      <c r="H2086"/>
      <c r="I2086"/>
      <c r="J2086"/>
    </row>
    <row r="2087" spans="6:10">
      <c r="F2087"/>
      <c r="G2087"/>
      <c r="H2087"/>
      <c r="I2087"/>
      <c r="J2087"/>
    </row>
    <row r="2088" spans="6:10">
      <c r="F2088"/>
      <c r="G2088"/>
      <c r="H2088"/>
      <c r="I2088"/>
      <c r="J2088"/>
    </row>
    <row r="2089" spans="6:10">
      <c r="F2089"/>
      <c r="G2089"/>
      <c r="H2089"/>
      <c r="I2089"/>
      <c r="J2089"/>
    </row>
    <row r="2090" spans="6:10">
      <c r="F2090"/>
      <c r="G2090"/>
      <c r="H2090"/>
      <c r="I2090"/>
      <c r="J2090"/>
    </row>
    <row r="2091" spans="6:10">
      <c r="F2091"/>
      <c r="G2091"/>
      <c r="H2091"/>
      <c r="I2091"/>
      <c r="J2091"/>
    </row>
    <row r="2092" spans="6:10">
      <c r="F2092"/>
      <c r="G2092"/>
      <c r="H2092"/>
      <c r="I2092"/>
      <c r="J2092"/>
    </row>
    <row r="2093" spans="6:10">
      <c r="F2093"/>
      <c r="G2093"/>
      <c r="H2093"/>
      <c r="I2093"/>
      <c r="J2093"/>
    </row>
    <row r="2094" spans="6:10">
      <c r="F2094"/>
      <c r="G2094"/>
      <c r="H2094"/>
      <c r="I2094"/>
      <c r="J2094"/>
    </row>
    <row r="2095" spans="6:10">
      <c r="F2095"/>
      <c r="G2095"/>
      <c r="H2095"/>
      <c r="I2095"/>
      <c r="J2095"/>
    </row>
    <row r="2096" spans="6:10">
      <c r="F2096"/>
      <c r="G2096"/>
      <c r="H2096"/>
      <c r="I2096"/>
      <c r="J2096"/>
    </row>
    <row r="2097" spans="6:10">
      <c r="F2097"/>
      <c r="G2097"/>
      <c r="H2097"/>
      <c r="I2097"/>
      <c r="J2097"/>
    </row>
    <row r="2098" spans="6:10">
      <c r="F2098"/>
      <c r="G2098"/>
      <c r="H2098"/>
      <c r="I2098"/>
      <c r="J2098"/>
    </row>
    <row r="2099" spans="6:10">
      <c r="F2099"/>
      <c r="G2099"/>
      <c r="H2099"/>
      <c r="I2099"/>
      <c r="J2099"/>
    </row>
    <row r="2100" spans="6:10">
      <c r="F2100"/>
      <c r="G2100"/>
      <c r="H2100"/>
      <c r="I2100"/>
      <c r="J2100"/>
    </row>
    <row r="2101" spans="6:10">
      <c r="F2101"/>
      <c r="G2101"/>
      <c r="H2101"/>
      <c r="I2101"/>
      <c r="J2101"/>
    </row>
    <row r="2102" spans="6:10">
      <c r="F2102"/>
      <c r="G2102"/>
      <c r="H2102"/>
      <c r="I2102"/>
      <c r="J2102"/>
    </row>
    <row r="2103" spans="6:10">
      <c r="F2103"/>
      <c r="G2103"/>
      <c r="H2103"/>
      <c r="I2103"/>
      <c r="J2103"/>
    </row>
    <row r="2104" spans="6:10">
      <c r="F2104"/>
      <c r="G2104"/>
      <c r="H2104"/>
      <c r="I2104"/>
      <c r="J2104"/>
    </row>
    <row r="2105" spans="6:10">
      <c r="F2105"/>
      <c r="G2105"/>
      <c r="H2105"/>
      <c r="I2105"/>
      <c r="J2105"/>
    </row>
    <row r="2106" spans="6:10">
      <c r="F2106"/>
      <c r="G2106"/>
      <c r="H2106"/>
      <c r="I2106"/>
      <c r="J2106"/>
    </row>
    <row r="2107" spans="6:10">
      <c r="F2107"/>
      <c r="G2107"/>
      <c r="H2107"/>
      <c r="I2107"/>
      <c r="J2107"/>
    </row>
    <row r="2108" spans="6:10">
      <c r="F2108"/>
      <c r="G2108"/>
      <c r="H2108"/>
      <c r="I2108"/>
      <c r="J2108"/>
    </row>
    <row r="2109" spans="6:10">
      <c r="F2109"/>
      <c r="G2109"/>
      <c r="H2109"/>
      <c r="I2109"/>
      <c r="J2109"/>
    </row>
    <row r="2110" spans="6:10">
      <c r="F2110"/>
      <c r="G2110"/>
      <c r="H2110"/>
      <c r="I2110"/>
      <c r="J2110"/>
    </row>
    <row r="2111" spans="6:10">
      <c r="F2111"/>
      <c r="G2111"/>
      <c r="H2111"/>
      <c r="I2111"/>
      <c r="J2111"/>
    </row>
    <row r="2112" spans="6:10">
      <c r="F2112"/>
      <c r="G2112"/>
      <c r="H2112"/>
      <c r="I2112"/>
      <c r="J2112"/>
    </row>
    <row r="2113" spans="6:10">
      <c r="F2113"/>
      <c r="G2113"/>
      <c r="H2113"/>
      <c r="I2113"/>
      <c r="J2113"/>
    </row>
    <row r="2114" spans="6:10">
      <c r="F2114"/>
      <c r="G2114"/>
      <c r="H2114"/>
      <c r="I2114"/>
      <c r="J2114"/>
    </row>
    <row r="2115" spans="6:10">
      <c r="F2115"/>
      <c r="G2115"/>
      <c r="H2115"/>
      <c r="I2115"/>
      <c r="J2115"/>
    </row>
    <row r="2116" spans="6:10">
      <c r="F2116"/>
      <c r="G2116"/>
      <c r="H2116"/>
      <c r="I2116"/>
      <c r="J2116"/>
    </row>
    <row r="2117" spans="6:10">
      <c r="F2117"/>
      <c r="G2117"/>
      <c r="H2117"/>
      <c r="I2117"/>
      <c r="J2117"/>
    </row>
    <row r="2118" spans="6:10">
      <c r="F2118"/>
      <c r="G2118"/>
      <c r="H2118"/>
      <c r="I2118"/>
      <c r="J2118"/>
    </row>
    <row r="2119" spans="6:10">
      <c r="F2119"/>
      <c r="G2119"/>
      <c r="H2119"/>
      <c r="I2119"/>
      <c r="J2119"/>
    </row>
    <row r="2120" spans="6:10">
      <c r="F2120"/>
      <c r="G2120"/>
      <c r="H2120"/>
      <c r="I2120"/>
      <c r="J2120"/>
    </row>
    <row r="2121" spans="6:10">
      <c r="F2121"/>
      <c r="G2121"/>
      <c r="H2121"/>
      <c r="I2121"/>
      <c r="J2121"/>
    </row>
    <row r="2122" spans="6:10">
      <c r="F2122"/>
      <c r="G2122"/>
      <c r="H2122"/>
      <c r="I2122"/>
      <c r="J2122"/>
    </row>
    <row r="2123" spans="6:10">
      <c r="F2123"/>
      <c r="G2123"/>
      <c r="H2123"/>
      <c r="I2123"/>
      <c r="J2123"/>
    </row>
    <row r="2124" spans="6:10">
      <c r="F2124"/>
      <c r="G2124"/>
      <c r="H2124"/>
      <c r="I2124"/>
      <c r="J2124"/>
    </row>
    <row r="2125" spans="6:10">
      <c r="F2125"/>
      <c r="G2125"/>
      <c r="H2125"/>
      <c r="I2125"/>
      <c r="J2125"/>
    </row>
    <row r="2126" spans="6:10">
      <c r="F2126"/>
      <c r="G2126"/>
      <c r="H2126"/>
      <c r="I2126"/>
      <c r="J2126"/>
    </row>
    <row r="2127" spans="6:10">
      <c r="F2127"/>
      <c r="G2127"/>
      <c r="H2127"/>
      <c r="I2127"/>
      <c r="J2127"/>
    </row>
    <row r="2128" spans="6:10">
      <c r="F2128"/>
      <c r="G2128"/>
      <c r="H2128"/>
      <c r="I2128"/>
      <c r="J2128"/>
    </row>
    <row r="2129" spans="6:10">
      <c r="F2129"/>
      <c r="G2129"/>
      <c r="H2129"/>
      <c r="I2129"/>
      <c r="J2129"/>
    </row>
    <row r="2130" spans="6:10">
      <c r="F2130"/>
      <c r="G2130"/>
      <c r="H2130"/>
      <c r="I2130"/>
      <c r="J2130"/>
    </row>
    <row r="2131" spans="6:10">
      <c r="F2131"/>
      <c r="G2131"/>
      <c r="H2131"/>
      <c r="I2131"/>
      <c r="J2131"/>
    </row>
    <row r="2132" spans="6:10">
      <c r="F2132"/>
      <c r="G2132"/>
      <c r="H2132"/>
      <c r="I2132"/>
      <c r="J2132"/>
    </row>
    <row r="2133" spans="6:10">
      <c r="F2133"/>
      <c r="G2133"/>
      <c r="H2133"/>
      <c r="I2133"/>
      <c r="J2133"/>
    </row>
    <row r="2134" spans="6:10">
      <c r="F2134"/>
      <c r="G2134"/>
      <c r="H2134"/>
      <c r="I2134"/>
      <c r="J2134"/>
    </row>
    <row r="2135" spans="6:10">
      <c r="F2135"/>
      <c r="G2135"/>
      <c r="H2135"/>
      <c r="I2135"/>
      <c r="J2135"/>
    </row>
    <row r="2136" spans="6:10">
      <c r="F2136"/>
      <c r="G2136"/>
      <c r="H2136"/>
      <c r="I2136"/>
      <c r="J2136"/>
    </row>
    <row r="2137" spans="6:10">
      <c r="F2137"/>
      <c r="G2137"/>
      <c r="H2137"/>
      <c r="I2137"/>
      <c r="J2137"/>
    </row>
    <row r="2138" spans="6:10">
      <c r="F2138"/>
      <c r="G2138"/>
      <c r="H2138"/>
      <c r="I2138"/>
      <c r="J2138"/>
    </row>
    <row r="2139" spans="6:10">
      <c r="F2139"/>
      <c r="G2139"/>
      <c r="H2139"/>
      <c r="I2139"/>
      <c r="J2139"/>
    </row>
    <row r="2140" spans="6:10">
      <c r="F2140"/>
      <c r="G2140"/>
      <c r="H2140"/>
      <c r="I2140"/>
      <c r="J2140"/>
    </row>
    <row r="2141" spans="6:10">
      <c r="F2141"/>
      <c r="G2141"/>
      <c r="H2141"/>
      <c r="I2141"/>
      <c r="J2141"/>
    </row>
    <row r="2142" spans="6:10">
      <c r="F2142"/>
      <c r="G2142"/>
      <c r="H2142"/>
      <c r="I2142"/>
      <c r="J2142"/>
    </row>
    <row r="2143" spans="6:10">
      <c r="F2143"/>
      <c r="G2143"/>
      <c r="H2143"/>
      <c r="I2143"/>
      <c r="J2143"/>
    </row>
    <row r="2144" spans="6:10">
      <c r="F2144"/>
      <c r="G2144"/>
      <c r="H2144"/>
      <c r="I2144"/>
      <c r="J2144"/>
    </row>
    <row r="2145" spans="6:10">
      <c r="F2145"/>
      <c r="G2145"/>
      <c r="H2145"/>
      <c r="I2145"/>
      <c r="J2145"/>
    </row>
    <row r="2146" spans="6:10">
      <c r="F2146"/>
      <c r="G2146"/>
      <c r="H2146"/>
      <c r="I2146"/>
      <c r="J2146"/>
    </row>
    <row r="2147" spans="6:10">
      <c r="F2147"/>
      <c r="G2147"/>
      <c r="H2147"/>
      <c r="I2147"/>
      <c r="J2147"/>
    </row>
    <row r="2148" spans="6:10">
      <c r="F2148"/>
      <c r="G2148"/>
      <c r="H2148"/>
      <c r="I2148"/>
      <c r="J2148"/>
    </row>
    <row r="2149" spans="6:10">
      <c r="F2149"/>
      <c r="G2149"/>
      <c r="H2149"/>
      <c r="I2149"/>
      <c r="J2149"/>
    </row>
    <row r="2150" spans="6:10">
      <c r="F2150"/>
      <c r="G2150"/>
      <c r="H2150"/>
      <c r="I2150"/>
      <c r="J2150"/>
    </row>
    <row r="2151" spans="6:10">
      <c r="F2151"/>
      <c r="G2151"/>
      <c r="H2151"/>
      <c r="I2151"/>
      <c r="J2151"/>
    </row>
    <row r="2152" spans="6:10">
      <c r="F2152"/>
      <c r="G2152"/>
      <c r="H2152"/>
      <c r="I2152"/>
      <c r="J2152"/>
    </row>
    <row r="2153" spans="6:10">
      <c r="F2153"/>
      <c r="G2153"/>
      <c r="H2153"/>
      <c r="I2153"/>
      <c r="J2153"/>
    </row>
    <row r="2154" spans="6:10">
      <c r="F2154"/>
      <c r="G2154"/>
      <c r="H2154"/>
      <c r="I2154"/>
      <c r="J2154"/>
    </row>
    <row r="2155" spans="6:10">
      <c r="F2155"/>
      <c r="G2155"/>
      <c r="H2155"/>
      <c r="I2155"/>
      <c r="J2155"/>
    </row>
    <row r="2156" spans="6:10">
      <c r="F2156"/>
      <c r="G2156"/>
      <c r="H2156"/>
      <c r="I2156"/>
      <c r="J2156"/>
    </row>
    <row r="2157" spans="6:10">
      <c r="F2157"/>
      <c r="G2157"/>
      <c r="H2157"/>
      <c r="I2157"/>
      <c r="J2157"/>
    </row>
    <row r="2158" spans="6:10">
      <c r="F2158"/>
      <c r="G2158"/>
      <c r="H2158"/>
      <c r="I2158"/>
      <c r="J2158"/>
    </row>
    <row r="2159" spans="6:10">
      <c r="F2159"/>
      <c r="G2159"/>
      <c r="H2159"/>
      <c r="I2159"/>
      <c r="J2159"/>
    </row>
    <row r="2160" spans="6:10">
      <c r="F2160"/>
      <c r="G2160"/>
      <c r="H2160"/>
      <c r="I2160"/>
      <c r="J2160"/>
    </row>
    <row r="2161" spans="6:10">
      <c r="F2161"/>
      <c r="G2161"/>
      <c r="H2161"/>
      <c r="I2161"/>
      <c r="J2161"/>
    </row>
    <row r="2162" spans="6:10">
      <c r="F2162"/>
      <c r="G2162"/>
      <c r="H2162"/>
      <c r="I2162"/>
      <c r="J2162"/>
    </row>
    <row r="2163" spans="6:10">
      <c r="F2163"/>
      <c r="G2163"/>
      <c r="H2163"/>
      <c r="I2163"/>
      <c r="J2163"/>
    </row>
    <row r="2164" spans="6:10">
      <c r="F2164"/>
      <c r="G2164"/>
      <c r="H2164"/>
      <c r="I2164"/>
      <c r="J2164"/>
    </row>
    <row r="2165" spans="6:10">
      <c r="F2165"/>
      <c r="G2165"/>
      <c r="H2165"/>
      <c r="I2165"/>
      <c r="J2165"/>
    </row>
    <row r="2166" spans="6:10">
      <c r="F2166"/>
      <c r="G2166"/>
      <c r="H2166"/>
      <c r="I2166"/>
      <c r="J2166"/>
    </row>
    <row r="2167" spans="6:10">
      <c r="F2167"/>
      <c r="G2167"/>
      <c r="H2167"/>
      <c r="I2167"/>
      <c r="J2167"/>
    </row>
    <row r="2168" spans="6:10">
      <c r="F2168"/>
      <c r="G2168"/>
      <c r="H2168"/>
      <c r="I2168"/>
      <c r="J2168"/>
    </row>
    <row r="2169" spans="6:10">
      <c r="F2169"/>
      <c r="G2169"/>
      <c r="H2169"/>
      <c r="I2169"/>
      <c r="J2169"/>
    </row>
    <row r="2170" spans="6:10">
      <c r="F2170"/>
      <c r="G2170"/>
      <c r="H2170"/>
      <c r="I2170"/>
      <c r="J2170"/>
    </row>
    <row r="2171" spans="6:10">
      <c r="F2171"/>
      <c r="G2171"/>
      <c r="H2171"/>
      <c r="I2171"/>
      <c r="J2171"/>
    </row>
    <row r="2172" spans="6:10">
      <c r="F2172"/>
      <c r="G2172"/>
      <c r="H2172"/>
      <c r="I2172"/>
      <c r="J2172"/>
    </row>
    <row r="2173" spans="6:10">
      <c r="F2173"/>
      <c r="G2173"/>
      <c r="H2173"/>
      <c r="I2173"/>
      <c r="J2173"/>
    </row>
    <row r="2174" spans="6:10">
      <c r="F2174"/>
      <c r="G2174"/>
      <c r="H2174"/>
      <c r="I2174"/>
      <c r="J2174"/>
    </row>
    <row r="2175" spans="6:10">
      <c r="F2175"/>
      <c r="G2175"/>
      <c r="H2175"/>
      <c r="I2175"/>
      <c r="J2175"/>
    </row>
    <row r="2176" spans="6:10">
      <c r="F2176"/>
      <c r="G2176"/>
      <c r="H2176"/>
      <c r="I2176"/>
      <c r="J2176"/>
    </row>
    <row r="2177" spans="6:10">
      <c r="F2177"/>
      <c r="G2177"/>
      <c r="H2177"/>
      <c r="I2177"/>
      <c r="J2177"/>
    </row>
    <row r="2178" spans="6:10">
      <c r="F2178"/>
      <c r="G2178"/>
      <c r="H2178"/>
      <c r="I2178"/>
      <c r="J2178"/>
    </row>
    <row r="2179" spans="6:10">
      <c r="F2179"/>
      <c r="G2179"/>
      <c r="H2179"/>
      <c r="I2179"/>
      <c r="J2179"/>
    </row>
    <row r="2180" spans="6:10">
      <c r="F2180"/>
      <c r="G2180"/>
      <c r="H2180"/>
      <c r="I2180"/>
      <c r="J2180"/>
    </row>
    <row r="2181" spans="6:10">
      <c r="F2181"/>
      <c r="G2181"/>
      <c r="H2181"/>
      <c r="I2181"/>
      <c r="J2181"/>
    </row>
    <row r="2182" spans="6:10">
      <c r="F2182"/>
      <c r="G2182"/>
      <c r="H2182"/>
      <c r="I2182"/>
      <c r="J2182"/>
    </row>
    <row r="2183" spans="6:10">
      <c r="F2183"/>
      <c r="G2183"/>
      <c r="H2183"/>
      <c r="I2183"/>
      <c r="J2183"/>
    </row>
    <row r="2184" spans="6:10">
      <c r="F2184"/>
      <c r="G2184"/>
      <c r="H2184"/>
      <c r="I2184"/>
      <c r="J2184"/>
    </row>
    <row r="2185" spans="6:10">
      <c r="F2185"/>
      <c r="G2185"/>
      <c r="H2185"/>
      <c r="I2185"/>
      <c r="J2185"/>
    </row>
    <row r="2186" spans="6:10">
      <c r="F2186"/>
      <c r="G2186"/>
      <c r="H2186"/>
      <c r="I2186"/>
      <c r="J2186"/>
    </row>
    <row r="2187" spans="6:10">
      <c r="F2187"/>
      <c r="G2187"/>
      <c r="H2187"/>
      <c r="I2187"/>
      <c r="J2187"/>
    </row>
    <row r="2188" spans="6:10">
      <c r="F2188"/>
      <c r="G2188"/>
      <c r="H2188"/>
      <c r="I2188"/>
      <c r="J2188"/>
    </row>
    <row r="2189" spans="6:10">
      <c r="F2189"/>
      <c r="G2189"/>
      <c r="H2189"/>
      <c r="I2189"/>
      <c r="J2189"/>
    </row>
    <row r="2190" spans="6:10">
      <c r="F2190"/>
      <c r="G2190"/>
      <c r="H2190"/>
      <c r="I2190"/>
      <c r="J2190"/>
    </row>
    <row r="2191" spans="6:10">
      <c r="F2191"/>
      <c r="G2191"/>
      <c r="H2191"/>
      <c r="I2191"/>
      <c r="J2191"/>
    </row>
    <row r="2192" spans="6:10">
      <c r="F2192"/>
      <c r="G2192"/>
      <c r="H2192"/>
      <c r="I2192"/>
      <c r="J2192"/>
    </row>
    <row r="2193" spans="6:10">
      <c r="F2193"/>
      <c r="G2193"/>
      <c r="H2193"/>
      <c r="I2193"/>
      <c r="J2193"/>
    </row>
    <row r="2194" spans="6:10">
      <c r="F2194"/>
      <c r="G2194"/>
      <c r="H2194"/>
      <c r="I2194"/>
      <c r="J2194"/>
    </row>
    <row r="2195" spans="6:10">
      <c r="F2195"/>
      <c r="G2195"/>
      <c r="H2195"/>
      <c r="I2195"/>
      <c r="J2195"/>
    </row>
    <row r="2196" spans="6:10">
      <c r="F2196"/>
      <c r="G2196"/>
      <c r="H2196"/>
      <c r="I2196"/>
      <c r="J2196"/>
    </row>
    <row r="2197" spans="6:10">
      <c r="F2197"/>
      <c r="G2197"/>
      <c r="H2197"/>
      <c r="I2197"/>
      <c r="J2197"/>
    </row>
    <row r="2198" spans="6:10">
      <c r="F2198"/>
      <c r="G2198"/>
      <c r="H2198"/>
      <c r="I2198"/>
      <c r="J2198"/>
    </row>
    <row r="2199" spans="6:10">
      <c r="F2199"/>
      <c r="G2199"/>
      <c r="H2199"/>
      <c r="I2199"/>
      <c r="J2199"/>
    </row>
    <row r="2200" spans="6:10">
      <c r="F2200"/>
      <c r="G2200"/>
      <c r="H2200"/>
      <c r="I2200"/>
      <c r="J2200"/>
    </row>
    <row r="2201" spans="6:10">
      <c r="F2201"/>
      <c r="G2201"/>
      <c r="H2201"/>
      <c r="I2201"/>
      <c r="J2201"/>
    </row>
    <row r="2202" spans="6:10">
      <c r="F2202"/>
      <c r="G2202"/>
      <c r="H2202"/>
      <c r="I2202"/>
      <c r="J2202"/>
    </row>
    <row r="2203" spans="6:10">
      <c r="F2203"/>
      <c r="G2203"/>
      <c r="H2203"/>
      <c r="I2203"/>
      <c r="J2203"/>
    </row>
    <row r="2204" spans="6:10">
      <c r="F2204"/>
      <c r="G2204"/>
      <c r="H2204"/>
      <c r="I2204"/>
      <c r="J2204"/>
    </row>
    <row r="2205" spans="6:10">
      <c r="F2205"/>
      <c r="G2205"/>
      <c r="H2205"/>
      <c r="I2205"/>
      <c r="J2205"/>
    </row>
    <row r="2206" spans="6:10">
      <c r="F2206"/>
      <c r="G2206"/>
      <c r="H2206"/>
      <c r="I2206"/>
      <c r="J2206"/>
    </row>
    <row r="2207" spans="6:10">
      <c r="F2207"/>
      <c r="G2207"/>
      <c r="H2207"/>
      <c r="I2207"/>
      <c r="J2207"/>
    </row>
    <row r="2208" spans="6:10">
      <c r="F2208"/>
      <c r="G2208"/>
      <c r="H2208"/>
      <c r="I2208"/>
      <c r="J2208"/>
    </row>
    <row r="2209" spans="6:10">
      <c r="F2209"/>
      <c r="G2209"/>
      <c r="H2209"/>
      <c r="I2209"/>
      <c r="J2209"/>
    </row>
    <row r="2210" spans="6:10">
      <c r="F2210"/>
      <c r="G2210"/>
      <c r="H2210"/>
      <c r="I2210"/>
      <c r="J2210"/>
    </row>
    <row r="2211" spans="6:10">
      <c r="F2211"/>
      <c r="G2211"/>
      <c r="H2211"/>
      <c r="I2211"/>
      <c r="J2211"/>
    </row>
    <row r="2212" spans="6:10">
      <c r="F2212"/>
      <c r="G2212"/>
      <c r="H2212"/>
      <c r="I2212"/>
      <c r="J2212"/>
    </row>
    <row r="2213" spans="6:10">
      <c r="F2213"/>
      <c r="G2213"/>
      <c r="H2213"/>
      <c r="I2213"/>
      <c r="J2213"/>
    </row>
    <row r="2214" spans="6:10">
      <c r="F2214"/>
      <c r="G2214"/>
      <c r="H2214"/>
      <c r="I2214"/>
      <c r="J2214"/>
    </row>
    <row r="2215" spans="6:10">
      <c r="F2215"/>
      <c r="G2215"/>
      <c r="H2215"/>
      <c r="I2215"/>
      <c r="J2215"/>
    </row>
    <row r="2216" spans="6:10">
      <c r="F2216"/>
      <c r="G2216"/>
      <c r="H2216"/>
      <c r="I2216"/>
      <c r="J2216"/>
    </row>
    <row r="2217" spans="6:10">
      <c r="F2217"/>
      <c r="G2217"/>
      <c r="H2217"/>
      <c r="I2217"/>
      <c r="J2217"/>
    </row>
    <row r="2218" spans="6:10">
      <c r="F2218"/>
      <c r="G2218"/>
      <c r="H2218"/>
      <c r="I2218"/>
      <c r="J2218"/>
    </row>
    <row r="2219" spans="6:10">
      <c r="F2219"/>
      <c r="G2219"/>
      <c r="H2219"/>
      <c r="I2219"/>
      <c r="J2219"/>
    </row>
    <row r="2220" spans="6:10">
      <c r="F2220"/>
      <c r="G2220"/>
      <c r="H2220"/>
      <c r="I2220"/>
      <c r="J2220"/>
    </row>
    <row r="2221" spans="6:10">
      <c r="F2221"/>
      <c r="G2221"/>
      <c r="H2221"/>
      <c r="I2221"/>
      <c r="J2221"/>
    </row>
    <row r="2222" spans="6:10">
      <c r="F2222"/>
      <c r="G2222"/>
      <c r="H2222"/>
      <c r="I2222"/>
      <c r="J2222"/>
    </row>
    <row r="2223" spans="6:10">
      <c r="F2223"/>
      <c r="G2223"/>
      <c r="H2223"/>
      <c r="I2223"/>
      <c r="J2223"/>
    </row>
    <row r="2224" spans="6:10">
      <c r="F2224"/>
      <c r="G2224"/>
      <c r="H2224"/>
      <c r="I2224"/>
      <c r="J2224"/>
    </row>
    <row r="2225" spans="6:10">
      <c r="F2225"/>
      <c r="G2225"/>
      <c r="H2225"/>
      <c r="I2225"/>
      <c r="J2225"/>
    </row>
    <row r="2226" spans="6:10">
      <c r="F2226"/>
      <c r="G2226"/>
      <c r="H2226"/>
      <c r="I2226"/>
      <c r="J2226"/>
    </row>
    <row r="2227" spans="6:10">
      <c r="F2227"/>
      <c r="G2227"/>
      <c r="H2227"/>
      <c r="I2227"/>
      <c r="J2227"/>
    </row>
    <row r="2228" spans="6:10">
      <c r="F2228"/>
      <c r="G2228"/>
      <c r="H2228"/>
      <c r="I2228"/>
      <c r="J2228"/>
    </row>
    <row r="2229" spans="6:10">
      <c r="F2229"/>
      <c r="G2229"/>
      <c r="H2229"/>
      <c r="I2229"/>
      <c r="J2229"/>
    </row>
    <row r="2230" spans="6:10">
      <c r="F2230"/>
      <c r="G2230"/>
      <c r="H2230"/>
      <c r="I2230"/>
      <c r="J2230"/>
    </row>
    <row r="2231" spans="6:10">
      <c r="F2231"/>
      <c r="G2231"/>
      <c r="H2231"/>
      <c r="I2231"/>
      <c r="J2231"/>
    </row>
    <row r="2232" spans="6:10">
      <c r="F2232"/>
      <c r="G2232"/>
      <c r="H2232"/>
      <c r="I2232"/>
      <c r="J2232"/>
    </row>
    <row r="2233" spans="6:10">
      <c r="F2233"/>
      <c r="G2233"/>
      <c r="H2233"/>
      <c r="I2233"/>
      <c r="J2233"/>
    </row>
    <row r="2234" spans="6:10">
      <c r="F2234"/>
      <c r="G2234"/>
      <c r="H2234"/>
      <c r="I2234"/>
      <c r="J2234"/>
    </row>
    <row r="2235" spans="6:10">
      <c r="F2235"/>
      <c r="G2235"/>
      <c r="H2235"/>
      <c r="I2235"/>
      <c r="J2235"/>
    </row>
    <row r="2236" spans="6:10">
      <c r="F2236"/>
      <c r="G2236"/>
      <c r="H2236"/>
      <c r="I2236"/>
      <c r="J2236"/>
    </row>
    <row r="2237" spans="6:10">
      <c r="F2237"/>
      <c r="G2237"/>
      <c r="H2237"/>
      <c r="I2237"/>
      <c r="J2237"/>
    </row>
    <row r="2238" spans="6:10">
      <c r="F2238"/>
      <c r="G2238"/>
      <c r="H2238"/>
      <c r="I2238"/>
      <c r="J2238"/>
    </row>
    <row r="2239" spans="6:10">
      <c r="F2239"/>
      <c r="G2239"/>
      <c r="H2239"/>
      <c r="I2239"/>
      <c r="J2239"/>
    </row>
    <row r="2240" spans="6:10">
      <c r="F2240"/>
      <c r="G2240"/>
      <c r="H2240"/>
      <c r="I2240"/>
      <c r="J2240"/>
    </row>
    <row r="2241" spans="6:10">
      <c r="F2241"/>
      <c r="G2241"/>
      <c r="H2241"/>
      <c r="I2241"/>
      <c r="J2241"/>
    </row>
    <row r="2242" spans="6:10">
      <c r="F2242"/>
      <c r="G2242"/>
      <c r="H2242"/>
      <c r="I2242"/>
      <c r="J2242"/>
    </row>
    <row r="2243" spans="6:10">
      <c r="F2243"/>
      <c r="G2243"/>
      <c r="H2243"/>
      <c r="I2243"/>
      <c r="J2243"/>
    </row>
    <row r="2244" spans="6:10">
      <c r="F2244"/>
      <c r="G2244"/>
      <c r="H2244"/>
      <c r="I2244"/>
      <c r="J2244"/>
    </row>
    <row r="2245" spans="6:10">
      <c r="F2245"/>
      <c r="G2245"/>
      <c r="H2245"/>
      <c r="I2245"/>
      <c r="J2245"/>
    </row>
    <row r="2246" spans="6:10">
      <c r="F2246"/>
      <c r="G2246"/>
      <c r="H2246"/>
      <c r="I2246"/>
      <c r="J2246"/>
    </row>
    <row r="2247" spans="6:10">
      <c r="F2247"/>
      <c r="G2247"/>
      <c r="H2247"/>
      <c r="I2247"/>
      <c r="J2247"/>
    </row>
    <row r="2248" spans="6:10">
      <c r="F2248"/>
      <c r="G2248"/>
      <c r="H2248"/>
      <c r="I2248"/>
      <c r="J2248"/>
    </row>
    <row r="2249" spans="6:10">
      <c r="F2249"/>
      <c r="G2249"/>
      <c r="H2249"/>
      <c r="I2249"/>
      <c r="J2249"/>
    </row>
    <row r="2250" spans="6:10">
      <c r="F2250"/>
      <c r="G2250"/>
      <c r="H2250"/>
      <c r="I2250"/>
      <c r="J2250"/>
    </row>
    <row r="2251" spans="6:10">
      <c r="F2251"/>
      <c r="G2251"/>
      <c r="H2251"/>
      <c r="I2251"/>
      <c r="J2251"/>
    </row>
    <row r="2252" spans="6:10">
      <c r="F2252"/>
      <c r="G2252"/>
      <c r="H2252"/>
      <c r="I2252"/>
      <c r="J2252"/>
    </row>
    <row r="2253" spans="6:10">
      <c r="F2253"/>
      <c r="G2253"/>
      <c r="H2253"/>
      <c r="I2253"/>
      <c r="J2253"/>
    </row>
    <row r="2254" spans="6:10">
      <c r="F2254"/>
      <c r="G2254"/>
      <c r="H2254"/>
      <c r="I2254"/>
      <c r="J2254"/>
    </row>
    <row r="2255" spans="6:10">
      <c r="F2255"/>
      <c r="G2255"/>
      <c r="H2255"/>
      <c r="I2255"/>
      <c r="J2255"/>
    </row>
    <row r="2256" spans="6:10">
      <c r="F2256"/>
      <c r="G2256"/>
      <c r="H2256"/>
      <c r="I2256"/>
      <c r="J2256"/>
    </row>
    <row r="2257" spans="6:10">
      <c r="F2257"/>
      <c r="G2257"/>
      <c r="H2257"/>
      <c r="I2257"/>
      <c r="J2257"/>
    </row>
    <row r="2258" spans="6:10">
      <c r="F2258"/>
      <c r="G2258"/>
      <c r="H2258"/>
      <c r="I2258"/>
      <c r="J2258"/>
    </row>
    <row r="2259" spans="6:10">
      <c r="F2259"/>
      <c r="G2259"/>
      <c r="H2259"/>
      <c r="I2259"/>
      <c r="J2259"/>
    </row>
    <row r="2260" spans="6:10">
      <c r="F2260"/>
      <c r="G2260"/>
      <c r="H2260"/>
      <c r="I2260"/>
      <c r="J2260"/>
    </row>
    <row r="2261" spans="6:10">
      <c r="F2261"/>
      <c r="G2261"/>
      <c r="H2261"/>
      <c r="I2261"/>
      <c r="J2261"/>
    </row>
    <row r="2262" spans="6:10">
      <c r="F2262"/>
      <c r="G2262"/>
      <c r="H2262"/>
      <c r="I2262"/>
      <c r="J2262"/>
    </row>
    <row r="2263" spans="6:10">
      <c r="F2263"/>
      <c r="G2263"/>
      <c r="H2263"/>
      <c r="I2263"/>
      <c r="J2263"/>
    </row>
    <row r="2264" spans="6:10">
      <c r="F2264"/>
      <c r="G2264"/>
      <c r="H2264"/>
      <c r="I2264"/>
      <c r="J2264"/>
    </row>
    <row r="2265" spans="6:10">
      <c r="F2265"/>
      <c r="G2265"/>
      <c r="H2265"/>
      <c r="I2265"/>
      <c r="J2265"/>
    </row>
    <row r="2266" spans="6:10">
      <c r="F2266"/>
      <c r="G2266"/>
      <c r="H2266"/>
      <c r="I2266"/>
      <c r="J2266"/>
    </row>
    <row r="2267" spans="6:10">
      <c r="F2267"/>
      <c r="G2267"/>
      <c r="H2267"/>
      <c r="I2267"/>
      <c r="J2267"/>
    </row>
    <row r="2268" spans="6:10">
      <c r="F2268"/>
      <c r="G2268"/>
      <c r="H2268"/>
      <c r="I2268"/>
      <c r="J2268"/>
    </row>
    <row r="2269" spans="6:10">
      <c r="F2269"/>
      <c r="G2269"/>
      <c r="H2269"/>
      <c r="I2269"/>
      <c r="J2269"/>
    </row>
    <row r="2270" spans="6:10">
      <c r="F2270"/>
      <c r="G2270"/>
      <c r="H2270"/>
      <c r="I2270"/>
      <c r="J2270"/>
    </row>
    <row r="2271" spans="6:10">
      <c r="F2271"/>
      <c r="G2271"/>
      <c r="H2271"/>
      <c r="I2271"/>
      <c r="J2271"/>
    </row>
    <row r="2272" spans="6:10">
      <c r="F2272"/>
      <c r="G2272"/>
      <c r="H2272"/>
      <c r="I2272"/>
      <c r="J2272"/>
    </row>
    <row r="2273" spans="6:10">
      <c r="F2273"/>
      <c r="G2273"/>
      <c r="H2273"/>
      <c r="I2273"/>
      <c r="J2273"/>
    </row>
    <row r="2274" spans="6:10">
      <c r="F2274"/>
      <c r="G2274"/>
      <c r="H2274"/>
      <c r="I2274"/>
      <c r="J2274"/>
    </row>
    <row r="2275" spans="6:10">
      <c r="F2275"/>
      <c r="G2275"/>
      <c r="H2275"/>
      <c r="I2275"/>
      <c r="J2275"/>
    </row>
    <row r="2276" spans="6:10">
      <c r="F2276"/>
      <c r="G2276"/>
      <c r="H2276"/>
      <c r="I2276"/>
      <c r="J2276"/>
    </row>
    <row r="2277" spans="6:10">
      <c r="F2277"/>
      <c r="G2277"/>
      <c r="H2277"/>
      <c r="I2277"/>
      <c r="J2277"/>
    </row>
    <row r="2278" spans="6:10">
      <c r="F2278"/>
      <c r="G2278"/>
      <c r="H2278"/>
      <c r="I2278"/>
      <c r="J2278"/>
    </row>
    <row r="2279" spans="6:10">
      <c r="F2279"/>
      <c r="G2279"/>
      <c r="H2279"/>
      <c r="I2279"/>
      <c r="J2279"/>
    </row>
    <row r="2280" spans="6:10">
      <c r="F2280"/>
      <c r="G2280"/>
      <c r="H2280"/>
      <c r="I2280"/>
      <c r="J2280"/>
    </row>
    <row r="2281" spans="6:10">
      <c r="F2281"/>
      <c r="G2281"/>
      <c r="H2281"/>
      <c r="I2281"/>
      <c r="J2281"/>
    </row>
    <row r="2282" spans="6:10">
      <c r="F2282"/>
      <c r="G2282"/>
      <c r="H2282"/>
      <c r="I2282"/>
      <c r="J2282"/>
    </row>
    <row r="2283" spans="6:10">
      <c r="F2283"/>
      <c r="G2283"/>
      <c r="H2283"/>
      <c r="I2283"/>
      <c r="J2283"/>
    </row>
    <row r="2284" spans="6:10">
      <c r="F2284"/>
      <c r="G2284"/>
      <c r="H2284"/>
      <c r="I2284"/>
      <c r="J2284"/>
    </row>
    <row r="2285" spans="6:10">
      <c r="F2285"/>
      <c r="G2285"/>
      <c r="H2285"/>
      <c r="I2285"/>
      <c r="J2285"/>
    </row>
    <row r="2286" spans="6:10">
      <c r="F2286"/>
      <c r="G2286"/>
      <c r="H2286"/>
      <c r="I2286"/>
      <c r="J2286"/>
    </row>
    <row r="2287" spans="6:10">
      <c r="F2287"/>
      <c r="G2287"/>
      <c r="H2287"/>
      <c r="I2287"/>
      <c r="J2287"/>
    </row>
    <row r="2288" spans="6:10">
      <c r="F2288"/>
      <c r="G2288"/>
      <c r="H2288"/>
      <c r="I2288"/>
      <c r="J2288"/>
    </row>
    <row r="2289" spans="6:10">
      <c r="F2289"/>
      <c r="G2289"/>
      <c r="H2289"/>
      <c r="I2289"/>
      <c r="J2289"/>
    </row>
    <row r="2290" spans="6:10">
      <c r="F2290"/>
      <c r="G2290"/>
      <c r="H2290"/>
      <c r="I2290"/>
      <c r="J2290"/>
    </row>
    <row r="2291" spans="6:10">
      <c r="F2291"/>
      <c r="G2291"/>
      <c r="H2291"/>
      <c r="I2291"/>
      <c r="J2291"/>
    </row>
    <row r="2292" spans="6:10">
      <c r="F2292"/>
      <c r="G2292"/>
      <c r="H2292"/>
      <c r="I2292"/>
      <c r="J2292"/>
    </row>
    <row r="2293" spans="6:10">
      <c r="F2293"/>
      <c r="G2293"/>
      <c r="H2293"/>
      <c r="I2293"/>
      <c r="J2293"/>
    </row>
    <row r="2294" spans="6:10">
      <c r="F2294"/>
      <c r="G2294"/>
      <c r="H2294"/>
      <c r="I2294"/>
      <c r="J2294"/>
    </row>
    <row r="2295" spans="6:10">
      <c r="F2295"/>
      <c r="G2295"/>
      <c r="H2295"/>
      <c r="I2295"/>
      <c r="J2295"/>
    </row>
    <row r="2296" spans="6:10">
      <c r="F2296"/>
      <c r="G2296"/>
      <c r="H2296"/>
      <c r="I2296"/>
      <c r="J2296"/>
    </row>
    <row r="2297" spans="6:10">
      <c r="F2297"/>
      <c r="G2297"/>
      <c r="H2297"/>
      <c r="I2297"/>
      <c r="J2297"/>
    </row>
    <row r="2298" spans="6:10">
      <c r="F2298"/>
      <c r="G2298"/>
      <c r="H2298"/>
      <c r="I2298"/>
      <c r="J2298"/>
    </row>
    <row r="2299" spans="6:10">
      <c r="F2299"/>
      <c r="G2299"/>
      <c r="H2299"/>
      <c r="I2299"/>
      <c r="J2299"/>
    </row>
    <row r="2300" spans="6:10">
      <c r="F2300"/>
      <c r="G2300"/>
      <c r="H2300"/>
      <c r="I2300"/>
      <c r="J2300"/>
    </row>
    <row r="2301" spans="6:10">
      <c r="F2301"/>
      <c r="G2301"/>
      <c r="H2301"/>
      <c r="I2301"/>
      <c r="J2301"/>
    </row>
    <row r="2302" spans="6:10">
      <c r="F2302"/>
      <c r="G2302"/>
      <c r="H2302"/>
      <c r="I2302"/>
      <c r="J2302"/>
    </row>
    <row r="2303" spans="6:10">
      <c r="F2303"/>
      <c r="G2303"/>
      <c r="H2303"/>
      <c r="I2303"/>
      <c r="J2303"/>
    </row>
    <row r="2304" spans="6:10">
      <c r="F2304"/>
      <c r="G2304"/>
      <c r="H2304"/>
      <c r="I2304"/>
      <c r="J2304"/>
    </row>
    <row r="2305" spans="6:10">
      <c r="F2305"/>
      <c r="G2305"/>
      <c r="H2305"/>
      <c r="I2305"/>
      <c r="J2305"/>
    </row>
    <row r="2306" spans="6:10">
      <c r="F2306"/>
      <c r="G2306"/>
      <c r="H2306"/>
      <c r="I2306"/>
      <c r="J2306"/>
    </row>
    <row r="2307" spans="6:10">
      <c r="F2307"/>
      <c r="G2307"/>
      <c r="H2307"/>
      <c r="I2307"/>
      <c r="J2307"/>
    </row>
    <row r="2308" spans="6:10">
      <c r="F2308"/>
      <c r="G2308"/>
      <c r="H2308"/>
      <c r="I2308"/>
      <c r="J2308"/>
    </row>
    <row r="2309" spans="6:10">
      <c r="F2309"/>
      <c r="G2309"/>
      <c r="H2309"/>
      <c r="I2309"/>
      <c r="J2309"/>
    </row>
    <row r="2310" spans="6:10">
      <c r="F2310"/>
      <c r="G2310"/>
      <c r="H2310"/>
      <c r="I2310"/>
      <c r="J2310"/>
    </row>
    <row r="2311" spans="6:10">
      <c r="F2311"/>
      <c r="G2311"/>
      <c r="H2311"/>
      <c r="I2311"/>
      <c r="J2311"/>
    </row>
    <row r="2312" spans="6:10">
      <c r="F2312"/>
      <c r="G2312"/>
      <c r="H2312"/>
      <c r="I2312"/>
      <c r="J2312"/>
    </row>
    <row r="2313" spans="6:10">
      <c r="F2313"/>
      <c r="G2313"/>
      <c r="H2313"/>
      <c r="I2313"/>
      <c r="J2313"/>
    </row>
    <row r="2314" spans="6:10">
      <c r="F2314"/>
      <c r="G2314"/>
      <c r="H2314"/>
      <c r="I2314"/>
      <c r="J2314"/>
    </row>
    <row r="2315" spans="6:10">
      <c r="F2315"/>
      <c r="G2315"/>
      <c r="H2315"/>
      <c r="I2315"/>
      <c r="J2315"/>
    </row>
    <row r="2316" spans="6:10">
      <c r="F2316"/>
      <c r="G2316"/>
      <c r="H2316"/>
      <c r="I2316"/>
      <c r="J2316"/>
    </row>
    <row r="2317" spans="6:10">
      <c r="F2317"/>
      <c r="G2317"/>
      <c r="H2317"/>
      <c r="I2317"/>
      <c r="J2317"/>
    </row>
    <row r="2318" spans="6:10">
      <c r="F2318"/>
      <c r="G2318"/>
      <c r="H2318"/>
      <c r="I2318"/>
      <c r="J2318"/>
    </row>
    <row r="2319" spans="6:10">
      <c r="F2319"/>
      <c r="G2319"/>
      <c r="H2319"/>
      <c r="I2319"/>
      <c r="J2319"/>
    </row>
    <row r="2320" spans="6:10">
      <c r="F2320"/>
      <c r="G2320"/>
      <c r="H2320"/>
      <c r="I2320"/>
      <c r="J2320"/>
    </row>
    <row r="2321" spans="6:10">
      <c r="F2321"/>
      <c r="G2321"/>
      <c r="H2321"/>
      <c r="I2321"/>
      <c r="J2321"/>
    </row>
    <row r="2322" spans="6:10">
      <c r="F2322"/>
      <c r="G2322"/>
      <c r="H2322"/>
      <c r="I2322"/>
      <c r="J2322"/>
    </row>
    <row r="2323" spans="6:10">
      <c r="F2323"/>
      <c r="G2323"/>
      <c r="H2323"/>
      <c r="I2323"/>
      <c r="J2323"/>
    </row>
    <row r="2324" spans="6:10">
      <c r="F2324"/>
      <c r="G2324"/>
      <c r="H2324"/>
      <c r="I2324"/>
      <c r="J2324"/>
    </row>
    <row r="2325" spans="6:10">
      <c r="F2325"/>
      <c r="G2325"/>
      <c r="H2325"/>
      <c r="I2325"/>
      <c r="J2325"/>
    </row>
    <row r="2326" spans="6:10">
      <c r="F2326"/>
      <c r="G2326"/>
      <c r="H2326"/>
      <c r="I2326"/>
      <c r="J2326"/>
    </row>
    <row r="2327" spans="6:10">
      <c r="F2327"/>
      <c r="G2327"/>
      <c r="H2327"/>
      <c r="I2327"/>
      <c r="J2327"/>
    </row>
    <row r="2328" spans="6:10">
      <c r="F2328"/>
      <c r="G2328"/>
      <c r="H2328"/>
      <c r="I2328"/>
      <c r="J2328"/>
    </row>
    <row r="2329" spans="6:10">
      <c r="F2329"/>
      <c r="G2329"/>
      <c r="H2329"/>
      <c r="I2329"/>
      <c r="J2329"/>
    </row>
    <row r="2330" spans="6:10">
      <c r="F2330"/>
      <c r="G2330"/>
      <c r="H2330"/>
      <c r="I2330"/>
      <c r="J2330"/>
    </row>
    <row r="2331" spans="6:10">
      <c r="F2331"/>
      <c r="G2331"/>
      <c r="H2331"/>
      <c r="I2331"/>
      <c r="J2331"/>
    </row>
    <row r="2332" spans="6:10">
      <c r="F2332"/>
      <c r="G2332"/>
      <c r="H2332"/>
      <c r="I2332"/>
      <c r="J2332"/>
    </row>
    <row r="2333" spans="6:10">
      <c r="F2333"/>
      <c r="G2333"/>
      <c r="H2333"/>
      <c r="I2333"/>
      <c r="J2333"/>
    </row>
    <row r="2334" spans="6:10">
      <c r="F2334"/>
      <c r="G2334"/>
      <c r="H2334"/>
      <c r="I2334"/>
      <c r="J2334"/>
    </row>
    <row r="2335" spans="6:10">
      <c r="F2335"/>
      <c r="G2335"/>
      <c r="H2335"/>
      <c r="I2335"/>
      <c r="J2335"/>
    </row>
    <row r="2336" spans="6:10">
      <c r="F2336"/>
      <c r="G2336"/>
      <c r="H2336"/>
      <c r="I2336"/>
      <c r="J2336"/>
    </row>
    <row r="2337" spans="6:10">
      <c r="F2337"/>
      <c r="G2337"/>
      <c r="H2337"/>
      <c r="I2337"/>
      <c r="J2337"/>
    </row>
    <row r="2338" spans="6:10">
      <c r="F2338"/>
      <c r="G2338"/>
      <c r="H2338"/>
      <c r="I2338"/>
      <c r="J2338"/>
    </row>
    <row r="2339" spans="6:10">
      <c r="F2339"/>
      <c r="G2339"/>
      <c r="H2339"/>
      <c r="I2339"/>
      <c r="J2339"/>
    </row>
    <row r="2340" spans="6:10">
      <c r="F2340"/>
      <c r="G2340"/>
      <c r="H2340"/>
      <c r="I2340"/>
      <c r="J2340"/>
    </row>
    <row r="2341" spans="6:10">
      <c r="F2341"/>
      <c r="G2341"/>
      <c r="H2341"/>
      <c r="I2341"/>
      <c r="J2341"/>
    </row>
    <row r="2342" spans="6:10">
      <c r="F2342"/>
      <c r="G2342"/>
      <c r="H2342"/>
      <c r="I2342"/>
      <c r="J2342"/>
    </row>
    <row r="2343" spans="6:10">
      <c r="F2343"/>
      <c r="G2343"/>
      <c r="H2343"/>
      <c r="I2343"/>
      <c r="J2343"/>
    </row>
    <row r="2344" spans="6:10">
      <c r="F2344"/>
      <c r="G2344"/>
      <c r="H2344"/>
      <c r="I2344"/>
      <c r="J2344"/>
    </row>
    <row r="2345" spans="6:10">
      <c r="F2345"/>
      <c r="G2345"/>
      <c r="H2345"/>
      <c r="I2345"/>
      <c r="J2345"/>
    </row>
    <row r="2346" spans="6:10">
      <c r="F2346"/>
      <c r="G2346"/>
      <c r="H2346"/>
      <c r="I2346"/>
      <c r="J2346"/>
    </row>
    <row r="2347" spans="6:10">
      <c r="F2347"/>
      <c r="G2347"/>
      <c r="H2347"/>
      <c r="I2347"/>
      <c r="J2347"/>
    </row>
    <row r="2348" spans="6:10">
      <c r="F2348"/>
      <c r="G2348"/>
      <c r="H2348"/>
      <c r="I2348"/>
      <c r="J2348"/>
    </row>
    <row r="2349" spans="6:10">
      <c r="F2349"/>
      <c r="G2349"/>
      <c r="H2349"/>
      <c r="I2349"/>
      <c r="J2349"/>
    </row>
    <row r="2350" spans="6:10">
      <c r="F2350"/>
      <c r="G2350"/>
      <c r="H2350"/>
      <c r="I2350"/>
      <c r="J2350"/>
    </row>
    <row r="2351" spans="6:10">
      <c r="F2351"/>
      <c r="G2351"/>
      <c r="H2351"/>
      <c r="I2351"/>
      <c r="J2351"/>
    </row>
    <row r="2352" spans="6:10">
      <c r="F2352"/>
      <c r="G2352"/>
      <c r="H2352"/>
      <c r="I2352"/>
      <c r="J2352"/>
    </row>
    <row r="2353" spans="6:10">
      <c r="F2353"/>
      <c r="G2353"/>
      <c r="H2353"/>
      <c r="I2353"/>
      <c r="J2353"/>
    </row>
    <row r="2354" spans="6:10">
      <c r="F2354"/>
      <c r="G2354"/>
      <c r="H2354"/>
      <c r="I2354"/>
      <c r="J2354"/>
    </row>
    <row r="2355" spans="6:10">
      <c r="F2355"/>
      <c r="G2355"/>
      <c r="H2355"/>
      <c r="I2355"/>
      <c r="J2355"/>
    </row>
    <row r="2356" spans="6:10">
      <c r="F2356"/>
      <c r="G2356"/>
      <c r="H2356"/>
      <c r="I2356"/>
      <c r="J2356"/>
    </row>
    <row r="2357" spans="6:10">
      <c r="F2357"/>
      <c r="G2357"/>
      <c r="H2357"/>
      <c r="I2357"/>
      <c r="J2357"/>
    </row>
    <row r="2358" spans="6:10">
      <c r="F2358"/>
      <c r="G2358"/>
      <c r="H2358"/>
      <c r="I2358"/>
      <c r="J2358"/>
    </row>
    <row r="2359" spans="6:10">
      <c r="F2359"/>
      <c r="G2359"/>
      <c r="H2359"/>
      <c r="I2359"/>
      <c r="J2359"/>
    </row>
    <row r="2360" spans="6:10">
      <c r="F2360"/>
      <c r="G2360"/>
      <c r="H2360"/>
      <c r="I2360"/>
      <c r="J2360"/>
    </row>
    <row r="2361" spans="6:10">
      <c r="F2361"/>
      <c r="G2361"/>
      <c r="H2361"/>
      <c r="I2361"/>
      <c r="J2361"/>
    </row>
    <row r="2362" spans="6:10">
      <c r="F2362"/>
      <c r="G2362"/>
      <c r="H2362"/>
      <c r="I2362"/>
      <c r="J2362"/>
    </row>
    <row r="2363" spans="6:10">
      <c r="F2363"/>
      <c r="G2363"/>
      <c r="H2363"/>
      <c r="I2363"/>
      <c r="J2363"/>
    </row>
    <row r="2364" spans="6:10">
      <c r="F2364"/>
      <c r="G2364"/>
      <c r="H2364"/>
      <c r="I2364"/>
      <c r="J2364"/>
    </row>
    <row r="2365" spans="6:10">
      <c r="F2365"/>
      <c r="G2365"/>
      <c r="H2365"/>
      <c r="I2365"/>
      <c r="J2365"/>
    </row>
    <row r="2366" spans="6:10">
      <c r="F2366"/>
      <c r="G2366"/>
      <c r="H2366"/>
      <c r="I2366"/>
      <c r="J2366"/>
    </row>
    <row r="2367" spans="6:10">
      <c r="F2367"/>
      <c r="G2367"/>
      <c r="H2367"/>
      <c r="I2367"/>
      <c r="J2367"/>
    </row>
    <row r="2368" spans="6:10">
      <c r="F2368"/>
      <c r="G2368"/>
      <c r="H2368"/>
      <c r="I2368"/>
      <c r="J2368"/>
    </row>
    <row r="2369" spans="6:10">
      <c r="F2369"/>
      <c r="G2369"/>
      <c r="H2369"/>
      <c r="I2369"/>
      <c r="J2369"/>
    </row>
    <row r="2370" spans="6:10">
      <c r="F2370"/>
      <c r="G2370"/>
      <c r="H2370"/>
      <c r="I2370"/>
      <c r="J2370"/>
    </row>
    <row r="2371" spans="6:10">
      <c r="F2371"/>
      <c r="G2371"/>
      <c r="H2371"/>
      <c r="I2371"/>
      <c r="J2371"/>
    </row>
    <row r="2372" spans="6:10">
      <c r="F2372"/>
      <c r="G2372"/>
      <c r="H2372"/>
      <c r="I2372"/>
      <c r="J2372"/>
    </row>
    <row r="2373" spans="6:10">
      <c r="F2373"/>
      <c r="G2373"/>
      <c r="H2373"/>
      <c r="I2373"/>
      <c r="J2373"/>
    </row>
    <row r="2374" spans="6:10">
      <c r="F2374"/>
      <c r="G2374"/>
      <c r="H2374"/>
      <c r="I2374"/>
      <c r="J2374"/>
    </row>
    <row r="2375" spans="6:10">
      <c r="F2375"/>
      <c r="G2375"/>
      <c r="H2375"/>
      <c r="I2375"/>
      <c r="J2375"/>
    </row>
    <row r="2376" spans="6:10">
      <c r="F2376"/>
      <c r="G2376"/>
      <c r="H2376"/>
      <c r="I2376"/>
      <c r="J2376"/>
    </row>
    <row r="2377" spans="6:10">
      <c r="F2377"/>
      <c r="G2377"/>
      <c r="H2377"/>
      <c r="I2377"/>
      <c r="J2377"/>
    </row>
    <row r="2378" spans="6:10">
      <c r="F2378"/>
      <c r="G2378"/>
      <c r="H2378"/>
      <c r="I2378"/>
      <c r="J2378"/>
    </row>
    <row r="2379" spans="6:10">
      <c r="F2379"/>
      <c r="G2379"/>
      <c r="H2379"/>
      <c r="I2379"/>
      <c r="J2379"/>
    </row>
    <row r="2380" spans="6:10">
      <c r="F2380"/>
      <c r="G2380"/>
      <c r="H2380"/>
      <c r="I2380"/>
      <c r="J2380"/>
    </row>
    <row r="2381" spans="6:10">
      <c r="F2381"/>
      <c r="G2381"/>
      <c r="H2381"/>
      <c r="I2381"/>
      <c r="J2381"/>
    </row>
    <row r="2382" spans="6:10">
      <c r="F2382"/>
      <c r="G2382"/>
      <c r="H2382"/>
      <c r="I2382"/>
      <c r="J2382"/>
    </row>
    <row r="2383" spans="6:10">
      <c r="F2383"/>
      <c r="G2383"/>
      <c r="H2383"/>
      <c r="I2383"/>
      <c r="J2383"/>
    </row>
    <row r="2384" spans="6:10">
      <c r="F2384"/>
      <c r="G2384"/>
      <c r="H2384"/>
      <c r="I2384"/>
      <c r="J2384"/>
    </row>
    <row r="2385" spans="6:10">
      <c r="F2385"/>
      <c r="G2385"/>
      <c r="H2385"/>
      <c r="I2385"/>
      <c r="J2385"/>
    </row>
    <row r="2386" spans="6:10">
      <c r="F2386"/>
      <c r="G2386"/>
      <c r="H2386"/>
      <c r="I2386"/>
      <c r="J2386"/>
    </row>
    <row r="2387" spans="6:10">
      <c r="F2387"/>
      <c r="G2387"/>
      <c r="H2387"/>
      <c r="I2387"/>
      <c r="J2387"/>
    </row>
    <row r="2388" spans="6:10">
      <c r="F2388"/>
      <c r="G2388"/>
      <c r="H2388"/>
      <c r="I2388"/>
      <c r="J2388"/>
    </row>
    <row r="2389" spans="6:10">
      <c r="F2389"/>
      <c r="G2389"/>
      <c r="H2389"/>
      <c r="I2389"/>
      <c r="J2389"/>
    </row>
    <row r="2390" spans="6:10">
      <c r="F2390"/>
      <c r="G2390"/>
      <c r="H2390"/>
      <c r="I2390"/>
      <c r="J2390"/>
    </row>
    <row r="2391" spans="6:10">
      <c r="F2391"/>
      <c r="G2391"/>
      <c r="H2391"/>
      <c r="I2391"/>
      <c r="J2391"/>
    </row>
    <row r="2392" spans="6:10">
      <c r="F2392"/>
      <c r="G2392"/>
      <c r="H2392"/>
      <c r="I2392"/>
      <c r="J2392"/>
    </row>
    <row r="2393" spans="6:10">
      <c r="F2393"/>
      <c r="G2393"/>
      <c r="H2393"/>
      <c r="I2393"/>
      <c r="J2393"/>
    </row>
    <row r="2394" spans="6:10">
      <c r="F2394"/>
      <c r="G2394"/>
      <c r="H2394"/>
      <c r="I2394"/>
      <c r="J2394"/>
    </row>
    <row r="2395" spans="6:10">
      <c r="F2395"/>
      <c r="G2395"/>
      <c r="H2395"/>
      <c r="I2395"/>
      <c r="J2395"/>
    </row>
    <row r="2396" spans="6:10">
      <c r="F2396"/>
      <c r="G2396"/>
      <c r="H2396"/>
      <c r="I2396"/>
      <c r="J2396"/>
    </row>
    <row r="2397" spans="6:10">
      <c r="F2397"/>
      <c r="G2397"/>
      <c r="H2397"/>
      <c r="I2397"/>
      <c r="J2397"/>
    </row>
    <row r="2398" spans="6:10">
      <c r="F2398"/>
      <c r="G2398"/>
      <c r="H2398"/>
      <c r="I2398"/>
      <c r="J2398"/>
    </row>
    <row r="2399" spans="6:10">
      <c r="F2399"/>
      <c r="G2399"/>
      <c r="H2399"/>
      <c r="I2399"/>
      <c r="J2399"/>
    </row>
    <row r="2400" spans="6:10">
      <c r="F2400"/>
      <c r="G2400"/>
      <c r="H2400"/>
      <c r="I2400"/>
      <c r="J2400"/>
    </row>
    <row r="2401" spans="6:10">
      <c r="F2401"/>
      <c r="G2401"/>
      <c r="H2401"/>
      <c r="I2401"/>
      <c r="J2401"/>
    </row>
    <row r="2402" spans="6:10">
      <c r="F2402"/>
      <c r="G2402"/>
      <c r="H2402"/>
      <c r="I2402"/>
      <c r="J2402"/>
    </row>
    <row r="2403" spans="6:10">
      <c r="F2403"/>
      <c r="G2403"/>
      <c r="H2403"/>
      <c r="I2403"/>
      <c r="J2403"/>
    </row>
    <row r="2404" spans="6:10">
      <c r="F2404"/>
      <c r="G2404"/>
      <c r="H2404"/>
      <c r="I2404"/>
      <c r="J2404"/>
    </row>
    <row r="2405" spans="6:10">
      <c r="F2405"/>
      <c r="G2405"/>
      <c r="H2405"/>
      <c r="I2405"/>
      <c r="J2405"/>
    </row>
    <row r="2406" spans="6:10">
      <c r="F2406"/>
      <c r="G2406"/>
      <c r="H2406"/>
      <c r="I2406"/>
      <c r="J2406"/>
    </row>
    <row r="2407" spans="6:10">
      <c r="F2407"/>
      <c r="G2407"/>
      <c r="H2407"/>
      <c r="I2407"/>
      <c r="J2407"/>
    </row>
    <row r="2408" spans="6:10">
      <c r="F2408"/>
      <c r="G2408"/>
      <c r="H2408"/>
      <c r="I2408"/>
      <c r="J2408"/>
    </row>
    <row r="2409" spans="6:10">
      <c r="F2409"/>
      <c r="G2409"/>
      <c r="H2409"/>
      <c r="I2409"/>
      <c r="J2409"/>
    </row>
    <row r="2410" spans="6:10">
      <c r="F2410"/>
      <c r="G2410"/>
      <c r="H2410"/>
      <c r="I2410"/>
      <c r="J2410"/>
    </row>
    <row r="2411" spans="6:10">
      <c r="F2411"/>
      <c r="G2411"/>
      <c r="H2411"/>
      <c r="I2411"/>
      <c r="J2411"/>
    </row>
    <row r="2412" spans="6:10">
      <c r="F2412"/>
      <c r="G2412"/>
      <c r="H2412"/>
      <c r="I2412"/>
      <c r="J2412"/>
    </row>
    <row r="2413" spans="6:10">
      <c r="F2413"/>
      <c r="G2413"/>
      <c r="H2413"/>
      <c r="I2413"/>
      <c r="J2413"/>
    </row>
    <row r="2414" spans="6:10">
      <c r="F2414"/>
      <c r="G2414"/>
      <c r="H2414"/>
      <c r="I2414"/>
      <c r="J2414"/>
    </row>
    <row r="2415" spans="6:10">
      <c r="F2415"/>
      <c r="G2415"/>
      <c r="H2415"/>
      <c r="I2415"/>
      <c r="J2415"/>
    </row>
    <row r="2416" spans="6:10">
      <c r="F2416"/>
      <c r="G2416"/>
      <c r="H2416"/>
      <c r="I2416"/>
      <c r="J2416"/>
    </row>
    <row r="2417" spans="6:10">
      <c r="F2417"/>
      <c r="G2417"/>
      <c r="H2417"/>
      <c r="I2417"/>
      <c r="J2417"/>
    </row>
    <row r="2418" spans="6:10">
      <c r="F2418"/>
      <c r="G2418"/>
      <c r="H2418"/>
      <c r="I2418"/>
      <c r="J2418"/>
    </row>
    <row r="2419" spans="6:10">
      <c r="F2419"/>
      <c r="G2419"/>
      <c r="H2419"/>
      <c r="I2419"/>
      <c r="J2419"/>
    </row>
    <row r="2420" spans="6:10">
      <c r="F2420"/>
      <c r="G2420"/>
      <c r="H2420"/>
      <c r="I2420"/>
      <c r="J2420"/>
    </row>
    <row r="2421" spans="6:10">
      <c r="F2421"/>
      <c r="G2421"/>
      <c r="H2421"/>
      <c r="I2421"/>
      <c r="J2421"/>
    </row>
    <row r="2422" spans="6:10">
      <c r="F2422"/>
      <c r="G2422"/>
      <c r="H2422"/>
      <c r="I2422"/>
      <c r="J2422"/>
    </row>
    <row r="2423" spans="6:10">
      <c r="F2423"/>
      <c r="G2423"/>
      <c r="H2423"/>
      <c r="I2423"/>
      <c r="J2423"/>
    </row>
    <row r="2424" spans="6:10">
      <c r="F2424"/>
      <c r="G2424"/>
      <c r="H2424"/>
      <c r="I2424"/>
      <c r="J2424"/>
    </row>
    <row r="2425" spans="6:10">
      <c r="F2425"/>
      <c r="G2425"/>
      <c r="H2425"/>
      <c r="I2425"/>
      <c r="J2425"/>
    </row>
    <row r="2426" spans="6:10">
      <c r="F2426"/>
      <c r="G2426"/>
      <c r="H2426"/>
      <c r="I2426"/>
      <c r="J2426"/>
    </row>
    <row r="2427" spans="6:10">
      <c r="F2427"/>
      <c r="G2427"/>
      <c r="H2427"/>
      <c r="I2427"/>
      <c r="J2427"/>
    </row>
    <row r="2428" spans="6:10">
      <c r="F2428"/>
      <c r="G2428"/>
      <c r="H2428"/>
      <c r="I2428"/>
      <c r="J2428"/>
    </row>
    <row r="2429" spans="6:10">
      <c r="F2429"/>
      <c r="G2429"/>
      <c r="H2429"/>
      <c r="I2429"/>
      <c r="J2429"/>
    </row>
    <row r="2430" spans="6:10">
      <c r="F2430"/>
      <c r="G2430"/>
      <c r="H2430"/>
      <c r="I2430"/>
      <c r="J2430"/>
    </row>
    <row r="2431" spans="6:10">
      <c r="F2431"/>
      <c r="G2431"/>
      <c r="H2431"/>
      <c r="I2431"/>
      <c r="J2431"/>
    </row>
    <row r="2432" spans="6:10">
      <c r="F2432"/>
      <c r="G2432"/>
      <c r="H2432"/>
      <c r="I2432"/>
      <c r="J2432"/>
    </row>
    <row r="2433" spans="6:10">
      <c r="F2433"/>
      <c r="G2433"/>
      <c r="H2433"/>
      <c r="I2433"/>
      <c r="J2433"/>
    </row>
    <row r="2434" spans="6:10">
      <c r="F2434"/>
      <c r="G2434"/>
      <c r="H2434"/>
      <c r="I2434"/>
      <c r="J2434"/>
    </row>
    <row r="2435" spans="6:10">
      <c r="F2435"/>
      <c r="G2435"/>
      <c r="H2435"/>
      <c r="I2435"/>
      <c r="J2435"/>
    </row>
    <row r="2436" spans="6:10">
      <c r="F2436"/>
      <c r="G2436"/>
      <c r="H2436"/>
      <c r="I2436"/>
      <c r="J2436"/>
    </row>
    <row r="2437" spans="6:10">
      <c r="F2437"/>
      <c r="G2437"/>
      <c r="H2437"/>
      <c r="I2437"/>
      <c r="J2437"/>
    </row>
    <row r="2438" spans="6:10">
      <c r="F2438"/>
      <c r="G2438"/>
      <c r="H2438"/>
      <c r="I2438"/>
      <c r="J2438"/>
    </row>
    <row r="2439" spans="6:10">
      <c r="F2439"/>
      <c r="G2439"/>
      <c r="H2439"/>
      <c r="I2439"/>
      <c r="J2439"/>
    </row>
    <row r="2440" spans="6:10">
      <c r="F2440"/>
      <c r="G2440"/>
      <c r="H2440"/>
      <c r="I2440"/>
      <c r="J2440"/>
    </row>
    <row r="2441" spans="6:10">
      <c r="F2441"/>
      <c r="G2441"/>
      <c r="H2441"/>
      <c r="I2441"/>
      <c r="J2441"/>
    </row>
    <row r="2442" spans="6:10">
      <c r="F2442"/>
      <c r="G2442"/>
      <c r="H2442"/>
      <c r="I2442"/>
      <c r="J2442"/>
    </row>
    <row r="2443" spans="6:10">
      <c r="F2443"/>
      <c r="G2443"/>
      <c r="H2443"/>
      <c r="I2443"/>
      <c r="J2443"/>
    </row>
    <row r="2444" spans="6:10">
      <c r="F2444"/>
      <c r="G2444"/>
      <c r="H2444"/>
      <c r="I2444"/>
      <c r="J2444"/>
    </row>
    <row r="2445" spans="6:10">
      <c r="F2445"/>
      <c r="G2445"/>
      <c r="H2445"/>
      <c r="I2445"/>
      <c r="J2445"/>
    </row>
    <row r="2446" spans="6:10">
      <c r="F2446"/>
      <c r="G2446"/>
      <c r="H2446"/>
      <c r="I2446"/>
      <c r="J2446"/>
    </row>
    <row r="2447" spans="6:10">
      <c r="F2447"/>
      <c r="G2447"/>
      <c r="H2447"/>
      <c r="I2447"/>
      <c r="J2447"/>
    </row>
    <row r="2448" spans="6:10">
      <c r="F2448"/>
      <c r="G2448"/>
      <c r="H2448"/>
      <c r="I2448"/>
      <c r="J2448"/>
    </row>
    <row r="2449" spans="6:10">
      <c r="F2449"/>
      <c r="G2449"/>
      <c r="H2449"/>
      <c r="I2449"/>
      <c r="J2449"/>
    </row>
    <row r="2450" spans="6:10">
      <c r="F2450"/>
      <c r="G2450"/>
      <c r="H2450"/>
      <c r="I2450"/>
      <c r="J2450"/>
    </row>
    <row r="2451" spans="6:10">
      <c r="F2451"/>
      <c r="G2451"/>
      <c r="H2451"/>
      <c r="I2451"/>
      <c r="J2451"/>
    </row>
    <row r="2452" spans="6:10">
      <c r="F2452"/>
      <c r="G2452"/>
      <c r="H2452"/>
      <c r="I2452"/>
      <c r="J2452"/>
    </row>
    <row r="2453" spans="6:10">
      <c r="F2453"/>
      <c r="G2453"/>
      <c r="H2453"/>
      <c r="I2453"/>
      <c r="J2453"/>
    </row>
    <row r="2454" spans="6:10">
      <c r="F2454"/>
      <c r="G2454"/>
      <c r="H2454"/>
      <c r="I2454"/>
      <c r="J2454"/>
    </row>
    <row r="2455" spans="6:10">
      <c r="F2455"/>
      <c r="G2455"/>
      <c r="H2455"/>
      <c r="I2455"/>
      <c r="J2455"/>
    </row>
    <row r="2456" spans="6:10">
      <c r="F2456"/>
      <c r="G2456"/>
      <c r="H2456"/>
      <c r="I2456"/>
      <c r="J2456"/>
    </row>
    <row r="2457" spans="6:10">
      <c r="F2457"/>
      <c r="G2457"/>
      <c r="H2457"/>
      <c r="I2457"/>
      <c r="J2457"/>
    </row>
    <row r="2458" spans="6:10">
      <c r="F2458"/>
      <c r="G2458"/>
      <c r="H2458"/>
      <c r="I2458"/>
      <c r="J2458"/>
    </row>
    <row r="2459" spans="6:10">
      <c r="F2459"/>
      <c r="G2459"/>
      <c r="H2459"/>
      <c r="I2459"/>
      <c r="J2459"/>
    </row>
    <row r="2460" spans="6:10">
      <c r="F2460"/>
      <c r="G2460"/>
      <c r="H2460"/>
      <c r="I2460"/>
      <c r="J2460"/>
    </row>
    <row r="2461" spans="6:10">
      <c r="F2461"/>
      <c r="G2461"/>
      <c r="H2461"/>
      <c r="I2461"/>
      <c r="J2461"/>
    </row>
    <row r="2462" spans="6:10">
      <c r="F2462"/>
      <c r="G2462"/>
      <c r="H2462"/>
      <c r="I2462"/>
      <c r="J2462"/>
    </row>
    <row r="2463" spans="6:10">
      <c r="F2463"/>
      <c r="G2463"/>
      <c r="H2463"/>
      <c r="I2463"/>
      <c r="J2463"/>
    </row>
    <row r="2464" spans="6:10">
      <c r="F2464"/>
      <c r="G2464"/>
      <c r="H2464"/>
      <c r="I2464"/>
      <c r="J2464"/>
    </row>
    <row r="2465" spans="6:10">
      <c r="F2465"/>
      <c r="G2465"/>
      <c r="H2465"/>
      <c r="I2465"/>
      <c r="J2465"/>
    </row>
    <row r="2466" spans="6:10">
      <c r="F2466"/>
      <c r="G2466"/>
      <c r="H2466"/>
      <c r="I2466"/>
      <c r="J2466"/>
    </row>
    <row r="2467" spans="6:10">
      <c r="F2467"/>
      <c r="G2467"/>
      <c r="H2467"/>
      <c r="I2467"/>
      <c r="J2467"/>
    </row>
    <row r="2468" spans="6:10">
      <c r="F2468"/>
      <c r="G2468"/>
      <c r="H2468"/>
      <c r="I2468"/>
      <c r="J2468"/>
    </row>
    <row r="2469" spans="6:10">
      <c r="F2469"/>
      <c r="G2469"/>
      <c r="H2469"/>
      <c r="I2469"/>
      <c r="J2469"/>
    </row>
    <row r="2470" spans="6:10">
      <c r="F2470"/>
      <c r="G2470"/>
      <c r="H2470"/>
      <c r="I2470"/>
      <c r="J2470"/>
    </row>
    <row r="2471" spans="6:10">
      <c r="F2471"/>
      <c r="G2471"/>
      <c r="H2471"/>
      <c r="I2471"/>
      <c r="J2471"/>
    </row>
    <row r="2472" spans="6:10">
      <c r="F2472"/>
      <c r="G2472"/>
      <c r="H2472"/>
      <c r="I2472"/>
      <c r="J2472"/>
    </row>
    <row r="2473" spans="6:10">
      <c r="F2473"/>
      <c r="G2473"/>
      <c r="H2473"/>
      <c r="I2473"/>
      <c r="J2473"/>
    </row>
    <row r="2474" spans="6:10">
      <c r="F2474"/>
      <c r="G2474"/>
      <c r="H2474"/>
      <c r="I2474"/>
      <c r="J2474"/>
    </row>
    <row r="2475" spans="6:10">
      <c r="F2475"/>
      <c r="G2475"/>
      <c r="H2475"/>
      <c r="I2475"/>
      <c r="J2475"/>
    </row>
    <row r="2476" spans="6:10">
      <c r="F2476"/>
      <c r="G2476"/>
      <c r="H2476"/>
      <c r="I2476"/>
      <c r="J2476"/>
    </row>
    <row r="2477" spans="6:10">
      <c r="F2477"/>
      <c r="G2477"/>
      <c r="H2477"/>
      <c r="I2477"/>
      <c r="J2477"/>
    </row>
    <row r="2478" spans="6:10">
      <c r="F2478"/>
      <c r="G2478"/>
      <c r="H2478"/>
      <c r="I2478"/>
      <c r="J2478"/>
    </row>
    <row r="2479" spans="6:10">
      <c r="F2479"/>
      <c r="G2479"/>
      <c r="H2479"/>
      <c r="I2479"/>
      <c r="J2479"/>
    </row>
    <row r="2480" spans="6:10">
      <c r="F2480"/>
      <c r="G2480"/>
      <c r="H2480"/>
      <c r="I2480"/>
      <c r="J2480"/>
    </row>
    <row r="2481" spans="6:10">
      <c r="F2481"/>
      <c r="G2481"/>
      <c r="H2481"/>
      <c r="I2481"/>
      <c r="J2481"/>
    </row>
    <row r="2482" spans="6:10">
      <c r="F2482"/>
      <c r="G2482"/>
      <c r="H2482"/>
      <c r="I2482"/>
      <c r="J2482"/>
    </row>
    <row r="2483" spans="6:10">
      <c r="F2483"/>
      <c r="G2483"/>
      <c r="H2483"/>
      <c r="I2483"/>
      <c r="J2483"/>
    </row>
    <row r="2484" spans="6:10">
      <c r="F2484"/>
      <c r="G2484"/>
      <c r="H2484"/>
      <c r="I2484"/>
      <c r="J2484"/>
    </row>
    <row r="2485" spans="6:10">
      <c r="F2485"/>
      <c r="G2485"/>
      <c r="H2485"/>
      <c r="I2485"/>
      <c r="J2485"/>
    </row>
    <row r="2486" spans="6:10">
      <c r="F2486"/>
      <c r="G2486"/>
      <c r="H2486"/>
      <c r="I2486"/>
      <c r="J2486"/>
    </row>
    <row r="2487" spans="6:10">
      <c r="F2487"/>
      <c r="G2487"/>
      <c r="H2487"/>
      <c r="I2487"/>
      <c r="J2487"/>
    </row>
    <row r="2488" spans="6:10">
      <c r="F2488"/>
      <c r="G2488"/>
      <c r="H2488"/>
      <c r="I2488"/>
      <c r="J2488"/>
    </row>
    <row r="2489" spans="6:10">
      <c r="F2489"/>
      <c r="G2489"/>
      <c r="H2489"/>
      <c r="I2489"/>
      <c r="J2489"/>
    </row>
    <row r="2490" spans="6:10">
      <c r="F2490"/>
      <c r="G2490"/>
      <c r="H2490"/>
      <c r="I2490"/>
      <c r="J2490"/>
    </row>
    <row r="2491" spans="6:10">
      <c r="F2491"/>
      <c r="G2491"/>
      <c r="H2491"/>
      <c r="I2491"/>
      <c r="J2491"/>
    </row>
    <row r="2492" spans="6:10">
      <c r="F2492"/>
      <c r="G2492"/>
      <c r="H2492"/>
      <c r="I2492"/>
      <c r="J2492"/>
    </row>
    <row r="2493" spans="6:10">
      <c r="F2493"/>
      <c r="G2493"/>
      <c r="H2493"/>
      <c r="I2493"/>
      <c r="J2493"/>
    </row>
    <row r="2494" spans="6:10">
      <c r="F2494"/>
      <c r="G2494"/>
      <c r="H2494"/>
      <c r="I2494"/>
      <c r="J2494"/>
    </row>
    <row r="2495" spans="6:10">
      <c r="F2495"/>
      <c r="G2495"/>
      <c r="H2495"/>
      <c r="I2495"/>
      <c r="J2495"/>
    </row>
    <row r="2496" spans="6:10">
      <c r="F2496"/>
      <c r="G2496"/>
      <c r="H2496"/>
      <c r="I2496"/>
      <c r="J2496"/>
    </row>
    <row r="2497" spans="6:10">
      <c r="F2497"/>
      <c r="G2497"/>
      <c r="H2497"/>
      <c r="I2497"/>
      <c r="J2497"/>
    </row>
    <row r="2498" spans="6:10">
      <c r="F2498"/>
      <c r="G2498"/>
      <c r="H2498"/>
      <c r="I2498"/>
      <c r="J2498"/>
    </row>
    <row r="2499" spans="6:10">
      <c r="F2499"/>
      <c r="G2499"/>
      <c r="H2499"/>
      <c r="I2499"/>
      <c r="J2499"/>
    </row>
    <row r="2500" spans="6:10">
      <c r="F2500"/>
      <c r="G2500"/>
      <c r="H2500"/>
      <c r="I2500"/>
      <c r="J2500"/>
    </row>
    <row r="2501" spans="6:10">
      <c r="F2501"/>
      <c r="G2501"/>
      <c r="H2501"/>
      <c r="I2501"/>
      <c r="J2501"/>
    </row>
    <row r="2502" spans="6:10">
      <c r="F2502"/>
      <c r="G2502"/>
      <c r="H2502"/>
      <c r="I2502"/>
      <c r="J2502"/>
    </row>
    <row r="2503" spans="6:10">
      <c r="F2503"/>
      <c r="G2503"/>
      <c r="H2503"/>
      <c r="I2503"/>
      <c r="J2503"/>
    </row>
    <row r="2504" spans="6:10">
      <c r="F2504"/>
      <c r="G2504"/>
      <c r="H2504"/>
      <c r="I2504"/>
      <c r="J2504"/>
    </row>
    <row r="2505" spans="6:10">
      <c r="F2505"/>
      <c r="G2505"/>
      <c r="H2505"/>
      <c r="I2505"/>
      <c r="J2505"/>
    </row>
    <row r="2506" spans="6:10">
      <c r="F2506"/>
      <c r="G2506"/>
      <c r="H2506"/>
      <c r="I2506"/>
      <c r="J2506"/>
    </row>
    <row r="2507" spans="6:10">
      <c r="F2507"/>
      <c r="G2507"/>
      <c r="H2507"/>
      <c r="I2507"/>
      <c r="J2507"/>
    </row>
    <row r="2508" spans="6:10">
      <c r="F2508"/>
      <c r="G2508"/>
      <c r="H2508"/>
      <c r="I2508"/>
      <c r="J2508"/>
    </row>
    <row r="2509" spans="6:10">
      <c r="F2509"/>
      <c r="G2509"/>
      <c r="H2509"/>
      <c r="I2509"/>
      <c r="J2509"/>
    </row>
    <row r="2510" spans="6:10">
      <c r="F2510"/>
      <c r="G2510"/>
      <c r="H2510"/>
      <c r="I2510"/>
      <c r="J2510"/>
    </row>
    <row r="2511" spans="6:10">
      <c r="F2511"/>
      <c r="G2511"/>
      <c r="H2511"/>
      <c r="I2511"/>
      <c r="J2511"/>
    </row>
    <row r="2512" spans="6:10">
      <c r="F2512"/>
      <c r="G2512"/>
      <c r="H2512"/>
      <c r="I2512"/>
      <c r="J2512"/>
    </row>
    <row r="2513" spans="6:10">
      <c r="F2513"/>
      <c r="G2513"/>
      <c r="H2513"/>
      <c r="I2513"/>
      <c r="J2513"/>
    </row>
    <row r="2514" spans="6:10">
      <c r="F2514"/>
      <c r="G2514"/>
      <c r="H2514"/>
      <c r="I2514"/>
      <c r="J2514"/>
    </row>
    <row r="2515" spans="6:10">
      <c r="F2515"/>
      <c r="G2515"/>
      <c r="H2515"/>
      <c r="I2515"/>
      <c r="J2515"/>
    </row>
    <row r="2516" spans="6:10">
      <c r="F2516"/>
      <c r="G2516"/>
      <c r="H2516"/>
      <c r="I2516"/>
      <c r="J2516"/>
    </row>
    <row r="2517" spans="6:10">
      <c r="F2517"/>
      <c r="G2517"/>
      <c r="H2517"/>
      <c r="I2517"/>
      <c r="J2517"/>
    </row>
    <row r="2518" spans="6:10">
      <c r="F2518"/>
      <c r="G2518"/>
      <c r="H2518"/>
      <c r="I2518"/>
      <c r="J2518"/>
    </row>
    <row r="2519" spans="6:10">
      <c r="F2519"/>
      <c r="G2519"/>
      <c r="H2519"/>
      <c r="I2519"/>
      <c r="J2519"/>
    </row>
    <row r="2520" spans="6:10">
      <c r="F2520"/>
      <c r="G2520"/>
      <c r="H2520"/>
      <c r="I2520"/>
      <c r="J2520"/>
    </row>
    <row r="2521" spans="6:10">
      <c r="F2521"/>
      <c r="G2521"/>
      <c r="H2521"/>
      <c r="I2521"/>
      <c r="J2521"/>
    </row>
    <row r="2522" spans="6:10">
      <c r="F2522"/>
      <c r="G2522"/>
      <c r="H2522"/>
      <c r="I2522"/>
      <c r="J2522"/>
    </row>
    <row r="2523" spans="6:10">
      <c r="F2523"/>
      <c r="G2523"/>
      <c r="H2523"/>
      <c r="I2523"/>
      <c r="J2523"/>
    </row>
    <row r="2524" spans="6:10">
      <c r="F2524"/>
      <c r="G2524"/>
      <c r="H2524"/>
      <c r="I2524"/>
      <c r="J2524"/>
    </row>
    <row r="2525" spans="6:10">
      <c r="F2525"/>
      <c r="G2525"/>
      <c r="H2525"/>
      <c r="I2525"/>
      <c r="J2525"/>
    </row>
    <row r="2526" spans="6:10">
      <c r="F2526"/>
      <c r="G2526"/>
      <c r="H2526"/>
      <c r="I2526"/>
      <c r="J2526"/>
    </row>
    <row r="2527" spans="6:10">
      <c r="F2527"/>
      <c r="G2527"/>
      <c r="H2527"/>
      <c r="I2527"/>
      <c r="J2527"/>
    </row>
    <row r="2528" spans="6:10">
      <c r="F2528"/>
      <c r="G2528"/>
      <c r="H2528"/>
      <c r="I2528"/>
      <c r="J2528"/>
    </row>
    <row r="2529" spans="6:10">
      <c r="F2529"/>
      <c r="G2529"/>
      <c r="H2529"/>
      <c r="I2529"/>
      <c r="J2529"/>
    </row>
    <row r="2530" spans="6:10">
      <c r="F2530"/>
      <c r="G2530"/>
      <c r="H2530"/>
      <c r="I2530"/>
      <c r="J2530"/>
    </row>
    <row r="2531" spans="6:10">
      <c r="F2531"/>
      <c r="G2531"/>
      <c r="H2531"/>
      <c r="I2531"/>
      <c r="J2531"/>
    </row>
    <row r="2532" spans="6:10">
      <c r="F2532"/>
      <c r="G2532"/>
      <c r="H2532"/>
      <c r="I2532"/>
      <c r="J2532"/>
    </row>
    <row r="2533" spans="6:10">
      <c r="F2533"/>
      <c r="G2533"/>
      <c r="H2533"/>
      <c r="I2533"/>
      <c r="J2533"/>
    </row>
    <row r="2534" spans="6:10">
      <c r="F2534"/>
      <c r="G2534"/>
      <c r="H2534"/>
      <c r="I2534"/>
      <c r="J2534"/>
    </row>
    <row r="2535" spans="6:10">
      <c r="F2535"/>
      <c r="G2535"/>
      <c r="H2535"/>
      <c r="I2535"/>
      <c r="J2535"/>
    </row>
    <row r="2536" spans="6:10">
      <c r="F2536"/>
      <c r="G2536"/>
      <c r="H2536"/>
      <c r="I2536"/>
      <c r="J2536"/>
    </row>
    <row r="2537" spans="6:10">
      <c r="F2537"/>
      <c r="G2537"/>
      <c r="H2537"/>
      <c r="I2537"/>
      <c r="J2537"/>
    </row>
    <row r="2538" spans="6:10">
      <c r="F2538"/>
      <c r="G2538"/>
      <c r="H2538"/>
      <c r="I2538"/>
      <c r="J2538"/>
    </row>
    <row r="2539" spans="6:10">
      <c r="F2539"/>
      <c r="G2539"/>
      <c r="H2539"/>
      <c r="I2539"/>
      <c r="J2539"/>
    </row>
    <row r="2540" spans="6:10">
      <c r="F2540"/>
      <c r="G2540"/>
      <c r="H2540"/>
      <c r="I2540"/>
      <c r="J2540"/>
    </row>
    <row r="2541" spans="6:10">
      <c r="F2541"/>
      <c r="G2541"/>
      <c r="H2541"/>
      <c r="I2541"/>
      <c r="J2541"/>
    </row>
    <row r="2542" spans="6:10">
      <c r="F2542"/>
      <c r="G2542"/>
      <c r="H2542"/>
      <c r="I2542"/>
      <c r="J2542"/>
    </row>
    <row r="2543" spans="6:10">
      <c r="F2543"/>
      <c r="G2543"/>
      <c r="H2543"/>
      <c r="I2543"/>
      <c r="J2543"/>
    </row>
    <row r="2544" spans="6:10">
      <c r="F2544"/>
      <c r="G2544"/>
      <c r="H2544"/>
      <c r="I2544"/>
      <c r="J2544"/>
    </row>
    <row r="2545" spans="6:10">
      <c r="F2545"/>
      <c r="G2545"/>
      <c r="H2545"/>
      <c r="I2545"/>
      <c r="J2545"/>
    </row>
    <row r="2546" spans="6:10">
      <c r="F2546"/>
      <c r="G2546"/>
      <c r="H2546"/>
      <c r="I2546"/>
      <c r="J2546"/>
    </row>
    <row r="2547" spans="6:10">
      <c r="F2547"/>
      <c r="G2547"/>
      <c r="H2547"/>
      <c r="I2547"/>
      <c r="J2547"/>
    </row>
    <row r="2548" spans="6:10">
      <c r="F2548"/>
      <c r="G2548"/>
      <c r="H2548"/>
      <c r="I2548"/>
      <c r="J2548"/>
    </row>
    <row r="2549" spans="6:10">
      <c r="F2549"/>
      <c r="G2549"/>
      <c r="H2549"/>
      <c r="I2549"/>
      <c r="J2549"/>
    </row>
    <row r="2550" spans="6:10">
      <c r="F2550"/>
      <c r="G2550"/>
      <c r="H2550"/>
      <c r="I2550"/>
      <c r="J2550"/>
    </row>
    <row r="2551" spans="6:10">
      <c r="F2551"/>
      <c r="G2551"/>
      <c r="H2551"/>
      <c r="I2551"/>
      <c r="J2551"/>
    </row>
    <row r="2552" spans="6:10">
      <c r="F2552"/>
      <c r="G2552"/>
      <c r="H2552"/>
      <c r="I2552"/>
      <c r="J2552"/>
    </row>
    <row r="2553" spans="6:10">
      <c r="F2553"/>
      <c r="G2553"/>
      <c r="H2553"/>
      <c r="I2553"/>
      <c r="J2553"/>
    </row>
    <row r="2554" spans="6:10">
      <c r="F2554"/>
      <c r="G2554"/>
      <c r="H2554"/>
      <c r="I2554"/>
      <c r="J2554"/>
    </row>
    <row r="2555" spans="6:10">
      <c r="F2555"/>
      <c r="G2555"/>
      <c r="H2555"/>
      <c r="I2555"/>
      <c r="J2555"/>
    </row>
    <row r="2556" spans="6:10">
      <c r="F2556"/>
      <c r="G2556"/>
      <c r="H2556"/>
      <c r="I2556"/>
      <c r="J2556"/>
    </row>
    <row r="2557" spans="6:10">
      <c r="F2557"/>
      <c r="G2557"/>
      <c r="H2557"/>
      <c r="I2557"/>
      <c r="J2557"/>
    </row>
    <row r="2558" spans="6:10">
      <c r="F2558"/>
      <c r="G2558"/>
      <c r="H2558"/>
      <c r="I2558"/>
      <c r="J2558"/>
    </row>
    <row r="2559" spans="6:10">
      <c r="F2559"/>
      <c r="G2559"/>
      <c r="H2559"/>
      <c r="I2559"/>
      <c r="J2559"/>
    </row>
    <row r="2560" spans="6:10">
      <c r="F2560"/>
      <c r="G2560"/>
      <c r="H2560"/>
      <c r="I2560"/>
      <c r="J2560"/>
    </row>
    <row r="2561" spans="6:10">
      <c r="F2561"/>
      <c r="G2561"/>
      <c r="H2561"/>
      <c r="I2561"/>
      <c r="J2561"/>
    </row>
    <row r="2562" spans="6:10">
      <c r="F2562"/>
      <c r="G2562"/>
      <c r="H2562"/>
      <c r="I2562"/>
      <c r="J2562"/>
    </row>
    <row r="2563" spans="6:10">
      <c r="F2563"/>
      <c r="G2563"/>
      <c r="H2563"/>
      <c r="I2563"/>
      <c r="J2563"/>
    </row>
    <row r="2564" spans="6:10">
      <c r="F2564"/>
      <c r="G2564"/>
      <c r="H2564"/>
      <c r="I2564"/>
      <c r="J2564"/>
    </row>
    <row r="2565" spans="6:10">
      <c r="F2565"/>
      <c r="G2565"/>
      <c r="H2565"/>
      <c r="I2565"/>
      <c r="J2565"/>
    </row>
    <row r="2566" spans="6:10">
      <c r="F2566"/>
      <c r="G2566"/>
      <c r="H2566"/>
      <c r="I2566"/>
      <c r="J2566"/>
    </row>
    <row r="2567" spans="6:10">
      <c r="F2567"/>
      <c r="G2567"/>
      <c r="H2567"/>
      <c r="I2567"/>
      <c r="J2567"/>
    </row>
    <row r="2568" spans="6:10">
      <c r="F2568"/>
      <c r="G2568"/>
      <c r="H2568"/>
      <c r="I2568"/>
      <c r="J2568"/>
    </row>
    <row r="2569" spans="6:10">
      <c r="F2569"/>
      <c r="G2569"/>
      <c r="H2569"/>
      <c r="I2569"/>
      <c r="J2569"/>
    </row>
    <row r="2570" spans="6:10">
      <c r="F2570"/>
      <c r="G2570"/>
      <c r="H2570"/>
      <c r="I2570"/>
      <c r="J2570"/>
    </row>
    <row r="2571" spans="6:10">
      <c r="F2571"/>
      <c r="G2571"/>
      <c r="H2571"/>
      <c r="I2571"/>
      <c r="J2571"/>
    </row>
    <row r="2572" spans="6:10">
      <c r="F2572"/>
      <c r="G2572"/>
      <c r="H2572"/>
      <c r="I2572"/>
      <c r="J2572"/>
    </row>
    <row r="2573" spans="6:10">
      <c r="F2573"/>
      <c r="G2573"/>
      <c r="H2573"/>
      <c r="I2573"/>
      <c r="J2573"/>
    </row>
    <row r="2574" spans="6:10">
      <c r="F2574"/>
      <c r="G2574"/>
      <c r="H2574"/>
      <c r="I2574"/>
      <c r="J2574"/>
    </row>
    <row r="2575" spans="6:10">
      <c r="F2575"/>
      <c r="G2575"/>
      <c r="H2575"/>
      <c r="I2575"/>
      <c r="J2575"/>
    </row>
    <row r="2576" spans="6:10">
      <c r="F2576"/>
      <c r="G2576"/>
      <c r="H2576"/>
      <c r="I2576"/>
      <c r="J2576"/>
    </row>
    <row r="2577" spans="6:10">
      <c r="F2577"/>
      <c r="G2577"/>
      <c r="H2577"/>
      <c r="I2577"/>
      <c r="J2577"/>
    </row>
    <row r="2578" spans="6:10">
      <c r="F2578"/>
      <c r="G2578"/>
      <c r="H2578"/>
      <c r="I2578"/>
      <c r="J2578"/>
    </row>
    <row r="2579" spans="6:10">
      <c r="F2579"/>
      <c r="G2579"/>
      <c r="H2579"/>
      <c r="I2579"/>
      <c r="J2579"/>
    </row>
    <row r="2580" spans="6:10">
      <c r="F2580"/>
      <c r="G2580"/>
      <c r="H2580"/>
      <c r="I2580"/>
      <c r="J2580"/>
    </row>
    <row r="2581" spans="6:10">
      <c r="F2581"/>
      <c r="G2581"/>
      <c r="H2581"/>
      <c r="I2581"/>
      <c r="J2581"/>
    </row>
    <row r="2582" spans="6:10">
      <c r="F2582"/>
      <c r="G2582"/>
      <c r="H2582"/>
      <c r="I2582"/>
      <c r="J2582"/>
    </row>
    <row r="2583" spans="6:10">
      <c r="F2583"/>
      <c r="G2583"/>
      <c r="H2583"/>
      <c r="I2583"/>
      <c r="J2583"/>
    </row>
    <row r="2584" spans="6:10">
      <c r="F2584"/>
      <c r="G2584"/>
      <c r="H2584"/>
      <c r="I2584"/>
      <c r="J2584"/>
    </row>
    <row r="2585" spans="6:10">
      <c r="F2585"/>
      <c r="G2585"/>
      <c r="H2585"/>
      <c r="I2585"/>
      <c r="J2585"/>
    </row>
    <row r="2586" spans="6:10">
      <c r="F2586"/>
      <c r="G2586"/>
      <c r="H2586"/>
      <c r="I2586"/>
      <c r="J2586"/>
    </row>
    <row r="2587" spans="6:10">
      <c r="F2587"/>
      <c r="G2587"/>
      <c r="H2587"/>
      <c r="I2587"/>
      <c r="J2587"/>
    </row>
    <row r="2588" spans="6:10">
      <c r="F2588"/>
      <c r="G2588"/>
      <c r="H2588"/>
      <c r="I2588"/>
      <c r="J2588"/>
    </row>
    <row r="2589" spans="6:10">
      <c r="F2589"/>
      <c r="G2589"/>
      <c r="H2589"/>
      <c r="I2589"/>
      <c r="J2589"/>
    </row>
    <row r="2590" spans="6:10">
      <c r="F2590"/>
      <c r="G2590"/>
      <c r="H2590"/>
      <c r="I2590"/>
      <c r="J2590"/>
    </row>
    <row r="2591" spans="6:10">
      <c r="F2591"/>
      <c r="G2591"/>
      <c r="H2591"/>
      <c r="I2591"/>
      <c r="J2591"/>
    </row>
    <row r="2592" spans="6:10">
      <c r="F2592"/>
      <c r="G2592"/>
      <c r="H2592"/>
      <c r="I2592"/>
      <c r="J2592"/>
    </row>
    <row r="2593" spans="6:10">
      <c r="F2593"/>
      <c r="G2593"/>
      <c r="H2593"/>
      <c r="I2593"/>
      <c r="J2593"/>
    </row>
    <row r="2594" spans="6:10">
      <c r="F2594"/>
      <c r="G2594"/>
      <c r="H2594"/>
      <c r="I2594"/>
      <c r="J2594"/>
    </row>
    <row r="2595" spans="6:10">
      <c r="F2595"/>
      <c r="G2595"/>
      <c r="H2595"/>
      <c r="I2595"/>
      <c r="J2595"/>
    </row>
    <row r="2596" spans="6:10">
      <c r="F2596"/>
      <c r="G2596"/>
      <c r="H2596"/>
      <c r="I2596"/>
      <c r="J2596"/>
    </row>
    <row r="2597" spans="6:10">
      <c r="F2597"/>
      <c r="G2597"/>
      <c r="H2597"/>
      <c r="I2597"/>
      <c r="J2597"/>
    </row>
    <row r="2598" spans="6:10">
      <c r="F2598"/>
      <c r="G2598"/>
      <c r="H2598"/>
      <c r="I2598"/>
      <c r="J2598"/>
    </row>
    <row r="2599" spans="6:10">
      <c r="F2599"/>
      <c r="G2599"/>
      <c r="H2599"/>
      <c r="I2599"/>
      <c r="J2599"/>
    </row>
    <row r="2600" spans="6:10">
      <c r="F2600"/>
      <c r="G2600"/>
      <c r="H2600"/>
      <c r="I2600"/>
      <c r="J2600"/>
    </row>
    <row r="2601" spans="6:10">
      <c r="F2601"/>
      <c r="G2601"/>
      <c r="H2601"/>
      <c r="I2601"/>
      <c r="J2601"/>
    </row>
    <row r="2602" spans="6:10">
      <c r="F2602"/>
      <c r="G2602"/>
      <c r="H2602"/>
      <c r="I2602"/>
      <c r="J2602"/>
    </row>
    <row r="2603" spans="6:10">
      <c r="F2603"/>
      <c r="G2603"/>
      <c r="H2603"/>
      <c r="I2603"/>
      <c r="J2603"/>
    </row>
    <row r="2604" spans="6:10">
      <c r="F2604"/>
      <c r="G2604"/>
      <c r="H2604"/>
      <c r="I2604"/>
      <c r="J2604"/>
    </row>
    <row r="2605" spans="6:10">
      <c r="F2605"/>
      <c r="G2605"/>
      <c r="H2605"/>
      <c r="I2605"/>
      <c r="J2605"/>
    </row>
    <row r="2606" spans="6:10">
      <c r="F2606"/>
      <c r="G2606"/>
      <c r="H2606"/>
      <c r="I2606"/>
      <c r="J2606"/>
    </row>
    <row r="2607" spans="6:10">
      <c r="F2607"/>
      <c r="G2607"/>
      <c r="H2607"/>
      <c r="I2607"/>
      <c r="J2607"/>
    </row>
    <row r="2608" spans="6:10">
      <c r="F2608"/>
      <c r="G2608"/>
      <c r="H2608"/>
      <c r="I2608"/>
      <c r="J2608"/>
    </row>
    <row r="2609" spans="6:10">
      <c r="F2609"/>
      <c r="G2609"/>
      <c r="H2609"/>
      <c r="I2609"/>
      <c r="J2609"/>
    </row>
    <row r="2610" spans="6:10">
      <c r="F2610"/>
      <c r="G2610"/>
      <c r="H2610"/>
      <c r="I2610"/>
      <c r="J2610"/>
    </row>
    <row r="2611" spans="6:10">
      <c r="F2611"/>
      <c r="G2611"/>
      <c r="H2611"/>
      <c r="I2611"/>
      <c r="J2611"/>
    </row>
    <row r="2612" spans="6:10">
      <c r="F2612"/>
      <c r="G2612"/>
      <c r="H2612"/>
      <c r="I2612"/>
      <c r="J2612"/>
    </row>
    <row r="2613" spans="6:10">
      <c r="F2613"/>
      <c r="G2613"/>
      <c r="H2613"/>
      <c r="I2613"/>
      <c r="J2613"/>
    </row>
    <row r="2614" spans="6:10">
      <c r="F2614"/>
      <c r="G2614"/>
      <c r="H2614"/>
      <c r="I2614"/>
      <c r="J2614"/>
    </row>
    <row r="2615" spans="6:10">
      <c r="F2615"/>
      <c r="G2615"/>
      <c r="H2615"/>
      <c r="I2615"/>
      <c r="J2615"/>
    </row>
    <row r="2616" spans="6:10">
      <c r="F2616"/>
      <c r="G2616"/>
      <c r="H2616"/>
      <c r="I2616"/>
      <c r="J2616"/>
    </row>
    <row r="2617" spans="6:10">
      <c r="F2617"/>
      <c r="G2617"/>
      <c r="H2617"/>
      <c r="I2617"/>
      <c r="J2617"/>
    </row>
    <row r="2618" spans="6:10">
      <c r="F2618"/>
      <c r="G2618"/>
      <c r="H2618"/>
      <c r="I2618"/>
      <c r="J2618"/>
    </row>
    <row r="2619" spans="6:10">
      <c r="F2619"/>
      <c r="G2619"/>
      <c r="H2619"/>
      <c r="I2619"/>
      <c r="J2619"/>
    </row>
    <row r="2620" spans="6:10">
      <c r="F2620"/>
      <c r="G2620"/>
      <c r="H2620"/>
      <c r="I2620"/>
      <c r="J2620"/>
    </row>
    <row r="2621" spans="6:10">
      <c r="F2621"/>
      <c r="G2621"/>
      <c r="H2621"/>
      <c r="I2621"/>
      <c r="J2621"/>
    </row>
    <row r="2622" spans="6:10">
      <c r="F2622"/>
      <c r="G2622"/>
      <c r="H2622"/>
      <c r="I2622"/>
      <c r="J2622"/>
    </row>
    <row r="2623" spans="6:10">
      <c r="F2623"/>
      <c r="G2623"/>
      <c r="H2623"/>
      <c r="I2623"/>
      <c r="J2623"/>
    </row>
    <row r="2624" spans="6:10">
      <c r="F2624"/>
      <c r="G2624"/>
      <c r="H2624"/>
      <c r="I2624"/>
      <c r="J2624"/>
    </row>
    <row r="2625" spans="6:10">
      <c r="F2625"/>
      <c r="G2625"/>
      <c r="H2625"/>
      <c r="I2625"/>
      <c r="J2625"/>
    </row>
    <row r="2626" spans="6:10">
      <c r="F2626"/>
      <c r="G2626"/>
      <c r="H2626"/>
      <c r="I2626"/>
      <c r="J2626"/>
    </row>
    <row r="2627" spans="6:10">
      <c r="F2627"/>
      <c r="G2627"/>
      <c r="H2627"/>
      <c r="I2627"/>
      <c r="J2627"/>
    </row>
    <row r="2628" spans="6:10">
      <c r="F2628"/>
      <c r="G2628"/>
      <c r="H2628"/>
      <c r="I2628"/>
      <c r="J2628"/>
    </row>
    <row r="2629" spans="6:10">
      <c r="F2629"/>
      <c r="G2629"/>
      <c r="H2629"/>
      <c r="I2629"/>
      <c r="J2629"/>
    </row>
    <row r="2630" spans="6:10">
      <c r="F2630"/>
      <c r="G2630"/>
      <c r="H2630"/>
      <c r="I2630"/>
      <c r="J2630"/>
    </row>
    <row r="2631" spans="6:10">
      <c r="F2631"/>
      <c r="G2631"/>
      <c r="H2631"/>
      <c r="I2631"/>
      <c r="J2631"/>
    </row>
    <row r="2632" spans="6:10">
      <c r="F2632"/>
      <c r="G2632"/>
      <c r="H2632"/>
      <c r="I2632"/>
      <c r="J2632"/>
    </row>
    <row r="2633" spans="6:10">
      <c r="F2633"/>
      <c r="G2633"/>
      <c r="H2633"/>
      <c r="I2633"/>
      <c r="J2633"/>
    </row>
    <row r="2634" spans="6:10">
      <c r="F2634"/>
      <c r="G2634"/>
      <c r="H2634"/>
      <c r="I2634"/>
      <c r="J2634"/>
    </row>
    <row r="2635" spans="6:10">
      <c r="F2635"/>
      <c r="G2635"/>
      <c r="H2635"/>
      <c r="I2635"/>
      <c r="J2635"/>
    </row>
    <row r="2636" spans="6:10">
      <c r="F2636"/>
      <c r="G2636"/>
      <c r="H2636"/>
      <c r="I2636"/>
      <c r="J2636"/>
    </row>
    <row r="2637" spans="6:10">
      <c r="F2637"/>
      <c r="G2637"/>
      <c r="H2637"/>
      <c r="I2637"/>
      <c r="J2637"/>
    </row>
    <row r="2638" spans="6:10">
      <c r="F2638"/>
      <c r="G2638"/>
      <c r="H2638"/>
      <c r="I2638"/>
      <c r="J2638"/>
    </row>
    <row r="2639" spans="6:10">
      <c r="F2639"/>
      <c r="G2639"/>
      <c r="H2639"/>
      <c r="I2639"/>
      <c r="J2639"/>
    </row>
    <row r="2640" spans="6:10">
      <c r="F2640"/>
      <c r="G2640"/>
      <c r="H2640"/>
      <c r="I2640"/>
      <c r="J2640"/>
    </row>
    <row r="2641" spans="6:10">
      <c r="F2641"/>
      <c r="G2641"/>
      <c r="H2641"/>
      <c r="I2641"/>
      <c r="J2641"/>
    </row>
    <row r="2642" spans="6:10">
      <c r="F2642"/>
      <c r="G2642"/>
      <c r="H2642"/>
      <c r="I2642"/>
      <c r="J2642"/>
    </row>
    <row r="2643" spans="6:10">
      <c r="F2643"/>
      <c r="G2643"/>
      <c r="H2643"/>
      <c r="I2643"/>
      <c r="J2643"/>
    </row>
    <row r="2644" spans="6:10">
      <c r="F2644"/>
      <c r="G2644"/>
      <c r="H2644"/>
      <c r="I2644"/>
      <c r="J2644"/>
    </row>
    <row r="2645" spans="6:10">
      <c r="F2645"/>
      <c r="G2645"/>
      <c r="H2645"/>
      <c r="I2645"/>
      <c r="J2645"/>
    </row>
    <row r="2646" spans="6:10">
      <c r="F2646"/>
      <c r="G2646"/>
      <c r="H2646"/>
      <c r="I2646"/>
      <c r="J2646"/>
    </row>
    <row r="2647" spans="6:10">
      <c r="F2647"/>
      <c r="G2647"/>
      <c r="H2647"/>
      <c r="I2647"/>
      <c r="J2647"/>
    </row>
    <row r="2648" spans="6:10">
      <c r="F2648"/>
      <c r="G2648"/>
      <c r="H2648"/>
      <c r="I2648"/>
      <c r="J2648"/>
    </row>
    <row r="2649" spans="6:10">
      <c r="F2649"/>
      <c r="G2649"/>
      <c r="H2649"/>
      <c r="I2649"/>
      <c r="J2649"/>
    </row>
    <row r="2650" spans="6:10">
      <c r="F2650"/>
      <c r="G2650"/>
      <c r="H2650"/>
      <c r="I2650"/>
      <c r="J2650"/>
    </row>
    <row r="2651" spans="6:10">
      <c r="F2651"/>
      <c r="G2651"/>
      <c r="H2651"/>
      <c r="I2651"/>
      <c r="J2651"/>
    </row>
    <row r="2652" spans="6:10">
      <c r="F2652"/>
      <c r="G2652"/>
      <c r="H2652"/>
      <c r="I2652"/>
      <c r="J2652"/>
    </row>
    <row r="2653" spans="6:10">
      <c r="F2653"/>
      <c r="G2653"/>
      <c r="H2653"/>
      <c r="I2653"/>
      <c r="J2653"/>
    </row>
    <row r="2654" spans="6:10">
      <c r="F2654"/>
      <c r="G2654"/>
      <c r="H2654"/>
      <c r="I2654"/>
      <c r="J2654"/>
    </row>
    <row r="2655" spans="6:10">
      <c r="F2655"/>
      <c r="G2655"/>
      <c r="H2655"/>
      <c r="I2655"/>
      <c r="J2655"/>
    </row>
    <row r="2656" spans="6:10">
      <c r="F2656"/>
      <c r="G2656"/>
      <c r="H2656"/>
      <c r="I2656"/>
      <c r="J2656"/>
    </row>
    <row r="2657" spans="6:10">
      <c r="F2657"/>
      <c r="G2657"/>
      <c r="H2657"/>
      <c r="I2657"/>
      <c r="J2657"/>
    </row>
    <row r="2658" spans="6:10">
      <c r="F2658"/>
      <c r="G2658"/>
      <c r="H2658"/>
      <c r="I2658"/>
      <c r="J2658"/>
    </row>
    <row r="2659" spans="6:10">
      <c r="F2659"/>
      <c r="G2659"/>
      <c r="H2659"/>
      <c r="I2659"/>
      <c r="J2659"/>
    </row>
    <row r="2660" spans="6:10">
      <c r="F2660"/>
      <c r="G2660"/>
      <c r="H2660"/>
      <c r="I2660"/>
      <c r="J2660"/>
    </row>
    <row r="2661" spans="6:10">
      <c r="F2661"/>
      <c r="G2661"/>
      <c r="H2661"/>
      <c r="I2661"/>
      <c r="J2661"/>
    </row>
    <row r="2662" spans="6:10">
      <c r="F2662"/>
      <c r="G2662"/>
      <c r="H2662"/>
      <c r="I2662"/>
      <c r="J2662"/>
    </row>
    <row r="2663" spans="6:10">
      <c r="F2663"/>
      <c r="G2663"/>
      <c r="H2663"/>
      <c r="I2663"/>
      <c r="J2663"/>
    </row>
    <row r="2664" spans="6:10">
      <c r="F2664"/>
      <c r="G2664"/>
      <c r="H2664"/>
      <c r="I2664"/>
      <c r="J2664"/>
    </row>
    <row r="2665" spans="6:10">
      <c r="F2665"/>
      <c r="G2665"/>
      <c r="H2665"/>
      <c r="I2665"/>
      <c r="J2665"/>
    </row>
    <row r="2666" spans="6:10">
      <c r="F2666"/>
      <c r="G2666"/>
      <c r="H2666"/>
      <c r="I2666"/>
      <c r="J2666"/>
    </row>
    <row r="2667" spans="6:10">
      <c r="F2667"/>
      <c r="G2667"/>
      <c r="H2667"/>
      <c r="I2667"/>
      <c r="J2667"/>
    </row>
    <row r="2668" spans="6:10">
      <c r="F2668"/>
      <c r="G2668"/>
      <c r="H2668"/>
      <c r="I2668"/>
      <c r="J2668"/>
    </row>
    <row r="2669" spans="6:10">
      <c r="F2669"/>
      <c r="G2669"/>
      <c r="H2669"/>
      <c r="I2669"/>
      <c r="J2669"/>
    </row>
    <row r="2670" spans="6:10">
      <c r="F2670"/>
      <c r="G2670"/>
      <c r="H2670"/>
      <c r="I2670"/>
      <c r="J2670"/>
    </row>
    <row r="2671" spans="6:10">
      <c r="F2671"/>
      <c r="G2671"/>
      <c r="H2671"/>
      <c r="I2671"/>
      <c r="J2671"/>
    </row>
    <row r="2672" spans="6:10">
      <c r="F2672"/>
      <c r="G2672"/>
      <c r="H2672"/>
      <c r="I2672"/>
      <c r="J2672"/>
    </row>
    <row r="2673" spans="6:10">
      <c r="F2673"/>
      <c r="G2673"/>
      <c r="H2673"/>
      <c r="I2673"/>
      <c r="J2673"/>
    </row>
    <row r="2674" spans="6:10">
      <c r="F2674"/>
      <c r="G2674"/>
      <c r="H2674"/>
      <c r="I2674"/>
      <c r="J2674"/>
    </row>
    <row r="2675" spans="6:10">
      <c r="F2675"/>
      <c r="G2675"/>
      <c r="H2675"/>
      <c r="I2675"/>
      <c r="J2675"/>
    </row>
    <row r="2676" spans="6:10">
      <c r="F2676"/>
      <c r="G2676"/>
      <c r="H2676"/>
      <c r="I2676"/>
      <c r="J2676"/>
    </row>
    <row r="2677" spans="6:10">
      <c r="F2677"/>
      <c r="G2677"/>
      <c r="H2677"/>
      <c r="I2677"/>
      <c r="J2677"/>
    </row>
    <row r="2678" spans="6:10">
      <c r="F2678"/>
      <c r="G2678"/>
      <c r="H2678"/>
      <c r="I2678"/>
      <c r="J2678"/>
    </row>
    <row r="2679" spans="6:10">
      <c r="F2679"/>
      <c r="G2679"/>
      <c r="H2679"/>
      <c r="I2679"/>
      <c r="J2679"/>
    </row>
    <row r="2680" spans="6:10">
      <c r="F2680"/>
      <c r="G2680"/>
      <c r="H2680"/>
      <c r="I2680"/>
      <c r="J2680"/>
    </row>
    <row r="2681" spans="6:10">
      <c r="F2681"/>
      <c r="G2681"/>
      <c r="H2681"/>
      <c r="I2681"/>
      <c r="J2681"/>
    </row>
    <row r="2682" spans="6:10">
      <c r="F2682"/>
      <c r="G2682"/>
      <c r="H2682"/>
      <c r="I2682"/>
      <c r="J2682"/>
    </row>
    <row r="2683" spans="6:10">
      <c r="F2683"/>
      <c r="G2683"/>
      <c r="H2683"/>
      <c r="I2683"/>
      <c r="J2683"/>
    </row>
    <row r="2684" spans="6:10">
      <c r="F2684"/>
      <c r="G2684"/>
      <c r="H2684"/>
      <c r="I2684"/>
      <c r="J2684"/>
    </row>
    <row r="2685" spans="6:10">
      <c r="F2685"/>
      <c r="G2685"/>
      <c r="H2685"/>
      <c r="I2685"/>
      <c r="J2685"/>
    </row>
    <row r="2686" spans="6:10">
      <c r="F2686"/>
      <c r="G2686"/>
      <c r="H2686"/>
      <c r="I2686"/>
      <c r="J2686"/>
    </row>
    <row r="2687" spans="6:10">
      <c r="F2687"/>
      <c r="G2687"/>
      <c r="H2687"/>
      <c r="I2687"/>
      <c r="J2687"/>
    </row>
    <row r="2688" spans="6:10">
      <c r="F2688"/>
      <c r="G2688"/>
      <c r="H2688"/>
      <c r="I2688"/>
      <c r="J2688"/>
    </row>
    <row r="2689" spans="6:10">
      <c r="F2689"/>
      <c r="G2689"/>
      <c r="H2689"/>
      <c r="I2689"/>
      <c r="J2689"/>
    </row>
    <row r="2690" spans="6:10">
      <c r="F2690"/>
      <c r="G2690"/>
      <c r="H2690"/>
      <c r="I2690"/>
      <c r="J2690"/>
    </row>
    <row r="2691" spans="6:10">
      <c r="F2691"/>
      <c r="G2691"/>
      <c r="H2691"/>
      <c r="I2691"/>
      <c r="J2691"/>
    </row>
    <row r="2692" spans="6:10">
      <c r="F2692"/>
      <c r="G2692"/>
      <c r="H2692"/>
      <c r="I2692"/>
      <c r="J2692"/>
    </row>
    <row r="2693" spans="6:10">
      <c r="F2693"/>
      <c r="G2693"/>
      <c r="H2693"/>
      <c r="I2693"/>
      <c r="J2693"/>
    </row>
    <row r="2694" spans="6:10">
      <c r="F2694"/>
      <c r="G2694"/>
      <c r="H2694"/>
      <c r="I2694"/>
      <c r="J2694"/>
    </row>
    <row r="2695" spans="6:10">
      <c r="F2695"/>
      <c r="G2695"/>
      <c r="H2695"/>
      <c r="I2695"/>
      <c r="J2695"/>
    </row>
    <row r="2696" spans="6:10">
      <c r="F2696"/>
      <c r="G2696"/>
      <c r="H2696"/>
      <c r="I2696"/>
      <c r="J2696"/>
    </row>
    <row r="2697" spans="6:10">
      <c r="F2697"/>
      <c r="G2697"/>
      <c r="H2697"/>
      <c r="I2697"/>
      <c r="J2697"/>
    </row>
    <row r="2698" spans="6:10">
      <c r="F2698"/>
      <c r="G2698"/>
      <c r="H2698"/>
      <c r="I2698"/>
      <c r="J2698"/>
    </row>
    <row r="2699" spans="6:10">
      <c r="F2699"/>
      <c r="G2699"/>
      <c r="H2699"/>
      <c r="I2699"/>
      <c r="J2699"/>
    </row>
    <row r="2700" spans="6:10">
      <c r="F2700"/>
      <c r="G2700"/>
      <c r="H2700"/>
      <c r="I2700"/>
      <c r="J2700"/>
    </row>
    <row r="2701" spans="6:10">
      <c r="F2701"/>
      <c r="G2701"/>
      <c r="H2701"/>
      <c r="I2701"/>
      <c r="J2701"/>
    </row>
    <row r="2702" spans="6:10">
      <c r="F2702"/>
      <c r="G2702"/>
      <c r="H2702"/>
      <c r="I2702"/>
      <c r="J2702"/>
    </row>
    <row r="2703" spans="6:10">
      <c r="F2703"/>
      <c r="G2703"/>
      <c r="H2703"/>
      <c r="I2703"/>
      <c r="J2703"/>
    </row>
    <row r="2704" spans="6:10">
      <c r="F2704"/>
      <c r="G2704"/>
      <c r="H2704"/>
      <c r="I2704"/>
      <c r="J2704"/>
    </row>
    <row r="2705" spans="6:10">
      <c r="F2705"/>
      <c r="G2705"/>
      <c r="H2705"/>
      <c r="I2705"/>
      <c r="J2705"/>
    </row>
    <row r="2706" spans="6:10">
      <c r="F2706"/>
      <c r="G2706"/>
      <c r="H2706"/>
      <c r="I2706"/>
      <c r="J2706"/>
    </row>
    <row r="2707" spans="6:10">
      <c r="F2707"/>
      <c r="G2707"/>
      <c r="H2707"/>
      <c r="I2707"/>
      <c r="J2707"/>
    </row>
    <row r="2708" spans="6:10">
      <c r="F2708"/>
      <c r="G2708"/>
      <c r="H2708"/>
      <c r="I2708"/>
      <c r="J2708"/>
    </row>
    <row r="2709" spans="6:10">
      <c r="F2709"/>
      <c r="G2709"/>
      <c r="H2709"/>
      <c r="I2709"/>
      <c r="J2709"/>
    </row>
    <row r="2710" spans="6:10">
      <c r="F2710"/>
      <c r="G2710"/>
      <c r="H2710"/>
      <c r="I2710"/>
      <c r="J2710"/>
    </row>
    <row r="2711" spans="6:10">
      <c r="F2711"/>
      <c r="G2711"/>
      <c r="H2711"/>
      <c r="I2711"/>
      <c r="J2711"/>
    </row>
    <row r="2712" spans="6:10">
      <c r="F2712"/>
      <c r="G2712"/>
      <c r="H2712"/>
      <c r="I2712"/>
      <c r="J2712"/>
    </row>
    <row r="2713" spans="6:10">
      <c r="F2713"/>
      <c r="G2713"/>
      <c r="H2713"/>
      <c r="I2713"/>
      <c r="J2713"/>
    </row>
    <row r="2714" spans="6:10">
      <c r="F2714"/>
      <c r="G2714"/>
      <c r="H2714"/>
      <c r="I2714"/>
      <c r="J2714"/>
    </row>
    <row r="2715" spans="6:10">
      <c r="F2715"/>
      <c r="G2715"/>
      <c r="H2715"/>
      <c r="I2715"/>
      <c r="J2715"/>
    </row>
    <row r="2716" spans="6:10">
      <c r="F2716"/>
      <c r="G2716"/>
      <c r="H2716"/>
      <c r="I2716"/>
      <c r="J2716"/>
    </row>
    <row r="2717" spans="6:10">
      <c r="F2717"/>
      <c r="G2717"/>
      <c r="H2717"/>
      <c r="I2717"/>
      <c r="J2717"/>
    </row>
    <row r="2718" spans="6:10">
      <c r="F2718"/>
      <c r="G2718"/>
      <c r="H2718"/>
      <c r="I2718"/>
      <c r="J2718"/>
    </row>
    <row r="2719" spans="6:10">
      <c r="F2719"/>
      <c r="G2719"/>
      <c r="H2719"/>
      <c r="I2719"/>
      <c r="J2719"/>
    </row>
    <row r="2720" spans="6:10">
      <c r="F2720"/>
      <c r="G2720"/>
      <c r="H2720"/>
      <c r="I2720"/>
      <c r="J2720"/>
    </row>
    <row r="2721" spans="6:10">
      <c r="F2721"/>
      <c r="G2721"/>
      <c r="H2721"/>
      <c r="I2721"/>
      <c r="J2721"/>
    </row>
    <row r="2722" spans="6:10">
      <c r="F2722"/>
      <c r="G2722"/>
      <c r="H2722"/>
      <c r="I2722"/>
      <c r="J2722"/>
    </row>
    <row r="2723" spans="6:10">
      <c r="F2723"/>
      <c r="G2723"/>
      <c r="H2723"/>
      <c r="I2723"/>
      <c r="J2723"/>
    </row>
    <row r="2724" spans="6:10">
      <c r="F2724"/>
      <c r="G2724"/>
      <c r="H2724"/>
      <c r="I2724"/>
      <c r="J2724"/>
    </row>
    <row r="2725" spans="6:10">
      <c r="F2725"/>
      <c r="G2725"/>
      <c r="H2725"/>
      <c r="I2725"/>
      <c r="J2725"/>
    </row>
    <row r="2726" spans="6:10">
      <c r="F2726"/>
      <c r="G2726"/>
      <c r="H2726"/>
      <c r="I2726"/>
      <c r="J2726"/>
    </row>
    <row r="2727" spans="6:10">
      <c r="F2727"/>
      <c r="G2727"/>
      <c r="H2727"/>
      <c r="I2727"/>
      <c r="J2727"/>
    </row>
    <row r="2728" spans="6:10">
      <c r="F2728"/>
      <c r="G2728"/>
      <c r="H2728"/>
      <c r="I2728"/>
      <c r="J2728"/>
    </row>
    <row r="2729" spans="6:10">
      <c r="F2729"/>
      <c r="G2729"/>
      <c r="H2729"/>
      <c r="I2729"/>
      <c r="J2729"/>
    </row>
    <row r="2730" spans="6:10">
      <c r="F2730"/>
      <c r="G2730"/>
      <c r="H2730"/>
      <c r="I2730"/>
      <c r="J2730"/>
    </row>
    <row r="2731" spans="6:10">
      <c r="F2731"/>
      <c r="G2731"/>
      <c r="H2731"/>
      <c r="I2731"/>
      <c r="J2731"/>
    </row>
    <row r="2732" spans="6:10">
      <c r="F2732"/>
      <c r="G2732"/>
      <c r="H2732"/>
      <c r="I2732"/>
      <c r="J2732"/>
    </row>
    <row r="2733" spans="6:10">
      <c r="F2733"/>
      <c r="G2733"/>
      <c r="H2733"/>
      <c r="I2733"/>
      <c r="J2733"/>
    </row>
    <row r="2734" spans="6:10">
      <c r="F2734"/>
      <c r="G2734"/>
      <c r="H2734"/>
      <c r="I2734"/>
      <c r="J2734"/>
    </row>
    <row r="2735" spans="6:10">
      <c r="F2735"/>
      <c r="G2735"/>
      <c r="H2735"/>
      <c r="I2735"/>
      <c r="J2735"/>
    </row>
    <row r="2736" spans="6:10">
      <c r="F2736"/>
      <c r="G2736"/>
      <c r="H2736"/>
      <c r="I2736"/>
      <c r="J2736"/>
    </row>
    <row r="2737" spans="6:10">
      <c r="F2737"/>
      <c r="G2737"/>
      <c r="H2737"/>
      <c r="I2737"/>
      <c r="J2737"/>
    </row>
    <row r="2738" spans="6:10">
      <c r="F2738"/>
      <c r="G2738"/>
      <c r="H2738"/>
      <c r="I2738"/>
      <c r="J2738"/>
    </row>
    <row r="2739" spans="6:10">
      <c r="F2739"/>
      <c r="G2739"/>
      <c r="H2739"/>
      <c r="I2739"/>
      <c r="J2739"/>
    </row>
    <row r="2740" spans="6:10">
      <c r="F2740"/>
      <c r="G2740"/>
      <c r="H2740"/>
      <c r="I2740"/>
      <c r="J2740"/>
    </row>
    <row r="2741" spans="6:10">
      <c r="F2741"/>
      <c r="G2741"/>
      <c r="H2741"/>
      <c r="I2741"/>
      <c r="J2741"/>
    </row>
    <row r="2742" spans="6:10">
      <c r="F2742"/>
      <c r="G2742"/>
      <c r="H2742"/>
      <c r="I2742"/>
      <c r="J2742"/>
    </row>
    <row r="2743" spans="6:10">
      <c r="F2743"/>
      <c r="G2743"/>
      <c r="H2743"/>
      <c r="I2743"/>
      <c r="J2743"/>
    </row>
    <row r="2744" spans="6:10">
      <c r="F2744"/>
      <c r="G2744"/>
      <c r="H2744"/>
      <c r="I2744"/>
      <c r="J2744"/>
    </row>
    <row r="2745" spans="6:10">
      <c r="F2745"/>
      <c r="G2745"/>
      <c r="H2745"/>
      <c r="I2745"/>
      <c r="J2745"/>
    </row>
    <row r="2746" spans="6:10">
      <c r="F2746"/>
      <c r="G2746"/>
      <c r="H2746"/>
      <c r="I2746"/>
      <c r="J2746"/>
    </row>
    <row r="2747" spans="6:10">
      <c r="F2747"/>
      <c r="G2747"/>
      <c r="H2747"/>
      <c r="I2747"/>
      <c r="J2747"/>
    </row>
    <row r="2748" spans="6:10">
      <c r="F2748"/>
      <c r="G2748"/>
      <c r="H2748"/>
      <c r="I2748"/>
      <c r="J2748"/>
    </row>
    <row r="2749" spans="6:10">
      <c r="F2749"/>
      <c r="G2749"/>
      <c r="H2749"/>
      <c r="I2749"/>
      <c r="J2749"/>
    </row>
    <row r="2750" spans="6:10">
      <c r="F2750"/>
      <c r="G2750"/>
      <c r="H2750"/>
      <c r="I2750"/>
      <c r="J2750"/>
    </row>
    <row r="2751" spans="6:10">
      <c r="F2751"/>
      <c r="G2751"/>
      <c r="H2751"/>
      <c r="I2751"/>
      <c r="J2751"/>
    </row>
    <row r="2752" spans="6:10">
      <c r="F2752"/>
      <c r="G2752"/>
      <c r="H2752"/>
      <c r="I2752"/>
      <c r="J2752"/>
    </row>
    <row r="2753" spans="6:10">
      <c r="F2753"/>
      <c r="G2753"/>
      <c r="H2753"/>
      <c r="I2753"/>
      <c r="J2753"/>
    </row>
    <row r="2754" spans="6:10">
      <c r="F2754"/>
      <c r="G2754"/>
      <c r="H2754"/>
      <c r="I2754"/>
      <c r="J2754"/>
    </row>
    <row r="2755" spans="6:10">
      <c r="F2755"/>
      <c r="G2755"/>
      <c r="H2755"/>
      <c r="I2755"/>
      <c r="J2755"/>
    </row>
    <row r="2756" spans="6:10">
      <c r="F2756"/>
      <c r="G2756"/>
      <c r="H2756"/>
      <c r="I2756"/>
      <c r="J2756"/>
    </row>
    <row r="2757" spans="6:10">
      <c r="F2757"/>
      <c r="G2757"/>
      <c r="H2757"/>
      <c r="I2757"/>
      <c r="J2757"/>
    </row>
    <row r="2758" spans="6:10">
      <c r="F2758"/>
      <c r="G2758"/>
      <c r="H2758"/>
      <c r="I2758"/>
      <c r="J2758"/>
    </row>
    <row r="2759" spans="6:10">
      <c r="F2759"/>
      <c r="G2759"/>
      <c r="H2759"/>
      <c r="I2759"/>
      <c r="J2759"/>
    </row>
    <row r="2760" spans="6:10">
      <c r="F2760"/>
      <c r="G2760"/>
      <c r="H2760"/>
      <c r="I2760"/>
      <c r="J2760"/>
    </row>
    <row r="2761" spans="6:10">
      <c r="F2761"/>
      <c r="G2761"/>
      <c r="H2761"/>
      <c r="I2761"/>
      <c r="J2761"/>
    </row>
    <row r="2762" spans="6:10">
      <c r="F2762"/>
      <c r="G2762"/>
      <c r="H2762"/>
      <c r="I2762"/>
      <c r="J2762"/>
    </row>
    <row r="2763" spans="6:10">
      <c r="F2763"/>
      <c r="G2763"/>
      <c r="H2763"/>
      <c r="I2763"/>
      <c r="J2763"/>
    </row>
    <row r="2764" spans="6:10">
      <c r="F2764"/>
      <c r="G2764"/>
      <c r="H2764"/>
      <c r="I2764"/>
      <c r="J2764"/>
    </row>
    <row r="2765" spans="6:10">
      <c r="F2765"/>
      <c r="G2765"/>
      <c r="H2765"/>
      <c r="I2765"/>
      <c r="J2765"/>
    </row>
    <row r="2766" spans="6:10">
      <c r="F2766"/>
      <c r="G2766"/>
      <c r="H2766"/>
      <c r="I2766"/>
      <c r="J2766"/>
    </row>
    <row r="2767" spans="6:10">
      <c r="F2767"/>
      <c r="G2767"/>
      <c r="H2767"/>
      <c r="I2767"/>
      <c r="J2767"/>
    </row>
    <row r="2768" spans="6:10">
      <c r="F2768"/>
      <c r="G2768"/>
      <c r="H2768"/>
      <c r="I2768"/>
      <c r="J2768"/>
    </row>
    <row r="2769" spans="6:10">
      <c r="F2769"/>
      <c r="G2769"/>
      <c r="H2769"/>
      <c r="I2769"/>
      <c r="J2769"/>
    </row>
    <row r="2770" spans="6:10">
      <c r="F2770"/>
      <c r="G2770"/>
      <c r="H2770"/>
      <c r="I2770"/>
      <c r="J2770"/>
    </row>
    <row r="2771" spans="6:10">
      <c r="F2771"/>
      <c r="G2771"/>
      <c r="H2771"/>
      <c r="I2771"/>
      <c r="J2771"/>
    </row>
    <row r="2772" spans="6:10">
      <c r="F2772"/>
      <c r="G2772"/>
      <c r="H2772"/>
      <c r="I2772"/>
      <c r="J2772"/>
    </row>
    <row r="2773" spans="6:10">
      <c r="F2773"/>
      <c r="G2773"/>
      <c r="H2773"/>
      <c r="I2773"/>
      <c r="J2773"/>
    </row>
    <row r="2774" spans="6:10">
      <c r="F2774"/>
      <c r="G2774"/>
      <c r="H2774"/>
      <c r="I2774"/>
      <c r="J2774"/>
    </row>
    <row r="2775" spans="6:10">
      <c r="F2775"/>
      <c r="G2775"/>
      <c r="H2775"/>
      <c r="I2775"/>
      <c r="J2775"/>
    </row>
    <row r="2776" spans="6:10">
      <c r="F2776"/>
      <c r="G2776"/>
      <c r="H2776"/>
      <c r="I2776"/>
      <c r="J2776"/>
    </row>
    <row r="2777" spans="6:10">
      <c r="F2777"/>
      <c r="G2777"/>
      <c r="H2777"/>
      <c r="I2777"/>
      <c r="J2777"/>
    </row>
    <row r="2778" spans="6:10">
      <c r="F2778"/>
      <c r="G2778"/>
      <c r="H2778"/>
      <c r="I2778"/>
      <c r="J2778"/>
    </row>
    <row r="2779" spans="6:10">
      <c r="F2779"/>
      <c r="G2779"/>
      <c r="H2779"/>
      <c r="I2779"/>
      <c r="J2779"/>
    </row>
    <row r="2780" spans="6:10">
      <c r="F2780"/>
      <c r="G2780"/>
      <c r="H2780"/>
      <c r="I2780"/>
      <c r="J2780"/>
    </row>
    <row r="2781" spans="6:10">
      <c r="F2781"/>
      <c r="G2781"/>
      <c r="H2781"/>
      <c r="I2781"/>
      <c r="J2781"/>
    </row>
    <row r="2782" spans="6:10">
      <c r="F2782"/>
      <c r="G2782"/>
      <c r="H2782"/>
      <c r="I2782"/>
      <c r="J2782"/>
    </row>
    <row r="2783" spans="6:10">
      <c r="F2783"/>
      <c r="G2783"/>
      <c r="H2783"/>
      <c r="I2783"/>
      <c r="J2783"/>
    </row>
    <row r="2784" spans="6:10">
      <c r="F2784"/>
      <c r="G2784"/>
      <c r="H2784"/>
      <c r="I2784"/>
      <c r="J2784"/>
    </row>
    <row r="2785" spans="6:10">
      <c r="F2785"/>
      <c r="G2785"/>
      <c r="H2785"/>
      <c r="I2785"/>
      <c r="J2785"/>
    </row>
    <row r="2786" spans="6:10">
      <c r="F2786"/>
      <c r="G2786"/>
      <c r="H2786"/>
      <c r="I2786"/>
      <c r="J2786"/>
    </row>
    <row r="2787" spans="6:10">
      <c r="F2787"/>
      <c r="G2787"/>
      <c r="H2787"/>
      <c r="I2787"/>
      <c r="J2787"/>
    </row>
    <row r="2788" spans="6:10">
      <c r="F2788"/>
      <c r="G2788"/>
      <c r="H2788"/>
      <c r="I2788"/>
      <c r="J2788"/>
    </row>
    <row r="2789" spans="6:10">
      <c r="F2789"/>
      <c r="G2789"/>
      <c r="H2789"/>
      <c r="I2789"/>
      <c r="J2789"/>
    </row>
    <row r="2790" spans="6:10">
      <c r="F2790"/>
      <c r="G2790"/>
      <c r="H2790"/>
      <c r="I2790"/>
      <c r="J2790"/>
    </row>
    <row r="2791" spans="6:10">
      <c r="F2791"/>
      <c r="G2791"/>
      <c r="H2791"/>
      <c r="I2791"/>
      <c r="J2791"/>
    </row>
    <row r="2792" spans="6:10">
      <c r="F2792"/>
      <c r="G2792"/>
      <c r="H2792"/>
      <c r="I2792"/>
      <c r="J2792"/>
    </row>
    <row r="2793" spans="6:10">
      <c r="F2793"/>
      <c r="G2793"/>
      <c r="H2793"/>
      <c r="I2793"/>
      <c r="J2793"/>
    </row>
    <row r="2794" spans="6:10">
      <c r="F2794"/>
      <c r="G2794"/>
      <c r="H2794"/>
      <c r="I2794"/>
      <c r="J2794"/>
    </row>
    <row r="2795" spans="6:10">
      <c r="F2795"/>
      <c r="G2795"/>
      <c r="H2795"/>
      <c r="I2795"/>
      <c r="J2795"/>
    </row>
    <row r="2796" spans="6:10">
      <c r="F2796"/>
      <c r="G2796"/>
      <c r="H2796"/>
      <c r="I2796"/>
      <c r="J2796"/>
    </row>
    <row r="2797" spans="6:10">
      <c r="F2797"/>
      <c r="G2797"/>
      <c r="H2797"/>
      <c r="I2797"/>
      <c r="J2797"/>
    </row>
    <row r="2798" spans="6:10">
      <c r="F2798"/>
      <c r="G2798"/>
      <c r="H2798"/>
      <c r="I2798"/>
      <c r="J2798"/>
    </row>
    <row r="2799" spans="6:10">
      <c r="F2799"/>
      <c r="G2799"/>
      <c r="H2799"/>
      <c r="I2799"/>
      <c r="J2799"/>
    </row>
    <row r="2800" spans="6:10">
      <c r="F2800"/>
      <c r="G2800"/>
      <c r="H2800"/>
      <c r="I2800"/>
      <c r="J2800"/>
    </row>
    <row r="2801" spans="6:10">
      <c r="F2801"/>
      <c r="G2801"/>
      <c r="H2801"/>
      <c r="I2801"/>
      <c r="J2801"/>
    </row>
    <row r="2802" spans="6:10">
      <c r="F2802"/>
      <c r="G2802"/>
      <c r="H2802"/>
      <c r="I2802"/>
      <c r="J2802"/>
    </row>
    <row r="2803" spans="6:10">
      <c r="F2803"/>
      <c r="G2803"/>
      <c r="H2803"/>
      <c r="I2803"/>
      <c r="J2803"/>
    </row>
    <row r="2804" spans="6:10">
      <c r="F2804"/>
      <c r="G2804"/>
      <c r="H2804"/>
      <c r="I2804"/>
      <c r="J2804"/>
    </row>
    <row r="2805" spans="6:10">
      <c r="F2805"/>
      <c r="G2805"/>
      <c r="H2805"/>
      <c r="I2805"/>
      <c r="J2805"/>
    </row>
    <row r="2806" spans="6:10">
      <c r="F2806"/>
      <c r="G2806"/>
      <c r="H2806"/>
      <c r="I2806"/>
      <c r="J2806"/>
    </row>
    <row r="2807" spans="6:10">
      <c r="F2807"/>
      <c r="G2807"/>
      <c r="H2807"/>
      <c r="I2807"/>
      <c r="J2807"/>
    </row>
    <row r="2808" spans="6:10">
      <c r="F2808"/>
      <c r="G2808"/>
      <c r="H2808"/>
      <c r="I2808"/>
      <c r="J2808"/>
    </row>
    <row r="2809" spans="6:10">
      <c r="F2809"/>
      <c r="G2809"/>
      <c r="H2809"/>
      <c r="I2809"/>
      <c r="J2809"/>
    </row>
    <row r="2810" spans="6:10">
      <c r="F2810"/>
      <c r="G2810"/>
      <c r="H2810"/>
      <c r="I2810"/>
      <c r="J2810"/>
    </row>
    <row r="2811" spans="6:10">
      <c r="F2811"/>
      <c r="G2811"/>
      <c r="H2811"/>
      <c r="I2811"/>
      <c r="J2811"/>
    </row>
    <row r="2812" spans="6:10">
      <c r="F2812"/>
      <c r="G2812"/>
      <c r="H2812"/>
      <c r="I2812"/>
      <c r="J2812"/>
    </row>
    <row r="2813" spans="6:10">
      <c r="F2813"/>
      <c r="G2813"/>
      <c r="H2813"/>
      <c r="I2813"/>
      <c r="J2813"/>
    </row>
    <row r="2814" spans="6:10">
      <c r="F2814"/>
      <c r="G2814"/>
      <c r="H2814"/>
      <c r="I2814"/>
      <c r="J2814"/>
    </row>
    <row r="2815" spans="6:10">
      <c r="F2815"/>
      <c r="G2815"/>
      <c r="H2815"/>
      <c r="I2815"/>
      <c r="J2815"/>
    </row>
    <row r="2816" spans="6:10">
      <c r="F2816"/>
      <c r="G2816"/>
      <c r="H2816"/>
      <c r="I2816"/>
      <c r="J2816"/>
    </row>
    <row r="2817" spans="6:10">
      <c r="F2817"/>
      <c r="G2817"/>
      <c r="H2817"/>
      <c r="I2817"/>
      <c r="J2817"/>
    </row>
    <row r="2818" spans="6:10">
      <c r="F2818"/>
      <c r="G2818"/>
      <c r="H2818"/>
      <c r="I2818"/>
      <c r="J2818"/>
    </row>
    <row r="2819" spans="6:10">
      <c r="F2819"/>
      <c r="G2819"/>
      <c r="H2819"/>
      <c r="I2819"/>
      <c r="J2819"/>
    </row>
    <row r="2820" spans="6:10">
      <c r="F2820"/>
      <c r="G2820"/>
      <c r="H2820"/>
      <c r="I2820"/>
      <c r="J2820"/>
    </row>
    <row r="2821" spans="6:10">
      <c r="F2821"/>
      <c r="G2821"/>
      <c r="H2821"/>
      <c r="I2821"/>
      <c r="J2821"/>
    </row>
    <row r="2822" spans="6:10">
      <c r="F2822"/>
      <c r="G2822"/>
      <c r="H2822"/>
      <c r="I2822"/>
      <c r="J2822"/>
    </row>
    <row r="2823" spans="6:10">
      <c r="F2823"/>
      <c r="G2823"/>
      <c r="H2823"/>
      <c r="I2823"/>
      <c r="J2823"/>
    </row>
    <row r="2824" spans="6:10">
      <c r="F2824"/>
      <c r="G2824"/>
      <c r="H2824"/>
      <c r="I2824"/>
      <c r="J2824"/>
    </row>
    <row r="2825" spans="6:10">
      <c r="F2825"/>
      <c r="G2825"/>
      <c r="H2825"/>
      <c r="I2825"/>
      <c r="J2825"/>
    </row>
    <row r="2826" spans="6:10">
      <c r="F2826"/>
      <c r="G2826"/>
      <c r="H2826"/>
      <c r="I2826"/>
      <c r="J2826"/>
    </row>
    <row r="2827" spans="6:10">
      <c r="F2827"/>
      <c r="G2827"/>
      <c r="H2827"/>
      <c r="I2827"/>
      <c r="J2827"/>
    </row>
    <row r="2828" spans="6:10">
      <c r="F2828"/>
      <c r="G2828"/>
      <c r="H2828"/>
      <c r="I2828"/>
      <c r="J2828"/>
    </row>
    <row r="2829" spans="6:10">
      <c r="F2829"/>
      <c r="G2829"/>
      <c r="H2829"/>
      <c r="I2829"/>
      <c r="J2829"/>
    </row>
    <row r="2830" spans="6:10">
      <c r="F2830"/>
      <c r="G2830"/>
      <c r="H2830"/>
      <c r="I2830"/>
      <c r="J2830"/>
    </row>
    <row r="2831" spans="6:10">
      <c r="F2831"/>
      <c r="G2831"/>
      <c r="H2831"/>
      <c r="I2831"/>
      <c r="J2831"/>
    </row>
    <row r="2832" spans="6:10">
      <c r="F2832"/>
      <c r="G2832"/>
      <c r="H2832"/>
      <c r="I2832"/>
      <c r="J2832"/>
    </row>
    <row r="2833" spans="6:10">
      <c r="F2833"/>
      <c r="G2833"/>
      <c r="H2833"/>
      <c r="I2833"/>
      <c r="J2833"/>
    </row>
    <row r="2834" spans="6:10">
      <c r="F2834"/>
      <c r="G2834"/>
      <c r="H2834"/>
      <c r="I2834"/>
      <c r="J2834"/>
    </row>
    <row r="2835" spans="6:10">
      <c r="F2835"/>
      <c r="G2835"/>
      <c r="H2835"/>
      <c r="I2835"/>
      <c r="J2835"/>
    </row>
    <row r="2836" spans="6:10">
      <c r="F2836"/>
      <c r="G2836"/>
      <c r="H2836"/>
      <c r="I2836"/>
      <c r="J2836"/>
    </row>
    <row r="2837" spans="6:10">
      <c r="F2837"/>
      <c r="G2837"/>
      <c r="H2837"/>
      <c r="I2837"/>
      <c r="J2837"/>
    </row>
    <row r="2838" spans="6:10">
      <c r="F2838"/>
      <c r="G2838"/>
      <c r="H2838"/>
      <c r="I2838"/>
      <c r="J2838"/>
    </row>
    <row r="2839" spans="6:10">
      <c r="F2839"/>
      <c r="G2839"/>
      <c r="H2839"/>
      <c r="I2839"/>
      <c r="J2839"/>
    </row>
    <row r="2840" spans="6:10">
      <c r="F2840"/>
      <c r="G2840"/>
      <c r="H2840"/>
      <c r="I2840"/>
      <c r="J2840"/>
    </row>
    <row r="2841" spans="6:10">
      <c r="F2841"/>
      <c r="G2841"/>
      <c r="H2841"/>
      <c r="I2841"/>
      <c r="J2841"/>
    </row>
    <row r="2842" spans="6:10">
      <c r="F2842"/>
      <c r="G2842"/>
      <c r="H2842"/>
      <c r="I2842"/>
      <c r="J2842"/>
    </row>
    <row r="2843" spans="6:10">
      <c r="F2843"/>
      <c r="G2843"/>
      <c r="H2843"/>
      <c r="I2843"/>
      <c r="J2843"/>
    </row>
    <row r="2844" spans="6:10">
      <c r="F2844"/>
      <c r="G2844"/>
      <c r="H2844"/>
      <c r="I2844"/>
      <c r="J2844"/>
    </row>
    <row r="2845" spans="6:10">
      <c r="F2845"/>
      <c r="G2845"/>
      <c r="H2845"/>
      <c r="I2845"/>
      <c r="J2845"/>
    </row>
    <row r="2846" spans="6:10">
      <c r="F2846"/>
      <c r="G2846"/>
      <c r="H2846"/>
      <c r="I2846"/>
      <c r="J2846"/>
    </row>
    <row r="2847" spans="6:10">
      <c r="F2847"/>
      <c r="G2847"/>
      <c r="H2847"/>
      <c r="I2847"/>
      <c r="J2847"/>
    </row>
    <row r="2848" spans="6:10">
      <c r="F2848"/>
      <c r="G2848"/>
      <c r="H2848"/>
      <c r="I2848"/>
      <c r="J2848"/>
    </row>
    <row r="2849" spans="6:10">
      <c r="F2849"/>
      <c r="G2849"/>
      <c r="H2849"/>
      <c r="I2849"/>
      <c r="J2849"/>
    </row>
    <row r="2850" spans="6:10">
      <c r="F2850"/>
      <c r="G2850"/>
      <c r="H2850"/>
      <c r="I2850"/>
      <c r="J2850"/>
    </row>
    <row r="2851" spans="6:10">
      <c r="F2851"/>
      <c r="G2851"/>
      <c r="H2851"/>
      <c r="I2851"/>
      <c r="J2851"/>
    </row>
    <row r="2852" spans="6:10">
      <c r="F2852"/>
      <c r="G2852"/>
      <c r="H2852"/>
      <c r="I2852"/>
      <c r="J2852"/>
    </row>
    <row r="2853" spans="6:10">
      <c r="F2853"/>
      <c r="G2853"/>
      <c r="H2853"/>
      <c r="I2853"/>
      <c r="J2853"/>
    </row>
    <row r="2854" spans="6:10">
      <c r="F2854"/>
      <c r="G2854"/>
      <c r="H2854"/>
      <c r="I2854"/>
      <c r="J2854"/>
    </row>
    <row r="2855" spans="6:10">
      <c r="F2855"/>
      <c r="G2855"/>
      <c r="H2855"/>
      <c r="I2855"/>
      <c r="J2855"/>
    </row>
    <row r="2856" spans="6:10">
      <c r="F2856"/>
      <c r="G2856"/>
      <c r="H2856"/>
      <c r="I2856"/>
      <c r="J2856"/>
    </row>
    <row r="2857" spans="6:10">
      <c r="F2857"/>
      <c r="G2857"/>
      <c r="H2857"/>
      <c r="I2857"/>
      <c r="J2857"/>
    </row>
    <row r="2858" spans="6:10">
      <c r="F2858"/>
      <c r="G2858"/>
      <c r="H2858"/>
      <c r="I2858"/>
      <c r="J2858"/>
    </row>
    <row r="2859" spans="6:10">
      <c r="F2859"/>
      <c r="G2859"/>
      <c r="H2859"/>
      <c r="I2859"/>
      <c r="J2859"/>
    </row>
    <row r="2860" spans="6:10">
      <c r="F2860"/>
      <c r="G2860"/>
      <c r="H2860"/>
      <c r="I2860"/>
      <c r="J2860"/>
    </row>
    <row r="2861" spans="6:10">
      <c r="F2861"/>
      <c r="G2861"/>
      <c r="H2861"/>
      <c r="I2861"/>
      <c r="J2861"/>
    </row>
    <row r="2862" spans="6:10">
      <c r="F2862"/>
      <c r="G2862"/>
      <c r="H2862"/>
      <c r="I2862"/>
      <c r="J2862"/>
    </row>
    <row r="2863" spans="6:10">
      <c r="F2863"/>
      <c r="G2863"/>
      <c r="H2863"/>
      <c r="I2863"/>
      <c r="J2863"/>
    </row>
    <row r="2864" spans="6:10">
      <c r="F2864"/>
      <c r="G2864"/>
      <c r="H2864"/>
      <c r="I2864"/>
      <c r="J2864"/>
    </row>
    <row r="2865" spans="6:10">
      <c r="F2865"/>
      <c r="G2865"/>
      <c r="H2865"/>
      <c r="I2865"/>
      <c r="J2865"/>
    </row>
    <row r="2866" spans="6:10">
      <c r="F2866"/>
      <c r="G2866"/>
      <c r="H2866"/>
      <c r="I2866"/>
      <c r="J2866"/>
    </row>
    <row r="2867" spans="6:10">
      <c r="F2867"/>
      <c r="G2867"/>
      <c r="H2867"/>
      <c r="I2867"/>
      <c r="J2867"/>
    </row>
    <row r="2868" spans="6:10">
      <c r="F2868"/>
      <c r="G2868"/>
      <c r="H2868"/>
      <c r="I2868"/>
      <c r="J2868"/>
    </row>
    <row r="2869" spans="6:10">
      <c r="F2869"/>
      <c r="G2869"/>
      <c r="H2869"/>
      <c r="I2869"/>
      <c r="J2869"/>
    </row>
    <row r="2870" spans="6:10">
      <c r="F2870"/>
      <c r="G2870"/>
      <c r="H2870"/>
      <c r="I2870"/>
      <c r="J2870"/>
    </row>
    <row r="2871" spans="6:10">
      <c r="F2871"/>
      <c r="G2871"/>
      <c r="H2871"/>
      <c r="I2871"/>
      <c r="J2871"/>
    </row>
    <row r="2872" spans="6:10">
      <c r="F2872"/>
      <c r="G2872"/>
      <c r="H2872"/>
      <c r="I2872"/>
      <c r="J2872"/>
    </row>
    <row r="2873" spans="6:10">
      <c r="F2873"/>
      <c r="G2873"/>
      <c r="H2873"/>
      <c r="I2873"/>
      <c r="J2873"/>
    </row>
    <row r="2874" spans="6:10">
      <c r="F2874"/>
      <c r="G2874"/>
      <c r="H2874"/>
      <c r="I2874"/>
      <c r="J2874"/>
    </row>
    <row r="2875" spans="6:10">
      <c r="F2875"/>
      <c r="G2875"/>
      <c r="H2875"/>
      <c r="I2875"/>
      <c r="J2875"/>
    </row>
    <row r="2876" spans="6:10">
      <c r="F2876"/>
      <c r="G2876"/>
      <c r="H2876"/>
      <c r="I2876"/>
      <c r="J2876"/>
    </row>
    <row r="2877" spans="6:10">
      <c r="F2877"/>
      <c r="G2877"/>
      <c r="H2877"/>
      <c r="I2877"/>
      <c r="J2877"/>
    </row>
    <row r="2878" spans="6:10">
      <c r="F2878"/>
      <c r="G2878"/>
      <c r="H2878"/>
      <c r="I2878"/>
      <c r="J2878"/>
    </row>
    <row r="2879" spans="6:10">
      <c r="F2879"/>
      <c r="G2879"/>
      <c r="H2879"/>
      <c r="I2879"/>
      <c r="J2879"/>
    </row>
    <row r="2880" spans="6:10">
      <c r="F2880"/>
      <c r="G2880"/>
      <c r="H2880"/>
      <c r="I2880"/>
      <c r="J2880"/>
    </row>
    <row r="2881" spans="6:10">
      <c r="F2881"/>
      <c r="G2881"/>
      <c r="H2881"/>
      <c r="I2881"/>
      <c r="J2881"/>
    </row>
    <row r="2882" spans="6:10">
      <c r="F2882"/>
      <c r="G2882"/>
      <c r="H2882"/>
      <c r="I2882"/>
      <c r="J2882"/>
    </row>
    <row r="2883" spans="6:10">
      <c r="F2883"/>
      <c r="G2883"/>
      <c r="H2883"/>
      <c r="I2883"/>
      <c r="J2883"/>
    </row>
    <row r="2884" spans="6:10">
      <c r="F2884"/>
      <c r="G2884"/>
      <c r="H2884"/>
      <c r="I2884"/>
      <c r="J2884"/>
    </row>
    <row r="2885" spans="6:10">
      <c r="F2885"/>
      <c r="G2885"/>
      <c r="H2885"/>
      <c r="I2885"/>
      <c r="J2885"/>
    </row>
    <row r="2886" spans="6:10">
      <c r="F2886"/>
      <c r="G2886"/>
      <c r="H2886"/>
      <c r="I2886"/>
      <c r="J2886"/>
    </row>
    <row r="2887" spans="6:10">
      <c r="F2887"/>
      <c r="G2887"/>
      <c r="H2887"/>
      <c r="I2887"/>
      <c r="J2887"/>
    </row>
    <row r="2888" spans="6:10">
      <c r="F2888"/>
      <c r="G2888"/>
      <c r="H2888"/>
      <c r="I2888"/>
      <c r="J2888"/>
    </row>
    <row r="2889" spans="6:10">
      <c r="F2889"/>
      <c r="G2889"/>
      <c r="H2889"/>
      <c r="I2889"/>
      <c r="J2889"/>
    </row>
    <row r="2890" spans="6:10">
      <c r="F2890"/>
      <c r="G2890"/>
      <c r="H2890"/>
      <c r="I2890"/>
      <c r="J2890"/>
    </row>
    <row r="2891" spans="6:10">
      <c r="F2891"/>
      <c r="G2891"/>
      <c r="H2891"/>
      <c r="I2891"/>
      <c r="J2891"/>
    </row>
    <row r="2892" spans="6:10">
      <c r="F2892"/>
      <c r="G2892"/>
      <c r="H2892"/>
      <c r="I2892"/>
      <c r="J2892"/>
    </row>
    <row r="2893" spans="6:10">
      <c r="F2893"/>
      <c r="G2893"/>
      <c r="H2893"/>
      <c r="I2893"/>
      <c r="J2893"/>
    </row>
    <row r="2894" spans="6:10">
      <c r="F2894"/>
      <c r="G2894"/>
      <c r="H2894"/>
      <c r="I2894"/>
      <c r="J2894"/>
    </row>
    <row r="2895" spans="6:10">
      <c r="F2895"/>
      <c r="G2895"/>
      <c r="H2895"/>
      <c r="I2895"/>
      <c r="J2895"/>
    </row>
    <row r="2896" spans="6:10">
      <c r="F2896"/>
      <c r="G2896"/>
      <c r="H2896"/>
      <c r="I2896"/>
      <c r="J2896"/>
    </row>
    <row r="2897" spans="6:10">
      <c r="F2897"/>
      <c r="G2897"/>
      <c r="H2897"/>
      <c r="I2897"/>
      <c r="J2897"/>
    </row>
    <row r="2898" spans="6:10">
      <c r="F2898"/>
      <c r="G2898"/>
      <c r="H2898"/>
      <c r="I2898"/>
      <c r="J2898"/>
    </row>
    <row r="2899" spans="6:10">
      <c r="F2899"/>
      <c r="G2899"/>
      <c r="H2899"/>
      <c r="I2899"/>
      <c r="J2899"/>
    </row>
    <row r="2900" spans="6:10">
      <c r="F2900"/>
      <c r="G2900"/>
      <c r="H2900"/>
      <c r="I2900"/>
      <c r="J2900"/>
    </row>
    <row r="2901" spans="6:10">
      <c r="F2901"/>
      <c r="G2901"/>
      <c r="H2901"/>
      <c r="I2901"/>
      <c r="J2901"/>
    </row>
    <row r="2902" spans="6:10">
      <c r="F2902"/>
      <c r="G2902"/>
      <c r="H2902"/>
      <c r="I2902"/>
      <c r="J2902"/>
    </row>
    <row r="2903" spans="6:10">
      <c r="F2903"/>
      <c r="G2903"/>
      <c r="H2903"/>
      <c r="I2903"/>
      <c r="J2903"/>
    </row>
    <row r="2904" spans="6:10">
      <c r="F2904"/>
      <c r="G2904"/>
      <c r="H2904"/>
      <c r="I2904"/>
      <c r="J2904"/>
    </row>
    <row r="2905" spans="6:10">
      <c r="F2905"/>
      <c r="G2905"/>
      <c r="H2905"/>
      <c r="I2905"/>
      <c r="J2905"/>
    </row>
    <row r="2906" spans="6:10">
      <c r="F2906"/>
      <c r="G2906"/>
      <c r="H2906"/>
      <c r="I2906"/>
      <c r="J2906"/>
    </row>
    <row r="2907" spans="6:10">
      <c r="F2907"/>
      <c r="G2907"/>
      <c r="H2907"/>
      <c r="I2907"/>
      <c r="J2907"/>
    </row>
    <row r="2908" spans="6:10">
      <c r="F2908"/>
      <c r="G2908"/>
      <c r="H2908"/>
      <c r="I2908"/>
      <c r="J2908"/>
    </row>
    <row r="2909" spans="6:10">
      <c r="F2909"/>
      <c r="G2909"/>
      <c r="H2909"/>
      <c r="I2909"/>
      <c r="J2909"/>
    </row>
    <row r="2910" spans="6:10">
      <c r="F2910"/>
      <c r="G2910"/>
      <c r="H2910"/>
      <c r="I2910"/>
      <c r="J2910"/>
    </row>
    <row r="2911" spans="6:10">
      <c r="F2911"/>
      <c r="G2911"/>
      <c r="H2911"/>
      <c r="I2911"/>
      <c r="J2911"/>
    </row>
    <row r="2912" spans="6:10">
      <c r="F2912"/>
      <c r="G2912"/>
      <c r="H2912"/>
      <c r="I2912"/>
      <c r="J2912"/>
    </row>
    <row r="2913" spans="6:10">
      <c r="F2913"/>
      <c r="G2913"/>
      <c r="H2913"/>
      <c r="I2913"/>
      <c r="J2913"/>
    </row>
    <row r="2914" spans="6:10">
      <c r="F2914"/>
      <c r="G2914"/>
      <c r="H2914"/>
      <c r="I2914"/>
      <c r="J2914"/>
    </row>
    <row r="2915" spans="6:10">
      <c r="F2915"/>
      <c r="G2915"/>
      <c r="H2915"/>
      <c r="I2915"/>
      <c r="J2915"/>
    </row>
    <row r="2916" spans="6:10">
      <c r="F2916"/>
      <c r="G2916"/>
      <c r="H2916"/>
      <c r="I2916"/>
      <c r="J2916"/>
    </row>
    <row r="2917" spans="6:10">
      <c r="F2917"/>
      <c r="G2917"/>
      <c r="H2917"/>
      <c r="I2917"/>
      <c r="J2917"/>
    </row>
    <row r="2918" spans="6:10">
      <c r="F2918"/>
      <c r="G2918"/>
      <c r="H2918"/>
      <c r="I2918"/>
      <c r="J2918"/>
    </row>
    <row r="2919" spans="6:10">
      <c r="F2919"/>
      <c r="G2919"/>
      <c r="H2919"/>
      <c r="I2919"/>
      <c r="J2919"/>
    </row>
    <row r="2920" spans="6:10">
      <c r="F2920"/>
      <c r="G2920"/>
      <c r="H2920"/>
      <c r="I2920"/>
      <c r="J2920"/>
    </row>
    <row r="2921" spans="6:10">
      <c r="F2921"/>
      <c r="G2921"/>
      <c r="H2921"/>
      <c r="I2921"/>
      <c r="J2921"/>
    </row>
    <row r="2922" spans="6:10">
      <c r="F2922"/>
      <c r="G2922"/>
      <c r="H2922"/>
      <c r="I2922"/>
      <c r="J2922"/>
    </row>
    <row r="2923" spans="6:10">
      <c r="F2923"/>
      <c r="G2923"/>
      <c r="H2923"/>
      <c r="I2923"/>
      <c r="J2923"/>
    </row>
    <row r="2924" spans="6:10">
      <c r="F2924"/>
      <c r="G2924"/>
      <c r="H2924"/>
      <c r="I2924"/>
      <c r="J2924"/>
    </row>
    <row r="2925" spans="6:10">
      <c r="F2925"/>
      <c r="G2925"/>
      <c r="H2925"/>
      <c r="I2925"/>
      <c r="J2925"/>
    </row>
    <row r="2926" spans="6:10">
      <c r="F2926"/>
      <c r="G2926"/>
      <c r="H2926"/>
      <c r="I2926"/>
      <c r="J2926"/>
    </row>
    <row r="2927" spans="6:10">
      <c r="F2927"/>
      <c r="G2927"/>
      <c r="H2927"/>
      <c r="I2927"/>
      <c r="J2927"/>
    </row>
    <row r="2928" spans="6:10">
      <c r="F2928"/>
      <c r="G2928"/>
      <c r="H2928"/>
      <c r="I2928"/>
      <c r="J2928"/>
    </row>
    <row r="2929" spans="6:10">
      <c r="F2929"/>
      <c r="G2929"/>
      <c r="H2929"/>
      <c r="I2929"/>
      <c r="J2929"/>
    </row>
    <row r="2930" spans="6:10">
      <c r="F2930"/>
      <c r="G2930"/>
      <c r="H2930"/>
      <c r="I2930"/>
      <c r="J2930"/>
    </row>
    <row r="2931" spans="6:10">
      <c r="F2931"/>
      <c r="G2931"/>
      <c r="H2931"/>
      <c r="I2931"/>
      <c r="J2931"/>
    </row>
    <row r="2932" spans="6:10">
      <c r="F2932"/>
      <c r="G2932"/>
      <c r="H2932"/>
      <c r="I2932"/>
      <c r="J2932"/>
    </row>
    <row r="2933" spans="6:10">
      <c r="F2933"/>
      <c r="G2933"/>
      <c r="H2933"/>
      <c r="I2933"/>
      <c r="J2933"/>
    </row>
    <row r="2934" spans="6:10">
      <c r="F2934"/>
      <c r="G2934"/>
      <c r="H2934"/>
      <c r="I2934"/>
      <c r="J2934"/>
    </row>
    <row r="2935" spans="6:10">
      <c r="F2935"/>
      <c r="G2935"/>
      <c r="H2935"/>
      <c r="I2935"/>
      <c r="J2935"/>
    </row>
    <row r="2936" spans="6:10">
      <c r="F2936"/>
      <c r="G2936"/>
      <c r="H2936"/>
      <c r="I2936"/>
      <c r="J2936"/>
    </row>
    <row r="2937" spans="6:10">
      <c r="F2937"/>
      <c r="G2937"/>
      <c r="H2937"/>
      <c r="I2937"/>
      <c r="J2937"/>
    </row>
    <row r="2938" spans="6:10">
      <c r="F2938"/>
      <c r="G2938"/>
      <c r="H2938"/>
      <c r="I2938"/>
      <c r="J2938"/>
    </row>
    <row r="2939" spans="6:10">
      <c r="F2939"/>
      <c r="G2939"/>
      <c r="H2939"/>
      <c r="I2939"/>
      <c r="J2939"/>
    </row>
    <row r="2940" spans="6:10">
      <c r="F2940"/>
      <c r="G2940"/>
      <c r="H2940"/>
      <c r="I2940"/>
      <c r="J2940"/>
    </row>
    <row r="2941" spans="6:10">
      <c r="F2941"/>
      <c r="G2941"/>
      <c r="H2941"/>
      <c r="I2941"/>
      <c r="J2941"/>
    </row>
    <row r="2942" spans="6:10">
      <c r="F2942"/>
      <c r="G2942"/>
      <c r="H2942"/>
      <c r="I2942"/>
      <c r="J2942"/>
    </row>
    <row r="2943" spans="6:10">
      <c r="F2943"/>
      <c r="G2943"/>
      <c r="H2943"/>
      <c r="I2943"/>
      <c r="J2943"/>
    </row>
    <row r="2944" spans="6:10">
      <c r="F2944"/>
      <c r="G2944"/>
      <c r="H2944"/>
      <c r="I2944"/>
      <c r="J2944"/>
    </row>
    <row r="2945" spans="6:10">
      <c r="F2945"/>
      <c r="G2945"/>
      <c r="H2945"/>
      <c r="I2945"/>
      <c r="J2945"/>
    </row>
    <row r="2946" spans="6:10">
      <c r="F2946"/>
      <c r="G2946"/>
      <c r="H2946"/>
      <c r="I2946"/>
      <c r="J2946"/>
    </row>
    <row r="2947" spans="6:10">
      <c r="F2947"/>
      <c r="G2947"/>
      <c r="H2947"/>
      <c r="I2947"/>
      <c r="J2947"/>
    </row>
    <row r="2948" spans="6:10">
      <c r="F2948"/>
      <c r="G2948"/>
      <c r="H2948"/>
      <c r="I2948"/>
      <c r="J2948"/>
    </row>
    <row r="2949" spans="6:10">
      <c r="F2949"/>
      <c r="G2949"/>
      <c r="H2949"/>
      <c r="I2949"/>
      <c r="J2949"/>
    </row>
    <row r="2950" spans="6:10">
      <c r="F2950"/>
      <c r="G2950"/>
      <c r="H2950"/>
      <c r="I2950"/>
      <c r="J2950"/>
    </row>
    <row r="2951" spans="6:10">
      <c r="F2951"/>
      <c r="G2951"/>
      <c r="H2951"/>
      <c r="I2951"/>
      <c r="J2951"/>
    </row>
    <row r="2952" spans="6:10">
      <c r="F2952"/>
      <c r="G2952"/>
      <c r="H2952"/>
      <c r="I2952"/>
      <c r="J2952"/>
    </row>
    <row r="2953" spans="6:10">
      <c r="F2953"/>
      <c r="G2953"/>
      <c r="H2953"/>
      <c r="I2953"/>
      <c r="J2953"/>
    </row>
    <row r="2954" spans="6:10">
      <c r="F2954"/>
      <c r="G2954"/>
      <c r="H2954"/>
      <c r="I2954"/>
      <c r="J2954"/>
    </row>
    <row r="2955" spans="6:10">
      <c r="F2955"/>
      <c r="G2955"/>
      <c r="H2955"/>
      <c r="I2955"/>
      <c r="J2955"/>
    </row>
    <row r="2956" spans="6:10">
      <c r="F2956"/>
      <c r="G2956"/>
      <c r="H2956"/>
      <c r="I2956"/>
      <c r="J2956"/>
    </row>
    <row r="2957" spans="6:10">
      <c r="F2957"/>
      <c r="G2957"/>
      <c r="H2957"/>
      <c r="I2957"/>
      <c r="J2957"/>
    </row>
    <row r="2958" spans="6:10">
      <c r="F2958"/>
      <c r="G2958"/>
      <c r="H2958"/>
      <c r="I2958"/>
      <c r="J2958"/>
    </row>
    <row r="2959" spans="6:10">
      <c r="F2959"/>
      <c r="G2959"/>
      <c r="H2959"/>
      <c r="I2959"/>
      <c r="J2959"/>
    </row>
    <row r="2960" spans="6:10">
      <c r="F2960"/>
      <c r="G2960"/>
      <c r="H2960"/>
      <c r="I2960"/>
      <c r="J2960"/>
    </row>
    <row r="2961" spans="6:10">
      <c r="F2961"/>
      <c r="G2961"/>
      <c r="H2961"/>
      <c r="I2961"/>
      <c r="J2961"/>
    </row>
    <row r="2962" spans="6:10">
      <c r="F2962"/>
      <c r="G2962"/>
      <c r="H2962"/>
      <c r="I2962"/>
      <c r="J2962"/>
    </row>
    <row r="2963" spans="6:10">
      <c r="F2963"/>
      <c r="G2963"/>
      <c r="H2963"/>
      <c r="I2963"/>
      <c r="J2963"/>
    </row>
    <row r="2964" spans="6:10">
      <c r="F2964"/>
      <c r="G2964"/>
      <c r="H2964"/>
      <c r="I2964"/>
      <c r="J2964"/>
    </row>
    <row r="2965" spans="6:10">
      <c r="F2965"/>
      <c r="G2965"/>
      <c r="H2965"/>
      <c r="I2965"/>
      <c r="J2965"/>
    </row>
    <row r="2966" spans="6:10">
      <c r="F2966"/>
      <c r="G2966"/>
      <c r="H2966"/>
      <c r="I2966"/>
      <c r="J2966"/>
    </row>
    <row r="2967" spans="6:10">
      <c r="F2967"/>
      <c r="G2967"/>
      <c r="H2967"/>
      <c r="I2967"/>
      <c r="J2967"/>
    </row>
    <row r="2968" spans="6:10">
      <c r="F2968"/>
      <c r="G2968"/>
      <c r="H2968"/>
      <c r="I2968"/>
      <c r="J2968"/>
    </row>
    <row r="2969" spans="6:10">
      <c r="F2969"/>
      <c r="G2969"/>
      <c r="H2969"/>
      <c r="I2969"/>
      <c r="J2969"/>
    </row>
    <row r="2970" spans="6:10">
      <c r="F2970"/>
      <c r="G2970"/>
      <c r="H2970"/>
      <c r="I2970"/>
      <c r="J2970"/>
    </row>
    <row r="2971" spans="6:10">
      <c r="F2971"/>
      <c r="G2971"/>
      <c r="H2971"/>
      <c r="I2971"/>
      <c r="J2971"/>
    </row>
    <row r="2972" spans="6:10">
      <c r="F2972"/>
      <c r="G2972"/>
      <c r="H2972"/>
      <c r="I2972"/>
      <c r="J2972"/>
    </row>
    <row r="2973" spans="6:10">
      <c r="F2973"/>
      <c r="G2973"/>
      <c r="H2973"/>
      <c r="I2973"/>
      <c r="J2973"/>
    </row>
    <row r="2974" spans="6:10">
      <c r="F2974"/>
      <c r="G2974"/>
      <c r="H2974"/>
      <c r="I2974"/>
      <c r="J2974"/>
    </row>
    <row r="2975" spans="6:10">
      <c r="F2975"/>
      <c r="G2975"/>
      <c r="H2975"/>
      <c r="I2975"/>
      <c r="J2975"/>
    </row>
    <row r="2976" spans="6:10">
      <c r="F2976"/>
      <c r="G2976"/>
      <c r="H2976"/>
      <c r="I2976"/>
      <c r="J2976"/>
    </row>
    <row r="2977" spans="6:10">
      <c r="F2977"/>
      <c r="G2977"/>
      <c r="H2977"/>
      <c r="I2977"/>
      <c r="J2977"/>
    </row>
    <row r="2978" spans="6:10">
      <c r="F2978"/>
      <c r="G2978"/>
      <c r="H2978"/>
      <c r="I2978"/>
      <c r="J2978"/>
    </row>
    <row r="2979" spans="6:10">
      <c r="F2979"/>
      <c r="G2979"/>
      <c r="H2979"/>
      <c r="I2979"/>
      <c r="J2979"/>
    </row>
    <row r="2980" spans="6:10">
      <c r="F2980"/>
      <c r="G2980"/>
      <c r="H2980"/>
      <c r="I2980"/>
      <c r="J2980"/>
    </row>
    <row r="2981" spans="6:10">
      <c r="F2981"/>
      <c r="G2981"/>
      <c r="H2981"/>
      <c r="I2981"/>
      <c r="J2981"/>
    </row>
    <row r="2982" spans="6:10">
      <c r="F2982"/>
      <c r="G2982"/>
      <c r="H2982"/>
      <c r="I2982"/>
      <c r="J2982"/>
    </row>
    <row r="2983" spans="6:10">
      <c r="F2983"/>
      <c r="G2983"/>
      <c r="H2983"/>
      <c r="I2983"/>
      <c r="J2983"/>
    </row>
    <row r="2984" spans="6:10">
      <c r="F2984"/>
      <c r="G2984"/>
      <c r="H2984"/>
      <c r="I2984"/>
      <c r="J2984"/>
    </row>
    <row r="2985" spans="6:10">
      <c r="F2985"/>
      <c r="G2985"/>
      <c r="H2985"/>
      <c r="I2985"/>
      <c r="J2985"/>
    </row>
    <row r="2986" spans="6:10">
      <c r="F2986"/>
      <c r="G2986"/>
      <c r="H2986"/>
      <c r="I2986"/>
      <c r="J2986"/>
    </row>
    <row r="2987" spans="6:10">
      <c r="F2987"/>
      <c r="G2987"/>
      <c r="H2987"/>
      <c r="I2987"/>
      <c r="J2987"/>
    </row>
    <row r="2988" spans="6:10">
      <c r="F2988"/>
      <c r="G2988"/>
      <c r="H2988"/>
      <c r="I2988"/>
      <c r="J2988"/>
    </row>
    <row r="2989" spans="6:10">
      <c r="F2989"/>
      <c r="G2989"/>
      <c r="H2989"/>
      <c r="I2989"/>
      <c r="J2989"/>
    </row>
    <row r="2990" spans="6:10">
      <c r="F2990"/>
      <c r="G2990"/>
      <c r="H2990"/>
      <c r="I2990"/>
      <c r="J2990"/>
    </row>
    <row r="2991" spans="6:10">
      <c r="F2991"/>
      <c r="G2991"/>
      <c r="H2991"/>
      <c r="I2991"/>
      <c r="J2991"/>
    </row>
    <row r="2992" spans="6:10">
      <c r="F2992"/>
      <c r="G2992"/>
      <c r="H2992"/>
      <c r="I2992"/>
      <c r="J2992"/>
    </row>
    <row r="2993" spans="6:10">
      <c r="F2993"/>
      <c r="G2993"/>
      <c r="H2993"/>
      <c r="I2993"/>
      <c r="J2993"/>
    </row>
    <row r="2994" spans="6:10">
      <c r="F2994"/>
      <c r="G2994"/>
      <c r="H2994"/>
      <c r="I2994"/>
      <c r="J2994"/>
    </row>
    <row r="2995" spans="6:10">
      <c r="F2995"/>
      <c r="G2995"/>
      <c r="H2995"/>
      <c r="I2995"/>
      <c r="J2995"/>
    </row>
    <row r="2996" spans="6:10">
      <c r="F2996"/>
      <c r="G2996"/>
      <c r="H2996"/>
      <c r="I2996"/>
      <c r="J2996"/>
    </row>
    <row r="2997" spans="6:10">
      <c r="F2997"/>
      <c r="G2997"/>
      <c r="H2997"/>
      <c r="I2997"/>
      <c r="J2997"/>
    </row>
    <row r="2998" spans="6:10">
      <c r="F2998"/>
      <c r="G2998"/>
      <c r="H2998"/>
      <c r="I2998"/>
      <c r="J2998"/>
    </row>
    <row r="2999" spans="6:10">
      <c r="F2999"/>
      <c r="G2999"/>
      <c r="H2999"/>
      <c r="I2999"/>
      <c r="J2999"/>
    </row>
    <row r="3000" spans="6:10">
      <c r="F3000"/>
      <c r="G3000"/>
      <c r="H3000"/>
      <c r="I3000"/>
      <c r="J3000"/>
    </row>
    <row r="3001" spans="6:10">
      <c r="F3001"/>
      <c r="G3001"/>
      <c r="H3001"/>
      <c r="I3001"/>
      <c r="J3001"/>
    </row>
    <row r="3002" spans="6:10">
      <c r="F3002"/>
      <c r="G3002"/>
      <c r="H3002"/>
      <c r="I3002"/>
      <c r="J3002"/>
    </row>
    <row r="3003" spans="6:10">
      <c r="F3003"/>
      <c r="G3003"/>
      <c r="H3003"/>
      <c r="I3003"/>
      <c r="J3003"/>
    </row>
    <row r="3004" spans="6:10">
      <c r="F3004"/>
      <c r="G3004"/>
      <c r="H3004"/>
      <c r="I3004"/>
      <c r="J3004"/>
    </row>
    <row r="3005" spans="6:10">
      <c r="F3005"/>
      <c r="G3005"/>
      <c r="H3005"/>
      <c r="I3005"/>
      <c r="J3005"/>
    </row>
    <row r="3006" spans="6:10">
      <c r="F3006"/>
      <c r="G3006"/>
      <c r="H3006"/>
      <c r="I3006"/>
      <c r="J3006"/>
    </row>
    <row r="3007" spans="6:10">
      <c r="F3007"/>
      <c r="G3007"/>
      <c r="H3007"/>
      <c r="I3007"/>
      <c r="J3007"/>
    </row>
    <row r="3008" spans="6:10">
      <c r="F3008"/>
      <c r="G3008"/>
      <c r="H3008"/>
      <c r="I3008"/>
      <c r="J3008"/>
    </row>
    <row r="3009" spans="6:10">
      <c r="F3009"/>
      <c r="G3009"/>
      <c r="H3009"/>
      <c r="I3009"/>
      <c r="J3009"/>
    </row>
    <row r="3010" spans="6:10">
      <c r="F3010"/>
      <c r="G3010"/>
      <c r="H3010"/>
      <c r="I3010"/>
      <c r="J3010"/>
    </row>
    <row r="3011" spans="6:10">
      <c r="F3011"/>
      <c r="G3011"/>
      <c r="H3011"/>
      <c r="I3011"/>
      <c r="J3011"/>
    </row>
    <row r="3012" spans="6:10">
      <c r="F3012"/>
      <c r="G3012"/>
      <c r="H3012"/>
      <c r="I3012"/>
      <c r="J3012"/>
    </row>
    <row r="3013" spans="6:10">
      <c r="F3013"/>
      <c r="G3013"/>
      <c r="H3013"/>
      <c r="I3013"/>
      <c r="J3013"/>
    </row>
    <row r="3014" spans="6:10">
      <c r="F3014"/>
      <c r="G3014"/>
      <c r="H3014"/>
      <c r="I3014"/>
      <c r="J3014"/>
    </row>
    <row r="3015" spans="6:10">
      <c r="F3015"/>
      <c r="G3015"/>
      <c r="H3015"/>
      <c r="I3015"/>
      <c r="J3015"/>
    </row>
    <row r="3016" spans="6:10">
      <c r="F3016"/>
      <c r="G3016"/>
      <c r="H3016"/>
      <c r="I3016"/>
      <c r="J3016"/>
    </row>
    <row r="3017" spans="6:10">
      <c r="F3017"/>
      <c r="G3017"/>
      <c r="H3017"/>
      <c r="I3017"/>
      <c r="J3017"/>
    </row>
    <row r="3018" spans="6:10">
      <c r="F3018"/>
      <c r="G3018"/>
      <c r="H3018"/>
      <c r="I3018"/>
      <c r="J3018"/>
    </row>
    <row r="3019" spans="6:10">
      <c r="F3019"/>
      <c r="G3019"/>
      <c r="H3019"/>
      <c r="I3019"/>
      <c r="J3019"/>
    </row>
    <row r="3020" spans="6:10">
      <c r="F3020"/>
      <c r="G3020"/>
      <c r="H3020"/>
      <c r="I3020"/>
      <c r="J3020"/>
    </row>
    <row r="3021" spans="6:10">
      <c r="F3021"/>
      <c r="G3021"/>
      <c r="H3021"/>
      <c r="I3021"/>
      <c r="J3021"/>
    </row>
    <row r="3022" spans="6:10">
      <c r="F3022"/>
      <c r="G3022"/>
      <c r="H3022"/>
      <c r="I3022"/>
      <c r="J3022"/>
    </row>
    <row r="3023" spans="6:10">
      <c r="F3023"/>
      <c r="G3023"/>
      <c r="H3023"/>
      <c r="I3023"/>
      <c r="J3023"/>
    </row>
    <row r="3024" spans="6:10">
      <c r="F3024"/>
      <c r="G3024"/>
      <c r="H3024"/>
      <c r="I3024"/>
      <c r="J3024"/>
    </row>
    <row r="3025" spans="6:10">
      <c r="F3025"/>
      <c r="G3025"/>
      <c r="H3025"/>
      <c r="I3025"/>
      <c r="J3025"/>
    </row>
    <row r="3026" spans="6:10">
      <c r="F3026"/>
      <c r="G3026"/>
      <c r="H3026"/>
      <c r="I3026"/>
      <c r="J3026"/>
    </row>
    <row r="3027" spans="6:10">
      <c r="F3027"/>
      <c r="G3027"/>
      <c r="H3027"/>
      <c r="I3027"/>
      <c r="J3027"/>
    </row>
    <row r="3028" spans="6:10">
      <c r="F3028"/>
      <c r="G3028"/>
      <c r="H3028"/>
      <c r="I3028"/>
      <c r="J3028"/>
    </row>
    <row r="3029" spans="6:10">
      <c r="F3029"/>
      <c r="G3029"/>
      <c r="H3029"/>
      <c r="I3029"/>
      <c r="J3029"/>
    </row>
    <row r="3030" spans="6:10">
      <c r="F3030"/>
      <c r="G3030"/>
      <c r="H3030"/>
      <c r="I3030"/>
      <c r="J3030"/>
    </row>
    <row r="3031" spans="6:10">
      <c r="F3031"/>
      <c r="G3031"/>
      <c r="H3031"/>
      <c r="I3031"/>
      <c r="J3031"/>
    </row>
    <row r="3032" spans="6:10">
      <c r="F3032"/>
      <c r="G3032"/>
      <c r="H3032"/>
      <c r="I3032"/>
      <c r="J3032"/>
    </row>
    <row r="3033" spans="6:10">
      <c r="F3033"/>
      <c r="G3033"/>
      <c r="H3033"/>
      <c r="I3033"/>
      <c r="J3033"/>
    </row>
    <row r="3034" spans="6:10">
      <c r="F3034"/>
      <c r="G3034"/>
      <c r="H3034"/>
      <c r="I3034"/>
      <c r="J3034"/>
    </row>
    <row r="3035" spans="6:10">
      <c r="F3035"/>
      <c r="G3035"/>
      <c r="H3035"/>
      <c r="I3035"/>
      <c r="J3035"/>
    </row>
    <row r="3036" spans="6:10">
      <c r="F3036"/>
      <c r="G3036"/>
      <c r="H3036"/>
      <c r="I3036"/>
      <c r="J3036"/>
    </row>
    <row r="3037" spans="6:10">
      <c r="F3037"/>
      <c r="G3037"/>
      <c r="H3037"/>
      <c r="I3037"/>
      <c r="J3037"/>
    </row>
    <row r="3038" spans="6:10">
      <c r="F3038"/>
      <c r="G3038"/>
      <c r="H3038"/>
      <c r="I3038"/>
      <c r="J3038"/>
    </row>
    <row r="3039" spans="6:10">
      <c r="F3039"/>
      <c r="G3039"/>
      <c r="H3039"/>
      <c r="I3039"/>
      <c r="J3039"/>
    </row>
    <row r="3040" spans="6:10">
      <c r="F3040"/>
      <c r="G3040"/>
      <c r="H3040"/>
      <c r="I3040"/>
      <c r="J3040"/>
    </row>
    <row r="3041" spans="6:10">
      <c r="F3041"/>
      <c r="G3041"/>
      <c r="H3041"/>
      <c r="I3041"/>
      <c r="J3041"/>
    </row>
    <row r="3042" spans="6:10">
      <c r="F3042"/>
      <c r="G3042"/>
      <c r="H3042"/>
      <c r="I3042"/>
      <c r="J3042"/>
    </row>
    <row r="3043" spans="6:10">
      <c r="F3043"/>
      <c r="G3043"/>
      <c r="H3043"/>
      <c r="I3043"/>
      <c r="J3043"/>
    </row>
    <row r="3044" spans="6:10">
      <c r="F3044"/>
      <c r="G3044"/>
      <c r="H3044"/>
      <c r="I3044"/>
      <c r="J3044"/>
    </row>
    <row r="3045" spans="6:10">
      <c r="F3045"/>
      <c r="G3045"/>
      <c r="H3045"/>
      <c r="I3045"/>
      <c r="J3045"/>
    </row>
    <row r="3046" spans="6:10">
      <c r="F3046"/>
      <c r="G3046"/>
      <c r="H3046"/>
      <c r="I3046"/>
      <c r="J3046"/>
    </row>
    <row r="3047" spans="6:10">
      <c r="F3047"/>
      <c r="G3047"/>
      <c r="H3047"/>
      <c r="I3047"/>
      <c r="J3047"/>
    </row>
    <row r="3048" spans="6:10">
      <c r="F3048"/>
      <c r="G3048"/>
      <c r="H3048"/>
      <c r="I3048"/>
      <c r="J3048"/>
    </row>
    <row r="3049" spans="6:10">
      <c r="F3049"/>
      <c r="G3049"/>
      <c r="H3049"/>
      <c r="I3049"/>
      <c r="J3049"/>
    </row>
    <row r="3050" spans="6:10">
      <c r="F3050"/>
      <c r="G3050"/>
      <c r="H3050"/>
      <c r="I3050"/>
      <c r="J3050"/>
    </row>
    <row r="3051" spans="6:10">
      <c r="F3051"/>
      <c r="G3051"/>
      <c r="H3051"/>
      <c r="I3051"/>
      <c r="J3051"/>
    </row>
    <row r="3052" spans="6:10">
      <c r="F3052"/>
      <c r="G3052"/>
      <c r="H3052"/>
      <c r="I3052"/>
      <c r="J3052"/>
    </row>
    <row r="3053" spans="6:10">
      <c r="F3053"/>
      <c r="G3053"/>
      <c r="H3053"/>
      <c r="I3053"/>
      <c r="J3053"/>
    </row>
    <row r="3054" spans="6:10">
      <c r="F3054"/>
      <c r="G3054"/>
      <c r="H3054"/>
      <c r="I3054"/>
      <c r="J3054"/>
    </row>
    <row r="3055" spans="6:10">
      <c r="F3055"/>
      <c r="G3055"/>
      <c r="H3055"/>
      <c r="I3055"/>
      <c r="J3055"/>
    </row>
    <row r="3056" spans="6:10">
      <c r="F3056"/>
      <c r="G3056"/>
      <c r="H3056"/>
      <c r="I3056"/>
      <c r="J3056"/>
    </row>
    <row r="3057" spans="6:10">
      <c r="F3057"/>
      <c r="G3057"/>
      <c r="H3057"/>
      <c r="I3057"/>
      <c r="J3057"/>
    </row>
    <row r="3058" spans="6:10">
      <c r="F3058"/>
      <c r="G3058"/>
      <c r="H3058"/>
      <c r="I3058"/>
      <c r="J3058"/>
    </row>
    <row r="3059" spans="6:10">
      <c r="F3059"/>
      <c r="G3059"/>
      <c r="H3059"/>
      <c r="I3059"/>
      <c r="J3059"/>
    </row>
    <row r="3060" spans="6:10">
      <c r="F3060"/>
      <c r="G3060"/>
      <c r="H3060"/>
      <c r="I3060"/>
      <c r="J3060"/>
    </row>
    <row r="3061" spans="6:10">
      <c r="F3061"/>
      <c r="G3061"/>
      <c r="H3061"/>
      <c r="I3061"/>
      <c r="J3061"/>
    </row>
    <row r="3062" spans="6:10">
      <c r="F3062"/>
      <c r="G3062"/>
      <c r="H3062"/>
      <c r="I3062"/>
      <c r="J3062"/>
    </row>
    <row r="3063" spans="6:10">
      <c r="F3063"/>
      <c r="G3063"/>
      <c r="H3063"/>
      <c r="I3063"/>
      <c r="J3063"/>
    </row>
    <row r="3064" spans="6:10">
      <c r="F3064"/>
      <c r="G3064"/>
      <c r="H3064"/>
      <c r="I3064"/>
      <c r="J3064"/>
    </row>
    <row r="3065" spans="6:10">
      <c r="F3065"/>
      <c r="G3065"/>
      <c r="H3065"/>
      <c r="I3065"/>
      <c r="J3065"/>
    </row>
    <row r="3066" spans="6:10">
      <c r="F3066"/>
      <c r="G3066"/>
      <c r="H3066"/>
      <c r="I3066"/>
      <c r="J3066"/>
    </row>
    <row r="3067" spans="6:10">
      <c r="F3067"/>
      <c r="G3067"/>
      <c r="H3067"/>
      <c r="I3067"/>
      <c r="J3067"/>
    </row>
    <row r="3068" spans="6:10">
      <c r="F3068"/>
      <c r="G3068"/>
      <c r="H3068"/>
      <c r="I3068"/>
      <c r="J3068"/>
    </row>
    <row r="3069" spans="6:10">
      <c r="F3069"/>
      <c r="G3069"/>
      <c r="H3069"/>
      <c r="I3069"/>
      <c r="J3069"/>
    </row>
    <row r="3070" spans="6:10">
      <c r="F3070"/>
      <c r="G3070"/>
      <c r="H3070"/>
      <c r="I3070"/>
      <c r="J3070"/>
    </row>
    <row r="3071" spans="6:10">
      <c r="F3071"/>
      <c r="G3071"/>
      <c r="H3071"/>
      <c r="I3071"/>
      <c r="J3071"/>
    </row>
    <row r="3072" spans="6:10">
      <c r="F3072"/>
      <c r="G3072"/>
      <c r="H3072"/>
      <c r="I3072"/>
      <c r="J3072"/>
    </row>
    <row r="3073" spans="6:10">
      <c r="F3073"/>
      <c r="G3073"/>
      <c r="H3073"/>
      <c r="I3073"/>
      <c r="J3073"/>
    </row>
    <row r="3074" spans="6:10">
      <c r="F3074"/>
      <c r="G3074"/>
      <c r="H3074"/>
      <c r="I3074"/>
      <c r="J3074"/>
    </row>
    <row r="3075" spans="6:10">
      <c r="F3075"/>
      <c r="G3075"/>
      <c r="H3075"/>
      <c r="I3075"/>
      <c r="J3075"/>
    </row>
    <row r="3076" spans="6:10">
      <c r="F3076"/>
      <c r="G3076"/>
      <c r="H3076"/>
      <c r="I3076"/>
      <c r="J3076"/>
    </row>
    <row r="3077" spans="6:10">
      <c r="F3077"/>
      <c r="G3077"/>
      <c r="H3077"/>
      <c r="I3077"/>
      <c r="J3077"/>
    </row>
    <row r="3078" spans="6:10">
      <c r="F3078"/>
      <c r="G3078"/>
      <c r="H3078"/>
      <c r="I3078"/>
      <c r="J3078"/>
    </row>
    <row r="3079" spans="6:10">
      <c r="F3079"/>
      <c r="G3079"/>
      <c r="H3079"/>
      <c r="I3079"/>
      <c r="J3079"/>
    </row>
    <row r="3080" spans="6:10">
      <c r="F3080"/>
      <c r="G3080"/>
      <c r="H3080"/>
      <c r="I3080"/>
      <c r="J3080"/>
    </row>
    <row r="3081" spans="6:10">
      <c r="F3081"/>
      <c r="G3081"/>
      <c r="H3081"/>
      <c r="I3081"/>
      <c r="J3081"/>
    </row>
    <row r="3082" spans="6:10">
      <c r="F3082"/>
      <c r="G3082"/>
      <c r="H3082"/>
      <c r="I3082"/>
      <c r="J3082"/>
    </row>
    <row r="3083" spans="6:10">
      <c r="F3083"/>
      <c r="G3083"/>
      <c r="H3083"/>
      <c r="I3083"/>
      <c r="J3083"/>
    </row>
    <row r="3084" spans="6:10">
      <c r="F3084"/>
      <c r="G3084"/>
      <c r="H3084"/>
      <c r="I3084"/>
      <c r="J3084"/>
    </row>
    <row r="3085" spans="6:10">
      <c r="F3085"/>
      <c r="G3085"/>
      <c r="H3085"/>
      <c r="I3085"/>
      <c r="J3085"/>
    </row>
    <row r="3086" spans="6:10">
      <c r="F3086"/>
      <c r="G3086"/>
      <c r="H3086"/>
      <c r="I3086"/>
      <c r="J3086"/>
    </row>
    <row r="3087" spans="6:10">
      <c r="F3087"/>
      <c r="G3087"/>
      <c r="H3087"/>
      <c r="I3087"/>
      <c r="J3087"/>
    </row>
    <row r="3088" spans="6:10">
      <c r="F3088"/>
      <c r="G3088"/>
      <c r="H3088"/>
      <c r="I3088"/>
      <c r="J3088"/>
    </row>
    <row r="3089" spans="6:10">
      <c r="F3089"/>
      <c r="G3089"/>
      <c r="H3089"/>
      <c r="I3089"/>
      <c r="J3089"/>
    </row>
    <row r="3090" spans="6:10">
      <c r="F3090"/>
      <c r="G3090"/>
      <c r="H3090"/>
      <c r="I3090"/>
      <c r="J3090"/>
    </row>
    <row r="3091" spans="6:10">
      <c r="F3091"/>
      <c r="G3091"/>
      <c r="H3091"/>
      <c r="I3091"/>
      <c r="J3091"/>
    </row>
    <row r="3092" spans="6:10">
      <c r="F3092"/>
      <c r="G3092"/>
      <c r="H3092"/>
      <c r="I3092"/>
      <c r="J3092"/>
    </row>
    <row r="3093" spans="6:10">
      <c r="F3093"/>
      <c r="G3093"/>
      <c r="H3093"/>
      <c r="I3093"/>
      <c r="J3093"/>
    </row>
    <row r="3094" spans="6:10">
      <c r="F3094"/>
      <c r="G3094"/>
      <c r="H3094"/>
      <c r="I3094"/>
      <c r="J3094"/>
    </row>
    <row r="3095" spans="6:10">
      <c r="F3095"/>
      <c r="G3095"/>
      <c r="H3095"/>
      <c r="I3095"/>
      <c r="J3095"/>
    </row>
    <row r="3096" spans="6:10">
      <c r="F3096"/>
      <c r="G3096"/>
      <c r="H3096"/>
      <c r="I3096"/>
      <c r="J3096"/>
    </row>
    <row r="3097" spans="6:10">
      <c r="F3097"/>
      <c r="G3097"/>
      <c r="H3097"/>
      <c r="I3097"/>
      <c r="J3097"/>
    </row>
    <row r="3098" spans="6:10">
      <c r="F3098"/>
      <c r="G3098"/>
      <c r="H3098"/>
      <c r="I3098"/>
      <c r="J3098"/>
    </row>
    <row r="3099" spans="6:10">
      <c r="F3099"/>
      <c r="G3099"/>
      <c r="H3099"/>
      <c r="I3099"/>
      <c r="J3099"/>
    </row>
    <row r="3100" spans="6:10">
      <c r="F3100"/>
      <c r="G3100"/>
      <c r="H3100"/>
      <c r="I3100"/>
      <c r="J3100"/>
    </row>
    <row r="3101" spans="6:10">
      <c r="F3101"/>
      <c r="G3101"/>
      <c r="H3101"/>
      <c r="I3101"/>
      <c r="J3101"/>
    </row>
    <row r="3102" spans="6:10">
      <c r="F3102"/>
      <c r="G3102"/>
      <c r="H3102"/>
      <c r="I3102"/>
      <c r="J3102"/>
    </row>
    <row r="3103" spans="6:10">
      <c r="F3103"/>
      <c r="G3103"/>
      <c r="H3103"/>
      <c r="I3103"/>
      <c r="J3103"/>
    </row>
    <row r="3104" spans="6:10">
      <c r="F3104"/>
      <c r="G3104"/>
      <c r="H3104"/>
      <c r="I3104"/>
      <c r="J3104"/>
    </row>
    <row r="3105" spans="6:10">
      <c r="F3105"/>
      <c r="G3105"/>
      <c r="H3105"/>
      <c r="I3105"/>
      <c r="J3105"/>
    </row>
    <row r="3106" spans="6:10">
      <c r="F3106"/>
      <c r="G3106"/>
      <c r="H3106"/>
      <c r="I3106"/>
      <c r="J3106"/>
    </row>
    <row r="3107" spans="6:10">
      <c r="F3107"/>
      <c r="G3107"/>
      <c r="H3107"/>
      <c r="I3107"/>
      <c r="J3107"/>
    </row>
    <row r="3108" spans="6:10">
      <c r="F3108"/>
      <c r="G3108"/>
      <c r="H3108"/>
      <c r="I3108"/>
      <c r="J3108"/>
    </row>
    <row r="3109" spans="6:10">
      <c r="F3109"/>
      <c r="G3109"/>
      <c r="H3109"/>
      <c r="I3109"/>
      <c r="J3109"/>
    </row>
    <row r="3110" spans="6:10">
      <c r="F3110"/>
      <c r="G3110"/>
      <c r="H3110"/>
      <c r="I3110"/>
      <c r="J3110"/>
    </row>
    <row r="3111" spans="6:10">
      <c r="F3111"/>
      <c r="G3111"/>
      <c r="H3111"/>
      <c r="I3111"/>
      <c r="J3111"/>
    </row>
    <row r="3112" spans="6:10">
      <c r="F3112"/>
      <c r="G3112"/>
      <c r="H3112"/>
      <c r="I3112"/>
      <c r="J3112"/>
    </row>
    <row r="3113" spans="6:10">
      <c r="F3113"/>
      <c r="G3113"/>
      <c r="H3113"/>
      <c r="I3113"/>
      <c r="J3113"/>
    </row>
    <row r="3114" spans="6:10">
      <c r="F3114"/>
      <c r="G3114"/>
      <c r="H3114"/>
      <c r="I3114"/>
      <c r="J3114"/>
    </row>
    <row r="3115" spans="6:10">
      <c r="F3115"/>
      <c r="G3115"/>
      <c r="H3115"/>
      <c r="I3115"/>
      <c r="J3115"/>
    </row>
    <row r="3116" spans="6:10">
      <c r="F3116"/>
      <c r="G3116"/>
      <c r="H3116"/>
      <c r="I3116"/>
      <c r="J3116"/>
    </row>
    <row r="3117" spans="6:10">
      <c r="F3117"/>
      <c r="G3117"/>
      <c r="H3117"/>
      <c r="I3117"/>
      <c r="J3117"/>
    </row>
    <row r="3118" spans="6:10">
      <c r="F3118"/>
      <c r="G3118"/>
      <c r="H3118"/>
      <c r="I3118"/>
      <c r="J3118"/>
    </row>
    <row r="3119" spans="6:10">
      <c r="F3119"/>
      <c r="G3119"/>
      <c r="H3119"/>
      <c r="I3119"/>
      <c r="J3119"/>
    </row>
    <row r="3120" spans="6:10">
      <c r="F3120"/>
      <c r="G3120"/>
      <c r="H3120"/>
      <c r="I3120"/>
      <c r="J3120"/>
    </row>
    <row r="3121" spans="6:10">
      <c r="F3121"/>
      <c r="G3121"/>
      <c r="H3121"/>
      <c r="I3121"/>
      <c r="J3121"/>
    </row>
    <row r="3122" spans="6:10">
      <c r="F3122"/>
      <c r="G3122"/>
      <c r="H3122"/>
      <c r="I3122"/>
      <c r="J3122"/>
    </row>
    <row r="3123" spans="6:10">
      <c r="F3123"/>
      <c r="G3123"/>
      <c r="H3123"/>
      <c r="I3123"/>
      <c r="J3123"/>
    </row>
    <row r="3124" spans="6:10">
      <c r="F3124"/>
      <c r="G3124"/>
      <c r="H3124"/>
      <c r="I3124"/>
      <c r="J3124"/>
    </row>
    <row r="3125" spans="6:10">
      <c r="F3125"/>
      <c r="G3125"/>
      <c r="H3125"/>
      <c r="I3125"/>
      <c r="J3125"/>
    </row>
    <row r="3126" spans="6:10">
      <c r="F3126"/>
      <c r="G3126"/>
      <c r="H3126"/>
      <c r="I3126"/>
      <c r="J3126"/>
    </row>
    <row r="3127" spans="6:10">
      <c r="F3127"/>
      <c r="G3127"/>
      <c r="H3127"/>
      <c r="I3127"/>
      <c r="J3127"/>
    </row>
    <row r="3128" spans="6:10">
      <c r="F3128"/>
      <c r="G3128"/>
      <c r="H3128"/>
      <c r="I3128"/>
      <c r="J3128"/>
    </row>
    <row r="3129" spans="6:10">
      <c r="F3129"/>
      <c r="G3129"/>
      <c r="H3129"/>
      <c r="I3129"/>
      <c r="J3129"/>
    </row>
    <row r="3130" spans="6:10">
      <c r="F3130"/>
      <c r="G3130"/>
      <c r="H3130"/>
      <c r="I3130"/>
      <c r="J3130"/>
    </row>
    <row r="3131" spans="6:10">
      <c r="F3131"/>
      <c r="G3131"/>
      <c r="H3131"/>
      <c r="I3131"/>
      <c r="J3131"/>
    </row>
    <row r="3132" spans="6:10">
      <c r="F3132"/>
      <c r="G3132"/>
      <c r="H3132"/>
      <c r="I3132"/>
      <c r="J3132"/>
    </row>
    <row r="3133" spans="6:10">
      <c r="F3133"/>
      <c r="G3133"/>
      <c r="H3133"/>
      <c r="I3133"/>
      <c r="J3133"/>
    </row>
    <row r="3134" spans="6:10">
      <c r="F3134"/>
      <c r="G3134"/>
      <c r="H3134"/>
      <c r="I3134"/>
      <c r="J3134"/>
    </row>
    <row r="3135" spans="6:10">
      <c r="F3135"/>
      <c r="G3135"/>
      <c r="H3135"/>
      <c r="I3135"/>
      <c r="J3135"/>
    </row>
    <row r="3136" spans="6:10">
      <c r="F3136"/>
      <c r="G3136"/>
      <c r="H3136"/>
      <c r="I3136"/>
      <c r="J3136"/>
    </row>
    <row r="3137" spans="6:10">
      <c r="F3137"/>
      <c r="G3137"/>
      <c r="H3137"/>
      <c r="I3137"/>
      <c r="J3137"/>
    </row>
    <row r="3138" spans="6:10">
      <c r="F3138"/>
      <c r="G3138"/>
      <c r="H3138"/>
      <c r="I3138"/>
      <c r="J3138"/>
    </row>
    <row r="3139" spans="6:10">
      <c r="F3139"/>
      <c r="G3139"/>
      <c r="H3139"/>
      <c r="I3139"/>
      <c r="J3139"/>
    </row>
    <row r="3140" spans="6:10">
      <c r="F3140"/>
      <c r="G3140"/>
      <c r="H3140"/>
      <c r="I3140"/>
      <c r="J3140"/>
    </row>
    <row r="3141" spans="6:10">
      <c r="F3141"/>
      <c r="G3141"/>
      <c r="H3141"/>
      <c r="I3141"/>
      <c r="J3141"/>
    </row>
    <row r="3142" spans="6:10">
      <c r="F3142"/>
      <c r="G3142"/>
      <c r="H3142"/>
      <c r="I3142"/>
      <c r="J3142"/>
    </row>
    <row r="3143" spans="6:10">
      <c r="F3143"/>
      <c r="G3143"/>
      <c r="H3143"/>
      <c r="I3143"/>
      <c r="J3143"/>
    </row>
    <row r="3144" spans="6:10">
      <c r="F3144"/>
      <c r="G3144"/>
      <c r="H3144"/>
      <c r="I3144"/>
      <c r="J3144"/>
    </row>
    <row r="3145" spans="6:10">
      <c r="F3145"/>
      <c r="G3145"/>
      <c r="H3145"/>
      <c r="I3145"/>
      <c r="J3145"/>
    </row>
    <row r="3146" spans="6:10">
      <c r="F3146"/>
      <c r="G3146"/>
      <c r="H3146"/>
      <c r="I3146"/>
      <c r="J3146"/>
    </row>
    <row r="3147" spans="6:10">
      <c r="F3147"/>
      <c r="G3147"/>
      <c r="H3147"/>
      <c r="I3147"/>
      <c r="J3147"/>
    </row>
    <row r="3148" spans="6:10">
      <c r="F3148"/>
      <c r="G3148"/>
      <c r="H3148"/>
      <c r="I3148"/>
      <c r="J3148"/>
    </row>
    <row r="3149" spans="6:10">
      <c r="F3149"/>
      <c r="G3149"/>
      <c r="H3149"/>
      <c r="I3149"/>
      <c r="J3149"/>
    </row>
    <row r="3150" spans="6:10">
      <c r="F3150"/>
      <c r="G3150"/>
      <c r="H3150"/>
      <c r="I3150"/>
      <c r="J3150"/>
    </row>
    <row r="3151" spans="6:10">
      <c r="F3151"/>
      <c r="G3151"/>
      <c r="H3151"/>
      <c r="I3151"/>
      <c r="J3151"/>
    </row>
    <row r="3152" spans="6:10">
      <c r="F3152"/>
      <c r="G3152"/>
      <c r="H3152"/>
      <c r="I3152"/>
      <c r="J3152"/>
    </row>
    <row r="3153" spans="6:10">
      <c r="F3153"/>
      <c r="G3153"/>
      <c r="H3153"/>
      <c r="I3153"/>
      <c r="J3153"/>
    </row>
    <row r="3154" spans="6:10">
      <c r="F3154"/>
      <c r="G3154"/>
      <c r="H3154"/>
      <c r="I3154"/>
      <c r="J3154"/>
    </row>
    <row r="3155" spans="6:10">
      <c r="F3155"/>
      <c r="G3155"/>
      <c r="H3155"/>
      <c r="I3155"/>
      <c r="J3155"/>
    </row>
    <row r="3156" spans="6:10">
      <c r="F3156"/>
      <c r="G3156"/>
      <c r="H3156"/>
      <c r="I3156"/>
      <c r="J3156"/>
    </row>
    <row r="3157" spans="6:10">
      <c r="F3157"/>
      <c r="G3157"/>
      <c r="H3157"/>
      <c r="I3157"/>
      <c r="J3157"/>
    </row>
    <row r="3158" spans="6:10">
      <c r="F3158"/>
      <c r="G3158"/>
      <c r="H3158"/>
      <c r="I3158"/>
      <c r="J3158"/>
    </row>
    <row r="3159" spans="6:10">
      <c r="F3159"/>
      <c r="G3159"/>
      <c r="H3159"/>
      <c r="I3159"/>
      <c r="J3159"/>
    </row>
    <row r="3160" spans="6:10">
      <c r="F3160"/>
      <c r="G3160"/>
      <c r="H3160"/>
      <c r="I3160"/>
      <c r="J3160"/>
    </row>
    <row r="3161" spans="6:10">
      <c r="F3161"/>
      <c r="G3161"/>
      <c r="H3161"/>
      <c r="I3161"/>
      <c r="J3161"/>
    </row>
    <row r="3162" spans="6:10">
      <c r="F3162"/>
      <c r="G3162"/>
      <c r="H3162"/>
      <c r="I3162"/>
      <c r="J3162"/>
    </row>
    <row r="3163" spans="6:10">
      <c r="F3163"/>
      <c r="G3163"/>
      <c r="H3163"/>
      <c r="I3163"/>
      <c r="J3163"/>
    </row>
    <row r="3164" spans="6:10">
      <c r="F3164"/>
      <c r="G3164"/>
      <c r="H3164"/>
      <c r="I3164"/>
      <c r="J3164"/>
    </row>
    <row r="3165" spans="6:10">
      <c r="F3165"/>
      <c r="G3165"/>
      <c r="H3165"/>
      <c r="I3165"/>
      <c r="J3165"/>
    </row>
    <row r="3166" spans="6:10">
      <c r="F3166"/>
      <c r="G3166"/>
      <c r="H3166"/>
      <c r="I3166"/>
      <c r="J3166"/>
    </row>
    <row r="3167" spans="6:10">
      <c r="F3167"/>
      <c r="G3167"/>
      <c r="H3167"/>
      <c r="I3167"/>
      <c r="J3167"/>
    </row>
    <row r="3168" spans="6:10">
      <c r="F3168"/>
      <c r="G3168"/>
      <c r="H3168"/>
      <c r="I3168"/>
      <c r="J3168"/>
    </row>
    <row r="3169" spans="6:10">
      <c r="F3169"/>
      <c r="G3169"/>
      <c r="H3169"/>
      <c r="I3169"/>
      <c r="J3169"/>
    </row>
    <row r="3170" spans="6:10">
      <c r="F3170"/>
      <c r="G3170"/>
      <c r="H3170"/>
      <c r="I3170"/>
      <c r="J3170"/>
    </row>
    <row r="3171" spans="6:10">
      <c r="F3171"/>
      <c r="G3171"/>
      <c r="H3171"/>
      <c r="I3171"/>
      <c r="J3171"/>
    </row>
    <row r="3172" spans="6:10">
      <c r="F3172"/>
      <c r="G3172"/>
      <c r="H3172"/>
      <c r="I3172"/>
      <c r="J3172"/>
    </row>
    <row r="3173" spans="6:10">
      <c r="F3173"/>
      <c r="G3173"/>
      <c r="H3173"/>
      <c r="I3173"/>
      <c r="J3173"/>
    </row>
    <row r="3174" spans="6:10">
      <c r="F3174"/>
      <c r="G3174"/>
      <c r="H3174"/>
      <c r="I3174"/>
      <c r="J3174"/>
    </row>
    <row r="3175" spans="6:10">
      <c r="F3175"/>
      <c r="G3175"/>
      <c r="H3175"/>
      <c r="I3175"/>
      <c r="J3175"/>
    </row>
    <row r="3176" spans="6:10">
      <c r="F3176"/>
      <c r="G3176"/>
      <c r="H3176"/>
      <c r="I3176"/>
      <c r="J3176"/>
    </row>
    <row r="3177" spans="6:10">
      <c r="F3177"/>
      <c r="G3177"/>
      <c r="H3177"/>
      <c r="I3177"/>
      <c r="J3177"/>
    </row>
    <row r="3178" spans="6:10">
      <c r="F3178"/>
      <c r="G3178"/>
      <c r="H3178"/>
      <c r="I3178"/>
      <c r="J3178"/>
    </row>
    <row r="3179" spans="6:10">
      <c r="F3179"/>
      <c r="G3179"/>
      <c r="H3179"/>
      <c r="I3179"/>
      <c r="J3179"/>
    </row>
    <row r="3180" spans="6:10">
      <c r="F3180"/>
      <c r="G3180"/>
      <c r="H3180"/>
      <c r="I3180"/>
      <c r="J3180"/>
    </row>
    <row r="3181" spans="6:10">
      <c r="F3181"/>
      <c r="G3181"/>
      <c r="H3181"/>
      <c r="I3181"/>
      <c r="J3181"/>
    </row>
    <row r="3182" spans="6:10">
      <c r="F3182"/>
      <c r="G3182"/>
      <c r="H3182"/>
      <c r="I3182"/>
      <c r="J3182"/>
    </row>
    <row r="3183" spans="6:10">
      <c r="F3183"/>
      <c r="G3183"/>
      <c r="H3183"/>
      <c r="I3183"/>
      <c r="J3183"/>
    </row>
    <row r="3184" spans="6:10">
      <c r="F3184"/>
      <c r="G3184"/>
      <c r="H3184"/>
      <c r="I3184"/>
      <c r="J3184"/>
    </row>
    <row r="3185" spans="6:10">
      <c r="F3185"/>
      <c r="G3185"/>
      <c r="H3185"/>
      <c r="I3185"/>
      <c r="J3185"/>
    </row>
    <row r="3186" spans="6:10">
      <c r="F3186"/>
      <c r="G3186"/>
      <c r="H3186"/>
      <c r="I3186"/>
      <c r="J3186"/>
    </row>
    <row r="3187" spans="6:10">
      <c r="F3187"/>
      <c r="G3187"/>
      <c r="H3187"/>
      <c r="I3187"/>
      <c r="J3187"/>
    </row>
    <row r="3188" spans="6:10">
      <c r="F3188"/>
      <c r="G3188"/>
      <c r="H3188"/>
      <c r="I3188"/>
      <c r="J3188"/>
    </row>
    <row r="3189" spans="6:10">
      <c r="F3189"/>
      <c r="G3189"/>
      <c r="H3189"/>
      <c r="I3189"/>
      <c r="J3189"/>
    </row>
    <row r="3190" spans="6:10">
      <c r="F3190"/>
      <c r="G3190"/>
      <c r="H3190"/>
      <c r="I3190"/>
      <c r="J3190"/>
    </row>
    <row r="3191" spans="6:10">
      <c r="F3191"/>
      <c r="G3191"/>
      <c r="H3191"/>
      <c r="I3191"/>
      <c r="J3191"/>
    </row>
    <row r="3192" spans="6:10">
      <c r="F3192"/>
      <c r="G3192"/>
      <c r="H3192"/>
      <c r="I3192"/>
      <c r="J3192"/>
    </row>
    <row r="3193" spans="6:10">
      <c r="F3193"/>
      <c r="G3193"/>
      <c r="H3193"/>
      <c r="I3193"/>
      <c r="J3193"/>
    </row>
    <row r="3194" spans="6:10">
      <c r="F3194"/>
      <c r="G3194"/>
      <c r="H3194"/>
      <c r="I3194"/>
      <c r="J3194"/>
    </row>
    <row r="3195" spans="6:10">
      <c r="F3195"/>
      <c r="G3195"/>
      <c r="H3195"/>
      <c r="I3195"/>
      <c r="J3195"/>
    </row>
    <row r="3196" spans="6:10">
      <c r="F3196"/>
      <c r="G3196"/>
      <c r="H3196"/>
      <c r="I3196"/>
      <c r="J3196"/>
    </row>
    <row r="3197" spans="6:10">
      <c r="F3197"/>
      <c r="G3197"/>
      <c r="H3197"/>
      <c r="I3197"/>
      <c r="J3197"/>
    </row>
    <row r="3198" spans="6:10">
      <c r="F3198"/>
      <c r="G3198"/>
      <c r="H3198"/>
      <c r="I3198"/>
      <c r="J3198"/>
    </row>
    <row r="3199" spans="6:10">
      <c r="F3199"/>
      <c r="G3199"/>
      <c r="H3199"/>
      <c r="I3199"/>
      <c r="J3199"/>
    </row>
    <row r="3200" spans="6:10">
      <c r="F3200"/>
      <c r="G3200"/>
      <c r="H3200"/>
      <c r="I3200"/>
      <c r="J3200"/>
    </row>
    <row r="3201" spans="6:10">
      <c r="F3201"/>
      <c r="G3201"/>
      <c r="H3201"/>
      <c r="I3201"/>
      <c r="J3201"/>
    </row>
    <row r="3202" spans="6:10">
      <c r="F3202"/>
      <c r="G3202"/>
      <c r="H3202"/>
      <c r="I3202"/>
      <c r="J3202"/>
    </row>
    <row r="3203" spans="6:10">
      <c r="F3203"/>
      <c r="G3203"/>
      <c r="H3203"/>
      <c r="I3203"/>
      <c r="J3203"/>
    </row>
    <row r="3204" spans="6:10">
      <c r="F3204"/>
      <c r="G3204"/>
      <c r="H3204"/>
      <c r="I3204"/>
      <c r="J3204"/>
    </row>
    <row r="3205" spans="6:10">
      <c r="F3205"/>
      <c r="G3205"/>
      <c r="H3205"/>
      <c r="I3205"/>
      <c r="J3205"/>
    </row>
    <row r="3206" spans="6:10">
      <c r="F3206"/>
      <c r="G3206"/>
      <c r="H3206"/>
      <c r="I3206"/>
      <c r="J3206"/>
    </row>
    <row r="3207" spans="6:10">
      <c r="F3207"/>
      <c r="G3207"/>
      <c r="H3207"/>
      <c r="I3207"/>
      <c r="J3207"/>
    </row>
    <row r="3208" spans="6:10">
      <c r="F3208"/>
      <c r="G3208"/>
      <c r="H3208"/>
      <c r="I3208"/>
      <c r="J3208"/>
    </row>
    <row r="3209" spans="6:10">
      <c r="F3209"/>
      <c r="G3209"/>
      <c r="H3209"/>
      <c r="I3209"/>
      <c r="J3209"/>
    </row>
    <row r="3210" spans="6:10">
      <c r="F3210"/>
      <c r="G3210"/>
      <c r="H3210"/>
      <c r="I3210"/>
      <c r="J3210"/>
    </row>
    <row r="3211" spans="6:10">
      <c r="F3211"/>
      <c r="G3211"/>
      <c r="H3211"/>
      <c r="I3211"/>
      <c r="J3211"/>
    </row>
    <row r="3212" spans="6:10">
      <c r="F3212"/>
      <c r="G3212"/>
      <c r="H3212"/>
      <c r="I3212"/>
      <c r="J3212"/>
    </row>
    <row r="3213" spans="6:10">
      <c r="F3213"/>
      <c r="G3213"/>
      <c r="H3213"/>
      <c r="I3213"/>
      <c r="J3213"/>
    </row>
    <row r="3214" spans="6:10">
      <c r="F3214"/>
      <c r="G3214"/>
      <c r="H3214"/>
      <c r="I3214"/>
      <c r="J3214"/>
    </row>
    <row r="3215" spans="6:10">
      <c r="F3215"/>
      <c r="G3215"/>
      <c r="H3215"/>
      <c r="I3215"/>
      <c r="J3215"/>
    </row>
    <row r="3216" spans="6:10">
      <c r="F3216"/>
      <c r="G3216"/>
      <c r="H3216"/>
      <c r="I3216"/>
      <c r="J3216"/>
    </row>
    <row r="3217" spans="6:10">
      <c r="F3217"/>
      <c r="G3217"/>
      <c r="H3217"/>
      <c r="I3217"/>
      <c r="J3217"/>
    </row>
    <row r="3218" spans="6:10">
      <c r="F3218"/>
      <c r="G3218"/>
      <c r="H3218"/>
      <c r="I3218"/>
      <c r="J3218"/>
    </row>
    <row r="3219" spans="6:10">
      <c r="F3219"/>
      <c r="G3219"/>
      <c r="H3219"/>
      <c r="I3219"/>
      <c r="J3219"/>
    </row>
    <row r="3220" spans="6:10">
      <c r="F3220"/>
      <c r="G3220"/>
      <c r="H3220"/>
      <c r="I3220"/>
      <c r="J3220"/>
    </row>
    <row r="3221" spans="6:10">
      <c r="F3221"/>
      <c r="G3221"/>
      <c r="H3221"/>
      <c r="I3221"/>
      <c r="J3221"/>
    </row>
    <row r="3222" spans="6:10">
      <c r="F3222"/>
      <c r="G3222"/>
      <c r="H3222"/>
      <c r="I3222"/>
      <c r="J3222"/>
    </row>
    <row r="3223" spans="6:10">
      <c r="F3223"/>
      <c r="G3223"/>
      <c r="H3223"/>
      <c r="I3223"/>
      <c r="J3223"/>
    </row>
    <row r="3224" spans="6:10">
      <c r="F3224"/>
      <c r="G3224"/>
      <c r="H3224"/>
      <c r="I3224"/>
      <c r="J3224"/>
    </row>
    <row r="3225" spans="6:10">
      <c r="F3225"/>
      <c r="G3225"/>
      <c r="H3225"/>
      <c r="I3225"/>
      <c r="J3225"/>
    </row>
    <row r="3226" spans="6:10">
      <c r="F3226"/>
      <c r="G3226"/>
      <c r="H3226"/>
      <c r="I3226"/>
      <c r="J3226"/>
    </row>
    <row r="3227" spans="6:10">
      <c r="F3227"/>
      <c r="G3227"/>
      <c r="H3227"/>
      <c r="I3227"/>
      <c r="J3227"/>
    </row>
    <row r="3228" spans="6:10">
      <c r="F3228"/>
      <c r="G3228"/>
      <c r="H3228"/>
      <c r="I3228"/>
      <c r="J3228"/>
    </row>
    <row r="3229" spans="6:10">
      <c r="F3229"/>
      <c r="G3229"/>
      <c r="H3229"/>
      <c r="I3229"/>
      <c r="J3229"/>
    </row>
    <row r="3230" spans="6:10">
      <c r="F3230"/>
      <c r="G3230"/>
      <c r="H3230"/>
      <c r="I3230"/>
      <c r="J3230"/>
    </row>
    <row r="3231" spans="6:10">
      <c r="F3231"/>
      <c r="G3231"/>
      <c r="H3231"/>
      <c r="I3231"/>
      <c r="J3231"/>
    </row>
    <row r="3232" spans="6:10">
      <c r="F3232"/>
      <c r="G3232"/>
      <c r="H3232"/>
      <c r="I3232"/>
      <c r="J3232"/>
    </row>
    <row r="3233" spans="6:10">
      <c r="F3233"/>
      <c r="G3233"/>
      <c r="H3233"/>
      <c r="I3233"/>
      <c r="J3233"/>
    </row>
    <row r="3234" spans="6:10">
      <c r="F3234"/>
      <c r="G3234"/>
      <c r="H3234"/>
      <c r="I3234"/>
      <c r="J3234"/>
    </row>
    <row r="3235" spans="6:10">
      <c r="F3235"/>
      <c r="G3235"/>
      <c r="H3235"/>
      <c r="I3235"/>
      <c r="J3235"/>
    </row>
    <row r="3236" spans="6:10">
      <c r="F3236"/>
      <c r="G3236"/>
      <c r="H3236"/>
      <c r="I3236"/>
      <c r="J3236"/>
    </row>
    <row r="3237" spans="6:10">
      <c r="F3237"/>
      <c r="G3237"/>
      <c r="H3237"/>
      <c r="I3237"/>
      <c r="J3237"/>
    </row>
    <row r="3238" spans="6:10">
      <c r="F3238"/>
      <c r="G3238"/>
      <c r="H3238"/>
      <c r="I3238"/>
      <c r="J3238"/>
    </row>
    <row r="3239" spans="6:10">
      <c r="F3239"/>
      <c r="G3239"/>
      <c r="H3239"/>
      <c r="I3239"/>
      <c r="J3239"/>
    </row>
    <row r="3240" spans="6:10">
      <c r="F3240"/>
      <c r="G3240"/>
      <c r="H3240"/>
      <c r="I3240"/>
      <c r="J3240"/>
    </row>
    <row r="3241" spans="6:10">
      <c r="F3241"/>
      <c r="G3241"/>
      <c r="H3241"/>
      <c r="I3241"/>
      <c r="J3241"/>
    </row>
    <row r="3242" spans="6:10">
      <c r="F3242"/>
      <c r="G3242"/>
      <c r="H3242"/>
      <c r="I3242"/>
      <c r="J3242"/>
    </row>
    <row r="3243" spans="6:10">
      <c r="F3243"/>
      <c r="G3243"/>
      <c r="H3243"/>
      <c r="I3243"/>
      <c r="J3243"/>
    </row>
    <row r="3244" spans="6:10">
      <c r="F3244"/>
      <c r="G3244"/>
      <c r="H3244"/>
      <c r="I3244"/>
      <c r="J3244"/>
    </row>
    <row r="3245" spans="6:10">
      <c r="F3245"/>
      <c r="G3245"/>
      <c r="H3245"/>
      <c r="I3245"/>
      <c r="J3245"/>
    </row>
    <row r="3246" spans="6:10">
      <c r="F3246"/>
      <c r="G3246"/>
      <c r="H3246"/>
      <c r="I3246"/>
      <c r="J3246"/>
    </row>
    <row r="3247" spans="6:10">
      <c r="F3247"/>
      <c r="G3247"/>
      <c r="H3247"/>
      <c r="I3247"/>
      <c r="J3247"/>
    </row>
    <row r="3248" spans="6:10">
      <c r="F3248"/>
      <c r="G3248"/>
      <c r="H3248"/>
      <c r="I3248"/>
      <c r="J3248"/>
    </row>
    <row r="3249" spans="6:10">
      <c r="F3249"/>
      <c r="G3249"/>
      <c r="H3249"/>
      <c r="I3249"/>
      <c r="J3249"/>
    </row>
    <row r="3250" spans="6:10">
      <c r="F3250"/>
      <c r="G3250"/>
      <c r="H3250"/>
      <c r="I3250"/>
      <c r="J3250"/>
    </row>
    <row r="3251" spans="6:10">
      <c r="F3251"/>
      <c r="G3251"/>
      <c r="H3251"/>
      <c r="I3251"/>
      <c r="J3251"/>
    </row>
    <row r="3252" spans="6:10">
      <c r="F3252"/>
      <c r="G3252"/>
      <c r="H3252"/>
      <c r="I3252"/>
      <c r="J3252"/>
    </row>
    <row r="3253" spans="6:10">
      <c r="F3253"/>
      <c r="G3253"/>
      <c r="H3253"/>
      <c r="I3253"/>
      <c r="J3253"/>
    </row>
    <row r="3254" spans="6:10">
      <c r="F3254"/>
      <c r="G3254"/>
      <c r="H3254"/>
      <c r="I3254"/>
      <c r="J3254"/>
    </row>
    <row r="3255" spans="6:10">
      <c r="F3255"/>
      <c r="G3255"/>
      <c r="H3255"/>
      <c r="I3255"/>
      <c r="J3255"/>
    </row>
    <row r="3256" spans="6:10">
      <c r="F3256"/>
      <c r="G3256"/>
      <c r="H3256"/>
      <c r="I3256"/>
      <c r="J3256"/>
    </row>
    <row r="3257" spans="6:10">
      <c r="F3257"/>
      <c r="G3257"/>
      <c r="H3257"/>
      <c r="I3257"/>
      <c r="J3257"/>
    </row>
    <row r="3258" spans="6:10">
      <c r="F3258"/>
      <c r="G3258"/>
      <c r="H3258"/>
      <c r="I3258"/>
      <c r="J3258"/>
    </row>
    <row r="3259" spans="6:10">
      <c r="F3259"/>
      <c r="G3259"/>
      <c r="H3259"/>
      <c r="I3259"/>
      <c r="J3259"/>
    </row>
    <row r="3260" spans="6:10">
      <c r="F3260"/>
      <c r="G3260"/>
      <c r="H3260"/>
      <c r="I3260"/>
      <c r="J3260"/>
    </row>
    <row r="3261" spans="6:10">
      <c r="F3261"/>
      <c r="G3261"/>
      <c r="H3261"/>
      <c r="I3261"/>
      <c r="J3261"/>
    </row>
    <row r="3262" spans="6:10">
      <c r="F3262"/>
      <c r="G3262"/>
      <c r="H3262"/>
      <c r="I3262"/>
      <c r="J3262"/>
    </row>
    <row r="3263" spans="6:10">
      <c r="F3263"/>
      <c r="G3263"/>
      <c r="H3263"/>
      <c r="I3263"/>
      <c r="J3263"/>
    </row>
    <row r="3264" spans="6:10">
      <c r="F3264"/>
      <c r="G3264"/>
      <c r="H3264"/>
      <c r="I3264"/>
      <c r="J3264"/>
    </row>
    <row r="3265" spans="6:10">
      <c r="F3265"/>
      <c r="G3265"/>
      <c r="H3265"/>
      <c r="I3265"/>
      <c r="J3265"/>
    </row>
    <row r="3266" spans="6:10">
      <c r="F3266"/>
      <c r="G3266"/>
      <c r="H3266"/>
      <c r="I3266"/>
      <c r="J3266"/>
    </row>
    <row r="3267" spans="6:10">
      <c r="F3267"/>
      <c r="G3267"/>
      <c r="H3267"/>
      <c r="I3267"/>
      <c r="J3267"/>
    </row>
    <row r="3268" spans="6:10">
      <c r="F3268"/>
      <c r="G3268"/>
      <c r="H3268"/>
      <c r="I3268"/>
      <c r="J3268"/>
    </row>
    <row r="3269" spans="6:10">
      <c r="F3269"/>
      <c r="G3269"/>
      <c r="H3269"/>
      <c r="I3269"/>
      <c r="J3269"/>
    </row>
    <row r="3270" spans="6:10">
      <c r="F3270"/>
      <c r="G3270"/>
      <c r="H3270"/>
      <c r="I3270"/>
      <c r="J3270"/>
    </row>
    <row r="3271" spans="6:10">
      <c r="F3271"/>
      <c r="G3271"/>
      <c r="H3271"/>
      <c r="I3271"/>
      <c r="J3271"/>
    </row>
    <row r="3272" spans="6:10">
      <c r="F3272"/>
      <c r="G3272"/>
      <c r="H3272"/>
      <c r="I3272"/>
      <c r="J3272"/>
    </row>
    <row r="3273" spans="6:10">
      <c r="F3273"/>
      <c r="G3273"/>
      <c r="H3273"/>
      <c r="I3273"/>
      <c r="J3273"/>
    </row>
    <row r="3274" spans="6:10">
      <c r="F3274"/>
      <c r="G3274"/>
      <c r="H3274"/>
      <c r="I3274"/>
      <c r="J3274"/>
    </row>
    <row r="3275" spans="6:10">
      <c r="F3275"/>
      <c r="G3275"/>
      <c r="H3275"/>
      <c r="I3275"/>
      <c r="J3275"/>
    </row>
    <row r="3276" spans="6:10">
      <c r="F3276"/>
      <c r="G3276"/>
      <c r="H3276"/>
      <c r="I3276"/>
      <c r="J3276"/>
    </row>
    <row r="3277" spans="6:10">
      <c r="F3277"/>
      <c r="G3277"/>
      <c r="H3277"/>
      <c r="I3277"/>
      <c r="J3277"/>
    </row>
    <row r="3278" spans="6:10">
      <c r="F3278"/>
      <c r="G3278"/>
      <c r="H3278"/>
      <c r="I3278"/>
      <c r="J3278"/>
    </row>
    <row r="3279" spans="6:10">
      <c r="F3279"/>
      <c r="G3279"/>
      <c r="H3279"/>
      <c r="I3279"/>
      <c r="J3279"/>
    </row>
    <row r="3280" spans="6:10">
      <c r="F3280"/>
      <c r="G3280"/>
      <c r="H3280"/>
      <c r="I3280"/>
      <c r="J3280"/>
    </row>
    <row r="3281" spans="6:10">
      <c r="F3281"/>
      <c r="G3281"/>
      <c r="H3281"/>
      <c r="I3281"/>
      <c r="J3281"/>
    </row>
    <row r="3282" spans="6:10">
      <c r="F3282"/>
      <c r="G3282"/>
      <c r="H3282"/>
      <c r="I3282"/>
      <c r="J3282"/>
    </row>
    <row r="3283" spans="6:10">
      <c r="F3283"/>
      <c r="G3283"/>
      <c r="H3283"/>
      <c r="I3283"/>
      <c r="J3283"/>
    </row>
    <row r="3284" spans="6:10">
      <c r="F3284"/>
      <c r="G3284"/>
      <c r="H3284"/>
      <c r="I3284"/>
      <c r="J3284"/>
    </row>
    <row r="3285" spans="6:10">
      <c r="F3285"/>
      <c r="G3285"/>
      <c r="H3285"/>
      <c r="I3285"/>
      <c r="J3285"/>
    </row>
    <row r="3286" spans="6:10">
      <c r="F3286"/>
      <c r="G3286"/>
      <c r="H3286"/>
      <c r="I3286"/>
      <c r="J3286"/>
    </row>
    <row r="3287" spans="6:10">
      <c r="F3287"/>
      <c r="G3287"/>
      <c r="H3287"/>
      <c r="I3287"/>
      <c r="J3287"/>
    </row>
    <row r="3288" spans="6:10">
      <c r="F3288"/>
      <c r="G3288"/>
      <c r="H3288"/>
      <c r="I3288"/>
      <c r="J3288"/>
    </row>
    <row r="3289" spans="6:10">
      <c r="F3289"/>
      <c r="G3289"/>
      <c r="H3289"/>
      <c r="I3289"/>
      <c r="J3289"/>
    </row>
    <row r="3290" spans="6:10">
      <c r="F3290"/>
      <c r="G3290"/>
      <c r="H3290"/>
      <c r="I3290"/>
      <c r="J3290"/>
    </row>
    <row r="3291" spans="6:10">
      <c r="F3291"/>
      <c r="G3291"/>
      <c r="H3291"/>
      <c r="I3291"/>
      <c r="J3291"/>
    </row>
    <row r="3292" spans="6:10">
      <c r="F3292"/>
      <c r="G3292"/>
      <c r="H3292"/>
      <c r="I3292"/>
      <c r="J3292"/>
    </row>
    <row r="3293" spans="6:10">
      <c r="F3293"/>
      <c r="G3293"/>
      <c r="H3293"/>
      <c r="I3293"/>
      <c r="J3293"/>
    </row>
    <row r="3294" spans="6:10">
      <c r="F3294"/>
      <c r="G3294"/>
      <c r="H3294"/>
      <c r="I3294"/>
      <c r="J3294"/>
    </row>
    <row r="3295" spans="6:10">
      <c r="F3295"/>
      <c r="G3295"/>
      <c r="H3295"/>
      <c r="I3295"/>
      <c r="J3295"/>
    </row>
    <row r="3296" spans="6:10">
      <c r="F3296"/>
      <c r="G3296"/>
      <c r="H3296"/>
      <c r="I3296"/>
      <c r="J3296"/>
    </row>
    <row r="3297" spans="6:10">
      <c r="F3297"/>
      <c r="G3297"/>
      <c r="H3297"/>
      <c r="I3297"/>
      <c r="J3297"/>
    </row>
    <row r="3298" spans="6:10">
      <c r="F3298"/>
      <c r="G3298"/>
      <c r="H3298"/>
      <c r="I3298"/>
      <c r="J3298"/>
    </row>
    <row r="3299" spans="6:10">
      <c r="F3299"/>
      <c r="G3299"/>
      <c r="H3299"/>
      <c r="I3299"/>
      <c r="J3299"/>
    </row>
    <row r="3300" spans="6:10">
      <c r="F3300"/>
      <c r="G3300"/>
      <c r="H3300"/>
      <c r="I3300"/>
      <c r="J3300"/>
    </row>
    <row r="3301" spans="6:10">
      <c r="F3301"/>
      <c r="G3301"/>
      <c r="H3301"/>
      <c r="I3301"/>
      <c r="J3301"/>
    </row>
    <row r="3302" spans="6:10">
      <c r="F3302"/>
      <c r="G3302"/>
      <c r="H3302"/>
      <c r="I3302"/>
      <c r="J3302"/>
    </row>
    <row r="3303" spans="6:10">
      <c r="F3303"/>
      <c r="G3303"/>
      <c r="H3303"/>
      <c r="I3303"/>
      <c r="J3303"/>
    </row>
    <row r="3304" spans="6:10">
      <c r="F3304"/>
      <c r="G3304"/>
      <c r="H3304"/>
      <c r="I3304"/>
      <c r="J3304"/>
    </row>
    <row r="3305" spans="6:10">
      <c r="F3305"/>
      <c r="G3305"/>
      <c r="H3305"/>
      <c r="I3305"/>
      <c r="J3305"/>
    </row>
    <row r="3306" spans="6:10">
      <c r="F3306"/>
      <c r="G3306"/>
      <c r="H3306"/>
      <c r="I3306"/>
      <c r="J3306"/>
    </row>
    <row r="3307" spans="6:10">
      <c r="F3307"/>
      <c r="G3307"/>
      <c r="H3307"/>
      <c r="I3307"/>
      <c r="J3307"/>
    </row>
    <row r="3308" spans="6:10">
      <c r="F3308"/>
      <c r="G3308"/>
      <c r="H3308"/>
      <c r="I3308"/>
      <c r="J3308"/>
    </row>
    <row r="3309" spans="6:10">
      <c r="F3309"/>
      <c r="G3309"/>
      <c r="H3309"/>
      <c r="I3309"/>
      <c r="J3309"/>
    </row>
    <row r="3310" spans="6:10">
      <c r="F3310"/>
      <c r="G3310"/>
      <c r="H3310"/>
      <c r="I3310"/>
      <c r="J3310"/>
    </row>
    <row r="3311" spans="6:10">
      <c r="F3311"/>
      <c r="G3311"/>
      <c r="H3311"/>
      <c r="I3311"/>
      <c r="J3311"/>
    </row>
    <row r="3312" spans="6:10">
      <c r="F3312"/>
      <c r="G3312"/>
      <c r="H3312"/>
      <c r="I3312"/>
      <c r="J3312"/>
    </row>
    <row r="3313" spans="6:10">
      <c r="F3313"/>
      <c r="G3313"/>
      <c r="H3313"/>
      <c r="I3313"/>
      <c r="J3313"/>
    </row>
    <row r="3314" spans="6:10">
      <c r="F3314"/>
      <c r="G3314"/>
      <c r="H3314"/>
      <c r="I3314"/>
      <c r="J3314"/>
    </row>
    <row r="3315" spans="6:10">
      <c r="F3315"/>
      <c r="G3315"/>
      <c r="H3315"/>
      <c r="I3315"/>
      <c r="J3315"/>
    </row>
    <row r="3316" spans="6:10">
      <c r="F3316"/>
      <c r="G3316"/>
      <c r="H3316"/>
      <c r="I3316"/>
      <c r="J3316"/>
    </row>
    <row r="3317" spans="6:10">
      <c r="F3317"/>
      <c r="G3317"/>
      <c r="H3317"/>
      <c r="I3317"/>
      <c r="J3317"/>
    </row>
    <row r="3318" spans="6:10">
      <c r="F3318"/>
      <c r="G3318"/>
      <c r="H3318"/>
      <c r="I3318"/>
      <c r="J3318"/>
    </row>
    <row r="3319" spans="6:10">
      <c r="F3319"/>
      <c r="G3319"/>
      <c r="H3319"/>
      <c r="I3319"/>
      <c r="J3319"/>
    </row>
    <row r="3320" spans="6:10">
      <c r="F3320"/>
      <c r="G3320"/>
      <c r="H3320"/>
      <c r="I3320"/>
      <c r="J3320"/>
    </row>
    <row r="3321" spans="6:10">
      <c r="F3321"/>
      <c r="G3321"/>
      <c r="H3321"/>
      <c r="I3321"/>
      <c r="J3321"/>
    </row>
    <row r="3322" spans="6:10">
      <c r="F3322"/>
      <c r="G3322"/>
      <c r="H3322"/>
      <c r="I3322"/>
      <c r="J3322"/>
    </row>
    <row r="3323" spans="6:10">
      <c r="F3323"/>
      <c r="G3323"/>
      <c r="H3323"/>
      <c r="I3323"/>
      <c r="J3323"/>
    </row>
    <row r="3324" spans="6:10">
      <c r="F3324"/>
      <c r="G3324"/>
      <c r="H3324"/>
      <c r="I3324"/>
      <c r="J3324"/>
    </row>
    <row r="3325" spans="6:10">
      <c r="F3325"/>
      <c r="G3325"/>
      <c r="H3325"/>
      <c r="I3325"/>
      <c r="J3325"/>
    </row>
    <row r="3326" spans="6:10">
      <c r="F3326"/>
      <c r="G3326"/>
      <c r="H3326"/>
      <c r="I3326"/>
      <c r="J3326"/>
    </row>
    <row r="3327" spans="6:10">
      <c r="F3327"/>
      <c r="G3327"/>
      <c r="H3327"/>
      <c r="I3327"/>
      <c r="J3327"/>
    </row>
    <row r="3328" spans="6:10">
      <c r="F3328"/>
      <c r="G3328"/>
      <c r="H3328"/>
      <c r="I3328"/>
      <c r="J3328"/>
    </row>
    <row r="3329" spans="6:10">
      <c r="F3329"/>
      <c r="G3329"/>
      <c r="H3329"/>
      <c r="I3329"/>
      <c r="J3329"/>
    </row>
    <row r="3330" spans="6:10">
      <c r="F3330"/>
      <c r="G3330"/>
      <c r="H3330"/>
      <c r="I3330"/>
      <c r="J3330"/>
    </row>
    <row r="3331" spans="6:10">
      <c r="F3331"/>
      <c r="G3331"/>
      <c r="H3331"/>
      <c r="I3331"/>
      <c r="J3331"/>
    </row>
    <row r="3332" spans="6:10">
      <c r="F3332"/>
      <c r="G3332"/>
      <c r="H3332"/>
      <c r="I3332"/>
      <c r="J3332"/>
    </row>
    <row r="3333" spans="6:10">
      <c r="F3333"/>
      <c r="G3333"/>
      <c r="H3333"/>
      <c r="I3333"/>
      <c r="J3333"/>
    </row>
    <row r="3334" spans="6:10">
      <c r="F3334"/>
      <c r="G3334"/>
      <c r="H3334"/>
      <c r="I3334"/>
      <c r="J3334"/>
    </row>
    <row r="3335" spans="6:10">
      <c r="F3335"/>
      <c r="G3335"/>
      <c r="H3335"/>
      <c r="I3335"/>
      <c r="J3335"/>
    </row>
    <row r="3336" spans="6:10">
      <c r="F3336"/>
      <c r="G3336"/>
      <c r="H3336"/>
      <c r="I3336"/>
      <c r="J3336"/>
    </row>
    <row r="3337" spans="6:10">
      <c r="F3337"/>
      <c r="G3337"/>
      <c r="H3337"/>
      <c r="I3337"/>
      <c r="J3337"/>
    </row>
    <row r="3338" spans="6:10">
      <c r="F3338"/>
      <c r="G3338"/>
      <c r="H3338"/>
      <c r="I3338"/>
      <c r="J3338"/>
    </row>
    <row r="3339" spans="6:10">
      <c r="F3339"/>
      <c r="G3339"/>
      <c r="H3339"/>
      <c r="I3339"/>
      <c r="J3339"/>
    </row>
    <row r="3340" spans="6:10">
      <c r="F3340"/>
      <c r="G3340"/>
      <c r="H3340"/>
      <c r="I3340"/>
      <c r="J3340"/>
    </row>
    <row r="3341" spans="6:10">
      <c r="F3341"/>
      <c r="G3341"/>
      <c r="H3341"/>
      <c r="I3341"/>
      <c r="J3341"/>
    </row>
    <row r="3342" spans="6:10">
      <c r="F3342"/>
      <c r="G3342"/>
      <c r="H3342"/>
      <c r="I3342"/>
      <c r="J3342"/>
    </row>
    <row r="3343" spans="6:10">
      <c r="F3343"/>
      <c r="G3343"/>
      <c r="H3343"/>
      <c r="I3343"/>
      <c r="J3343"/>
    </row>
    <row r="3344" spans="6:10">
      <c r="F3344"/>
      <c r="G3344"/>
      <c r="H3344"/>
      <c r="I3344"/>
      <c r="J3344"/>
    </row>
    <row r="3345" spans="6:10">
      <c r="F3345"/>
      <c r="G3345"/>
      <c r="H3345"/>
      <c r="I3345"/>
      <c r="J3345"/>
    </row>
    <row r="3346" spans="6:10">
      <c r="F3346"/>
      <c r="G3346"/>
      <c r="H3346"/>
      <c r="I3346"/>
      <c r="J3346"/>
    </row>
    <row r="3347" spans="6:10">
      <c r="F3347"/>
      <c r="G3347"/>
      <c r="H3347"/>
      <c r="I3347"/>
      <c r="J3347"/>
    </row>
    <row r="3348" spans="6:10">
      <c r="F3348"/>
      <c r="G3348"/>
      <c r="H3348"/>
      <c r="I3348"/>
      <c r="J3348"/>
    </row>
    <row r="3349" spans="6:10">
      <c r="F3349"/>
      <c r="G3349"/>
      <c r="H3349"/>
      <c r="I3349"/>
      <c r="J3349"/>
    </row>
    <row r="3350" spans="6:10">
      <c r="F3350"/>
      <c r="G3350"/>
      <c r="H3350"/>
      <c r="I3350"/>
      <c r="J3350"/>
    </row>
    <row r="3351" spans="6:10">
      <c r="F3351"/>
      <c r="G3351"/>
      <c r="H3351"/>
      <c r="I3351"/>
      <c r="J3351"/>
    </row>
    <row r="3352" spans="6:10">
      <c r="F3352"/>
      <c r="G3352"/>
      <c r="H3352"/>
      <c r="I3352"/>
      <c r="J3352"/>
    </row>
    <row r="3353" spans="6:10">
      <c r="F3353"/>
      <c r="G3353"/>
      <c r="H3353"/>
      <c r="I3353"/>
      <c r="J3353"/>
    </row>
    <row r="3354" spans="6:10">
      <c r="F3354"/>
      <c r="G3354"/>
      <c r="H3354"/>
      <c r="I3354"/>
      <c r="J3354"/>
    </row>
    <row r="3355" spans="6:10">
      <c r="F3355"/>
      <c r="G3355"/>
      <c r="H3355"/>
      <c r="I3355"/>
      <c r="J3355"/>
    </row>
    <row r="3356" spans="6:10">
      <c r="F3356"/>
      <c r="G3356"/>
      <c r="H3356"/>
      <c r="I3356"/>
      <c r="J3356"/>
    </row>
    <row r="3357" spans="6:10">
      <c r="F3357"/>
      <c r="G3357"/>
      <c r="H3357"/>
      <c r="I3357"/>
      <c r="J3357"/>
    </row>
    <row r="3358" spans="6:10">
      <c r="F3358"/>
      <c r="G3358"/>
      <c r="H3358"/>
      <c r="I3358"/>
      <c r="J3358"/>
    </row>
    <row r="3359" spans="6:10">
      <c r="F3359"/>
      <c r="G3359"/>
      <c r="H3359"/>
      <c r="I3359"/>
      <c r="J3359"/>
    </row>
    <row r="3360" spans="6:10">
      <c r="F3360"/>
      <c r="G3360"/>
      <c r="H3360"/>
      <c r="I3360"/>
      <c r="J3360"/>
    </row>
    <row r="3361" spans="6:10">
      <c r="F3361"/>
      <c r="G3361"/>
      <c r="H3361"/>
      <c r="I3361"/>
      <c r="J3361"/>
    </row>
    <row r="3362" spans="6:10">
      <c r="F3362"/>
      <c r="G3362"/>
      <c r="H3362"/>
      <c r="I3362"/>
      <c r="J3362"/>
    </row>
    <row r="3363" spans="6:10">
      <c r="F3363"/>
      <c r="G3363"/>
      <c r="H3363"/>
      <c r="I3363"/>
      <c r="J3363"/>
    </row>
    <row r="3364" spans="6:10">
      <c r="F3364"/>
      <c r="G3364"/>
      <c r="H3364"/>
      <c r="I3364"/>
      <c r="J3364"/>
    </row>
    <row r="3365" spans="6:10">
      <c r="F3365"/>
      <c r="G3365"/>
      <c r="H3365"/>
      <c r="I3365"/>
      <c r="J3365"/>
    </row>
    <row r="3366" spans="6:10">
      <c r="F3366"/>
      <c r="G3366"/>
      <c r="H3366"/>
      <c r="I3366"/>
      <c r="J3366"/>
    </row>
    <row r="3367" spans="6:10">
      <c r="F3367"/>
      <c r="G3367"/>
      <c r="H3367"/>
      <c r="I3367"/>
      <c r="J3367"/>
    </row>
    <row r="3368" spans="6:10">
      <c r="F3368"/>
      <c r="G3368"/>
      <c r="H3368"/>
      <c r="I3368"/>
      <c r="J3368"/>
    </row>
    <row r="3369" spans="6:10">
      <c r="F3369"/>
      <c r="G3369"/>
      <c r="H3369"/>
      <c r="I3369"/>
      <c r="J3369"/>
    </row>
    <row r="3370" spans="6:10">
      <c r="F3370"/>
      <c r="G3370"/>
      <c r="H3370"/>
      <c r="I3370"/>
      <c r="J3370"/>
    </row>
    <row r="3371" spans="6:10">
      <c r="F3371"/>
      <c r="G3371"/>
      <c r="H3371"/>
      <c r="I3371"/>
      <c r="J3371"/>
    </row>
    <row r="3372" spans="6:10">
      <c r="F3372"/>
      <c r="G3372"/>
      <c r="H3372"/>
      <c r="I3372"/>
      <c r="J3372"/>
    </row>
    <row r="3373" spans="6:10">
      <c r="F3373"/>
      <c r="G3373"/>
      <c r="H3373"/>
      <c r="I3373"/>
      <c r="J3373"/>
    </row>
    <row r="3374" spans="6:10">
      <c r="F3374"/>
      <c r="G3374"/>
      <c r="H3374"/>
      <c r="I3374"/>
      <c r="J3374"/>
    </row>
    <row r="3375" spans="6:10">
      <c r="F3375"/>
      <c r="G3375"/>
      <c r="H3375"/>
      <c r="I3375"/>
      <c r="J3375"/>
    </row>
    <row r="3376" spans="6:10">
      <c r="F3376"/>
      <c r="G3376"/>
      <c r="H3376"/>
      <c r="I3376"/>
      <c r="J3376"/>
    </row>
    <row r="3377" spans="6:10">
      <c r="F3377"/>
      <c r="G3377"/>
      <c r="H3377"/>
      <c r="I3377"/>
      <c r="J3377"/>
    </row>
    <row r="3378" spans="6:10">
      <c r="F3378"/>
      <c r="G3378"/>
      <c r="H3378"/>
      <c r="I3378"/>
      <c r="J3378"/>
    </row>
    <row r="3379" spans="6:10">
      <c r="F3379"/>
      <c r="G3379"/>
      <c r="H3379"/>
      <c r="I3379"/>
      <c r="J3379"/>
    </row>
    <row r="3380" spans="6:10">
      <c r="F3380"/>
      <c r="G3380"/>
      <c r="H3380"/>
      <c r="I3380"/>
      <c r="J3380"/>
    </row>
    <row r="3381" spans="6:10">
      <c r="F3381"/>
      <c r="G3381"/>
      <c r="H3381"/>
      <c r="I3381"/>
      <c r="J3381"/>
    </row>
    <row r="3382" spans="6:10">
      <c r="F3382"/>
      <c r="G3382"/>
      <c r="H3382"/>
      <c r="I3382"/>
      <c r="J3382"/>
    </row>
    <row r="3383" spans="6:10">
      <c r="F3383"/>
      <c r="G3383"/>
      <c r="H3383"/>
      <c r="I3383"/>
      <c r="J3383"/>
    </row>
    <row r="3384" spans="6:10">
      <c r="F3384"/>
      <c r="G3384"/>
      <c r="H3384"/>
      <c r="I3384"/>
      <c r="J3384"/>
    </row>
    <row r="3385" spans="6:10">
      <c r="F3385"/>
      <c r="G3385"/>
      <c r="H3385"/>
      <c r="I3385"/>
      <c r="J3385"/>
    </row>
    <row r="3386" spans="6:10">
      <c r="F3386"/>
      <c r="G3386"/>
      <c r="H3386"/>
      <c r="I3386"/>
      <c r="J3386"/>
    </row>
    <row r="3387" spans="6:10">
      <c r="F3387"/>
      <c r="G3387"/>
      <c r="H3387"/>
      <c r="I3387"/>
      <c r="J3387"/>
    </row>
    <row r="3388" spans="6:10">
      <c r="F3388"/>
      <c r="G3388"/>
      <c r="H3388"/>
      <c r="I3388"/>
      <c r="J3388"/>
    </row>
    <row r="3389" spans="6:10">
      <c r="F3389"/>
      <c r="G3389"/>
      <c r="H3389"/>
      <c r="I3389"/>
      <c r="J3389"/>
    </row>
    <row r="3390" spans="6:10">
      <c r="F3390"/>
      <c r="G3390"/>
      <c r="H3390"/>
      <c r="I3390"/>
      <c r="J3390"/>
    </row>
    <row r="3391" spans="6:10">
      <c r="F3391"/>
      <c r="G3391"/>
      <c r="H3391"/>
      <c r="I3391"/>
      <c r="J3391"/>
    </row>
    <row r="3392" spans="6:10">
      <c r="F3392"/>
      <c r="G3392"/>
      <c r="H3392"/>
      <c r="I3392"/>
      <c r="J3392"/>
    </row>
    <row r="3393" spans="6:10">
      <c r="F3393"/>
      <c r="G3393"/>
      <c r="H3393"/>
      <c r="I3393"/>
      <c r="J3393"/>
    </row>
    <row r="3394" spans="6:10">
      <c r="F3394"/>
      <c r="G3394"/>
      <c r="H3394"/>
      <c r="I3394"/>
      <c r="J3394"/>
    </row>
    <row r="3395" spans="6:10">
      <c r="F3395"/>
      <c r="G3395"/>
      <c r="H3395"/>
      <c r="I3395"/>
      <c r="J3395"/>
    </row>
    <row r="3396" spans="6:10">
      <c r="F3396"/>
      <c r="G3396"/>
      <c r="H3396"/>
      <c r="I3396"/>
      <c r="J3396"/>
    </row>
    <row r="3397" spans="6:10">
      <c r="F3397"/>
      <c r="G3397"/>
      <c r="H3397"/>
      <c r="I3397"/>
      <c r="J3397"/>
    </row>
    <row r="3398" spans="6:10">
      <c r="F3398"/>
      <c r="G3398"/>
      <c r="H3398"/>
      <c r="I3398"/>
      <c r="J3398"/>
    </row>
    <row r="3399" spans="6:10">
      <c r="F3399"/>
      <c r="G3399"/>
      <c r="H3399"/>
      <c r="I3399"/>
      <c r="J3399"/>
    </row>
    <row r="3400" spans="6:10">
      <c r="F3400"/>
      <c r="G3400"/>
      <c r="H3400"/>
      <c r="I3400"/>
      <c r="J3400"/>
    </row>
    <row r="3401" spans="6:10">
      <c r="F3401"/>
      <c r="G3401"/>
      <c r="H3401"/>
      <c r="I3401"/>
      <c r="J3401"/>
    </row>
    <row r="3402" spans="6:10">
      <c r="F3402"/>
      <c r="G3402"/>
      <c r="H3402"/>
      <c r="I3402"/>
      <c r="J3402"/>
    </row>
    <row r="3403" spans="6:10">
      <c r="F3403"/>
      <c r="G3403"/>
      <c r="H3403"/>
      <c r="I3403"/>
      <c r="J3403"/>
    </row>
    <row r="3404" spans="6:10">
      <c r="F3404"/>
      <c r="G3404"/>
      <c r="H3404"/>
      <c r="I3404"/>
      <c r="J3404"/>
    </row>
    <row r="3405" spans="6:10">
      <c r="F3405"/>
      <c r="G3405"/>
      <c r="H3405"/>
      <c r="I3405"/>
      <c r="J3405"/>
    </row>
    <row r="3406" spans="6:10">
      <c r="F3406"/>
      <c r="G3406"/>
      <c r="H3406"/>
      <c r="I3406"/>
      <c r="J3406"/>
    </row>
    <row r="3407" spans="6:10">
      <c r="F3407"/>
      <c r="G3407"/>
      <c r="H3407"/>
      <c r="I3407"/>
      <c r="J3407"/>
    </row>
    <row r="3408" spans="6:10">
      <c r="F3408"/>
      <c r="G3408"/>
      <c r="H3408"/>
      <c r="I3408"/>
      <c r="J3408"/>
    </row>
    <row r="3409" spans="6:10">
      <c r="F3409"/>
      <c r="G3409"/>
      <c r="H3409"/>
      <c r="I3409"/>
      <c r="J3409"/>
    </row>
    <row r="3410" spans="6:10">
      <c r="F3410"/>
      <c r="G3410"/>
      <c r="H3410"/>
      <c r="I3410"/>
      <c r="J3410"/>
    </row>
    <row r="3411" spans="6:10">
      <c r="F3411"/>
      <c r="G3411"/>
      <c r="H3411"/>
      <c r="I3411"/>
      <c r="J3411"/>
    </row>
    <row r="3412" spans="6:10">
      <c r="F3412"/>
      <c r="G3412"/>
      <c r="H3412"/>
      <c r="I3412"/>
      <c r="J3412"/>
    </row>
    <row r="3413" spans="6:10">
      <c r="F3413"/>
      <c r="G3413"/>
      <c r="H3413"/>
      <c r="I3413"/>
      <c r="J3413"/>
    </row>
    <row r="3414" spans="6:10">
      <c r="F3414"/>
      <c r="G3414"/>
      <c r="H3414"/>
      <c r="I3414"/>
      <c r="J3414"/>
    </row>
    <row r="3415" spans="6:10">
      <c r="F3415"/>
      <c r="G3415"/>
      <c r="H3415"/>
      <c r="I3415"/>
      <c r="J3415"/>
    </row>
    <row r="3416" spans="6:10">
      <c r="F3416"/>
      <c r="G3416"/>
      <c r="H3416"/>
      <c r="I3416"/>
      <c r="J3416"/>
    </row>
    <row r="3417" spans="6:10">
      <c r="F3417"/>
      <c r="G3417"/>
      <c r="H3417"/>
      <c r="I3417"/>
      <c r="J3417"/>
    </row>
    <row r="3418" spans="6:10">
      <c r="F3418"/>
      <c r="G3418"/>
      <c r="H3418"/>
      <c r="I3418"/>
      <c r="J3418"/>
    </row>
    <row r="3419" spans="6:10">
      <c r="F3419"/>
      <c r="G3419"/>
      <c r="H3419"/>
      <c r="I3419"/>
      <c r="J3419"/>
    </row>
    <row r="3420" spans="6:10">
      <c r="F3420"/>
      <c r="G3420"/>
      <c r="H3420"/>
      <c r="I3420"/>
      <c r="J3420"/>
    </row>
    <row r="3421" spans="6:10">
      <c r="F3421"/>
      <c r="G3421"/>
      <c r="H3421"/>
      <c r="I3421"/>
      <c r="J3421"/>
    </row>
    <row r="3422" spans="6:10">
      <c r="F3422"/>
      <c r="G3422"/>
      <c r="H3422"/>
      <c r="I3422"/>
      <c r="J3422"/>
    </row>
    <row r="3423" spans="6:10">
      <c r="F3423"/>
      <c r="G3423"/>
      <c r="H3423"/>
      <c r="I3423"/>
      <c r="J3423"/>
    </row>
    <row r="3424" spans="6:10">
      <c r="F3424"/>
      <c r="G3424"/>
      <c r="H3424"/>
      <c r="I3424"/>
      <c r="J3424"/>
    </row>
    <row r="3425" spans="6:10">
      <c r="F3425"/>
      <c r="G3425"/>
      <c r="H3425"/>
      <c r="I3425"/>
      <c r="J3425"/>
    </row>
    <row r="3426" spans="6:10">
      <c r="F3426"/>
      <c r="G3426"/>
      <c r="H3426"/>
      <c r="I3426"/>
      <c r="J3426"/>
    </row>
    <row r="3427" spans="6:10">
      <c r="F3427"/>
      <c r="G3427"/>
      <c r="H3427"/>
      <c r="I3427"/>
      <c r="J3427"/>
    </row>
    <row r="3428" spans="6:10">
      <c r="F3428"/>
      <c r="G3428"/>
      <c r="H3428"/>
      <c r="I3428"/>
      <c r="J3428"/>
    </row>
    <row r="3429" spans="6:10">
      <c r="F3429"/>
      <c r="G3429"/>
      <c r="H3429"/>
      <c r="I3429"/>
      <c r="J3429"/>
    </row>
    <row r="3430" spans="6:10">
      <c r="F3430"/>
      <c r="G3430"/>
      <c r="H3430"/>
      <c r="I3430"/>
      <c r="J3430"/>
    </row>
    <row r="3431" spans="6:10">
      <c r="F3431"/>
      <c r="G3431"/>
      <c r="H3431"/>
      <c r="I3431"/>
      <c r="J3431"/>
    </row>
    <row r="3432" spans="6:10">
      <c r="F3432"/>
      <c r="G3432"/>
      <c r="H3432"/>
      <c r="I3432"/>
      <c r="J3432"/>
    </row>
    <row r="3433" spans="6:10">
      <c r="F3433"/>
      <c r="G3433"/>
      <c r="H3433"/>
      <c r="I3433"/>
      <c r="J3433"/>
    </row>
    <row r="3434" spans="6:10">
      <c r="F3434"/>
      <c r="G3434"/>
      <c r="H3434"/>
      <c r="I3434"/>
      <c r="J3434"/>
    </row>
    <row r="3435" spans="6:10">
      <c r="F3435"/>
      <c r="G3435"/>
      <c r="H3435"/>
      <c r="I3435"/>
      <c r="J3435"/>
    </row>
    <row r="3436" spans="6:10">
      <c r="F3436"/>
      <c r="G3436"/>
      <c r="H3436"/>
      <c r="I3436"/>
      <c r="J3436"/>
    </row>
    <row r="3437" spans="6:10">
      <c r="F3437"/>
      <c r="G3437"/>
      <c r="H3437"/>
      <c r="I3437"/>
      <c r="J3437"/>
    </row>
    <row r="3438" spans="6:10">
      <c r="F3438"/>
      <c r="G3438"/>
      <c r="H3438"/>
      <c r="I3438"/>
      <c r="J3438"/>
    </row>
    <row r="3439" spans="6:10">
      <c r="F3439"/>
      <c r="G3439"/>
      <c r="H3439"/>
      <c r="I3439"/>
      <c r="J3439"/>
    </row>
    <row r="3440" spans="6:10">
      <c r="F3440"/>
      <c r="G3440"/>
      <c r="H3440"/>
      <c r="I3440"/>
      <c r="J3440"/>
    </row>
    <row r="3441" spans="6:10">
      <c r="F3441"/>
      <c r="G3441"/>
      <c r="H3441"/>
      <c r="I3441"/>
      <c r="J3441"/>
    </row>
    <row r="3442" spans="6:10">
      <c r="F3442"/>
      <c r="G3442"/>
      <c r="H3442"/>
      <c r="I3442"/>
      <c r="J3442"/>
    </row>
    <row r="3443" spans="6:10">
      <c r="F3443"/>
      <c r="G3443"/>
      <c r="H3443"/>
      <c r="I3443"/>
      <c r="J3443"/>
    </row>
    <row r="3444" spans="6:10">
      <c r="F3444"/>
      <c r="G3444"/>
      <c r="H3444"/>
      <c r="I3444"/>
      <c r="J3444"/>
    </row>
    <row r="3445" spans="6:10">
      <c r="F3445"/>
      <c r="G3445"/>
      <c r="H3445"/>
      <c r="I3445"/>
      <c r="J3445"/>
    </row>
    <row r="3446" spans="6:10">
      <c r="F3446"/>
      <c r="G3446"/>
      <c r="H3446"/>
      <c r="I3446"/>
      <c r="J3446"/>
    </row>
    <row r="3447" spans="6:10">
      <c r="F3447"/>
      <c r="G3447"/>
      <c r="H3447"/>
      <c r="I3447"/>
      <c r="J3447"/>
    </row>
    <row r="3448" spans="6:10">
      <c r="F3448"/>
      <c r="G3448"/>
      <c r="H3448"/>
      <c r="I3448"/>
      <c r="J3448"/>
    </row>
    <row r="3449" spans="6:10">
      <c r="F3449"/>
      <c r="G3449"/>
      <c r="H3449"/>
      <c r="I3449"/>
      <c r="J3449"/>
    </row>
    <row r="3450" spans="6:10">
      <c r="F3450"/>
      <c r="G3450"/>
      <c r="H3450"/>
      <c r="I3450"/>
      <c r="J3450"/>
    </row>
    <row r="3451" spans="6:10">
      <c r="F3451"/>
      <c r="G3451"/>
      <c r="H3451"/>
      <c r="I3451"/>
      <c r="J3451"/>
    </row>
    <row r="3452" spans="6:10">
      <c r="F3452"/>
      <c r="G3452"/>
      <c r="H3452"/>
      <c r="I3452"/>
      <c r="J3452"/>
    </row>
    <row r="3453" spans="6:10">
      <c r="F3453"/>
      <c r="G3453"/>
      <c r="H3453"/>
      <c r="I3453"/>
      <c r="J3453"/>
    </row>
    <row r="3454" spans="6:10">
      <c r="F3454"/>
      <c r="G3454"/>
      <c r="H3454"/>
      <c r="I3454"/>
      <c r="J3454"/>
    </row>
    <row r="3455" spans="6:10">
      <c r="F3455"/>
      <c r="G3455"/>
      <c r="H3455"/>
      <c r="I3455"/>
      <c r="J3455"/>
    </row>
    <row r="3456" spans="6:10">
      <c r="F3456"/>
      <c r="G3456"/>
      <c r="H3456"/>
      <c r="I3456"/>
      <c r="J3456"/>
    </row>
    <row r="3457" spans="6:10">
      <c r="F3457"/>
      <c r="G3457"/>
      <c r="H3457"/>
      <c r="I3457"/>
      <c r="J3457"/>
    </row>
    <row r="3458" spans="6:10">
      <c r="F3458"/>
      <c r="G3458"/>
      <c r="H3458"/>
      <c r="I3458"/>
      <c r="J3458"/>
    </row>
    <row r="3459" spans="6:10">
      <c r="F3459"/>
      <c r="G3459"/>
      <c r="H3459"/>
      <c r="I3459"/>
      <c r="J3459"/>
    </row>
    <row r="3460" spans="6:10">
      <c r="F3460"/>
      <c r="G3460"/>
      <c r="H3460"/>
      <c r="I3460"/>
      <c r="J3460"/>
    </row>
    <row r="3461" spans="6:10">
      <c r="F3461"/>
      <c r="G3461"/>
      <c r="H3461"/>
      <c r="I3461"/>
      <c r="J3461"/>
    </row>
    <row r="3462" spans="6:10">
      <c r="F3462"/>
      <c r="G3462"/>
      <c r="H3462"/>
      <c r="I3462"/>
      <c r="J3462"/>
    </row>
    <row r="3463" spans="6:10">
      <c r="F3463"/>
      <c r="G3463"/>
      <c r="H3463"/>
      <c r="I3463"/>
      <c r="J3463"/>
    </row>
    <row r="3464" spans="6:10">
      <c r="F3464"/>
      <c r="G3464"/>
      <c r="H3464"/>
      <c r="I3464"/>
      <c r="J3464"/>
    </row>
    <row r="3465" spans="6:10">
      <c r="F3465"/>
      <c r="G3465"/>
      <c r="H3465"/>
      <c r="I3465"/>
      <c r="J3465"/>
    </row>
    <row r="3466" spans="6:10">
      <c r="F3466"/>
      <c r="G3466"/>
      <c r="H3466"/>
      <c r="I3466"/>
      <c r="J3466"/>
    </row>
    <row r="3467" spans="6:10">
      <c r="F3467"/>
      <c r="G3467"/>
      <c r="H3467"/>
      <c r="I3467"/>
      <c r="J3467"/>
    </row>
    <row r="3468" spans="6:10">
      <c r="F3468"/>
      <c r="G3468"/>
      <c r="H3468"/>
      <c r="I3468"/>
      <c r="J3468"/>
    </row>
    <row r="3469" spans="6:10">
      <c r="F3469"/>
      <c r="G3469"/>
      <c r="H3469"/>
      <c r="I3469"/>
      <c r="J3469"/>
    </row>
    <row r="3470" spans="6:10">
      <c r="F3470"/>
      <c r="G3470"/>
      <c r="H3470"/>
      <c r="I3470"/>
      <c r="J3470"/>
    </row>
    <row r="3471" spans="6:10">
      <c r="F3471"/>
      <c r="G3471"/>
      <c r="H3471"/>
      <c r="I3471"/>
      <c r="J3471"/>
    </row>
    <row r="3472" spans="6:10">
      <c r="F3472"/>
      <c r="G3472"/>
      <c r="H3472"/>
      <c r="I3472"/>
      <c r="J3472"/>
    </row>
    <row r="3473" spans="6:10">
      <c r="F3473"/>
      <c r="G3473"/>
      <c r="H3473"/>
      <c r="I3473"/>
      <c r="J3473"/>
    </row>
    <row r="3474" spans="6:10">
      <c r="F3474"/>
      <c r="G3474"/>
      <c r="H3474"/>
      <c r="I3474"/>
      <c r="J3474"/>
    </row>
    <row r="3475" spans="6:10">
      <c r="F3475"/>
      <c r="G3475"/>
      <c r="H3475"/>
      <c r="I3475"/>
      <c r="J3475"/>
    </row>
    <row r="3476" spans="6:10">
      <c r="F3476"/>
      <c r="G3476"/>
      <c r="H3476"/>
      <c r="I3476"/>
      <c r="J3476"/>
    </row>
    <row r="3477" spans="6:10">
      <c r="F3477"/>
      <c r="G3477"/>
      <c r="H3477"/>
      <c r="I3477"/>
      <c r="J3477"/>
    </row>
    <row r="3478" spans="6:10">
      <c r="F3478"/>
      <c r="G3478"/>
      <c r="H3478"/>
      <c r="I3478"/>
      <c r="J3478"/>
    </row>
    <row r="3479" spans="6:10">
      <c r="F3479"/>
      <c r="G3479"/>
      <c r="H3479"/>
      <c r="I3479"/>
      <c r="J3479"/>
    </row>
    <row r="3480" spans="6:10">
      <c r="F3480"/>
      <c r="G3480"/>
      <c r="H3480"/>
      <c r="I3480"/>
      <c r="J3480"/>
    </row>
    <row r="3481" spans="6:10">
      <c r="F3481"/>
      <c r="G3481"/>
      <c r="H3481"/>
      <c r="I3481"/>
      <c r="J3481"/>
    </row>
    <row r="3482" spans="6:10">
      <c r="F3482"/>
      <c r="G3482"/>
      <c r="H3482"/>
      <c r="I3482"/>
      <c r="J3482"/>
    </row>
    <row r="3483" spans="6:10">
      <c r="F3483"/>
      <c r="G3483"/>
      <c r="H3483"/>
      <c r="I3483"/>
      <c r="J3483"/>
    </row>
    <row r="3484" spans="6:10">
      <c r="F3484"/>
      <c r="G3484"/>
      <c r="H3484"/>
      <c r="I3484"/>
      <c r="J3484"/>
    </row>
    <row r="3485" spans="6:10">
      <c r="F3485"/>
      <c r="G3485"/>
      <c r="H3485"/>
      <c r="I3485"/>
      <c r="J3485"/>
    </row>
    <row r="3486" spans="6:10">
      <c r="F3486"/>
      <c r="G3486"/>
      <c r="H3486"/>
      <c r="I3486"/>
      <c r="J3486"/>
    </row>
    <row r="3487" spans="6:10">
      <c r="F3487"/>
      <c r="G3487"/>
      <c r="H3487"/>
      <c r="I3487"/>
      <c r="J3487"/>
    </row>
    <row r="3488" spans="6:10">
      <c r="F3488"/>
      <c r="G3488"/>
      <c r="H3488"/>
      <c r="I3488"/>
      <c r="J3488"/>
    </row>
    <row r="3489" spans="6:10">
      <c r="F3489"/>
      <c r="G3489"/>
      <c r="H3489"/>
      <c r="I3489"/>
      <c r="J3489"/>
    </row>
    <row r="3490" spans="6:10">
      <c r="F3490"/>
      <c r="G3490"/>
      <c r="H3490"/>
      <c r="I3490"/>
      <c r="J3490"/>
    </row>
    <row r="3491" spans="6:10">
      <c r="F3491"/>
      <c r="G3491"/>
      <c r="H3491"/>
      <c r="I3491"/>
      <c r="J3491"/>
    </row>
    <row r="3492" spans="6:10">
      <c r="F3492"/>
      <c r="G3492"/>
      <c r="H3492"/>
      <c r="I3492"/>
      <c r="J3492"/>
    </row>
    <row r="3493" spans="6:10">
      <c r="F3493"/>
      <c r="G3493"/>
      <c r="H3493"/>
      <c r="I3493"/>
      <c r="J3493"/>
    </row>
    <row r="3494" spans="6:10">
      <c r="F3494"/>
      <c r="G3494"/>
      <c r="H3494"/>
      <c r="I3494"/>
      <c r="J3494"/>
    </row>
    <row r="3495" spans="6:10">
      <c r="F3495"/>
      <c r="G3495"/>
      <c r="H3495"/>
      <c r="I3495"/>
      <c r="J3495"/>
    </row>
    <row r="3496" spans="6:10">
      <c r="F3496"/>
      <c r="G3496"/>
      <c r="H3496"/>
      <c r="I3496"/>
      <c r="J3496"/>
    </row>
    <row r="3497" spans="6:10">
      <c r="F3497"/>
      <c r="G3497"/>
      <c r="H3497"/>
      <c r="I3497"/>
      <c r="J3497"/>
    </row>
    <row r="3498" spans="6:10">
      <c r="F3498"/>
      <c r="G3498"/>
      <c r="H3498"/>
      <c r="I3498"/>
      <c r="J3498"/>
    </row>
    <row r="3499" spans="6:10">
      <c r="F3499"/>
      <c r="G3499"/>
      <c r="H3499"/>
      <c r="I3499"/>
      <c r="J3499"/>
    </row>
    <row r="3500" spans="6:10">
      <c r="F3500"/>
      <c r="G3500"/>
      <c r="H3500"/>
      <c r="I3500"/>
      <c r="J3500"/>
    </row>
    <row r="3501" spans="6:10">
      <c r="F3501"/>
      <c r="G3501"/>
      <c r="H3501"/>
      <c r="I3501"/>
      <c r="J3501"/>
    </row>
    <row r="3502" spans="6:10">
      <c r="F3502"/>
      <c r="G3502"/>
      <c r="H3502"/>
      <c r="I3502"/>
      <c r="J3502"/>
    </row>
    <row r="3503" spans="6:10">
      <c r="F3503"/>
      <c r="G3503"/>
      <c r="H3503"/>
      <c r="I3503"/>
      <c r="J3503"/>
    </row>
    <row r="3504" spans="6:10">
      <c r="F3504"/>
      <c r="G3504"/>
      <c r="H3504"/>
      <c r="I3504"/>
      <c r="J3504"/>
    </row>
    <row r="3505" spans="6:10">
      <c r="F3505"/>
      <c r="G3505"/>
      <c r="H3505"/>
      <c r="I3505"/>
      <c r="J3505"/>
    </row>
    <row r="3506" spans="6:10">
      <c r="F3506"/>
      <c r="G3506"/>
      <c r="H3506"/>
      <c r="I3506"/>
      <c r="J3506"/>
    </row>
    <row r="3507" spans="6:10">
      <c r="F3507"/>
      <c r="G3507"/>
      <c r="H3507"/>
      <c r="I3507"/>
      <c r="J3507"/>
    </row>
    <row r="3508" spans="6:10">
      <c r="F3508"/>
      <c r="G3508"/>
      <c r="H3508"/>
      <c r="I3508"/>
      <c r="J3508"/>
    </row>
    <row r="3509" spans="6:10">
      <c r="F3509"/>
      <c r="G3509"/>
      <c r="H3509"/>
      <c r="I3509"/>
      <c r="J3509"/>
    </row>
    <row r="3510" spans="6:10">
      <c r="F3510"/>
      <c r="G3510"/>
      <c r="H3510"/>
      <c r="I3510"/>
      <c r="J3510"/>
    </row>
    <row r="3511" spans="6:10">
      <c r="F3511"/>
      <c r="G3511"/>
      <c r="H3511"/>
      <c r="I3511"/>
      <c r="J3511"/>
    </row>
    <row r="3512" spans="6:10">
      <c r="F3512"/>
      <c r="G3512"/>
      <c r="H3512"/>
      <c r="I3512"/>
      <c r="J3512"/>
    </row>
    <row r="3513" spans="6:10">
      <c r="F3513"/>
      <c r="G3513"/>
      <c r="H3513"/>
      <c r="I3513"/>
      <c r="J3513"/>
    </row>
    <row r="3514" spans="6:10">
      <c r="F3514"/>
      <c r="G3514"/>
      <c r="H3514"/>
      <c r="I3514"/>
      <c r="J3514"/>
    </row>
    <row r="3515" spans="6:10">
      <c r="F3515"/>
      <c r="G3515"/>
      <c r="H3515"/>
      <c r="I3515"/>
      <c r="J3515"/>
    </row>
    <row r="3516" spans="6:10">
      <c r="F3516"/>
      <c r="G3516"/>
      <c r="H3516"/>
      <c r="I3516"/>
      <c r="J3516"/>
    </row>
    <row r="3517" spans="6:10">
      <c r="F3517"/>
      <c r="G3517"/>
      <c r="H3517"/>
      <c r="I3517"/>
      <c r="J3517"/>
    </row>
    <row r="3518" spans="6:10">
      <c r="F3518"/>
      <c r="G3518"/>
      <c r="H3518"/>
      <c r="I3518"/>
      <c r="J3518"/>
    </row>
    <row r="3519" spans="6:10">
      <c r="F3519"/>
      <c r="G3519"/>
      <c r="H3519"/>
      <c r="I3519"/>
      <c r="J3519"/>
    </row>
    <row r="3520" spans="6:10">
      <c r="F3520"/>
      <c r="G3520"/>
      <c r="H3520"/>
      <c r="I3520"/>
      <c r="J3520"/>
    </row>
    <row r="3521" spans="6:10">
      <c r="F3521"/>
      <c r="G3521"/>
      <c r="H3521"/>
      <c r="I3521"/>
      <c r="J3521"/>
    </row>
    <row r="3522" spans="6:10">
      <c r="F3522"/>
      <c r="G3522"/>
      <c r="H3522"/>
      <c r="I3522"/>
      <c r="J3522"/>
    </row>
    <row r="3523" spans="6:10">
      <c r="F3523"/>
      <c r="G3523"/>
      <c r="H3523"/>
      <c r="I3523"/>
      <c r="J3523"/>
    </row>
    <row r="3524" spans="6:10">
      <c r="F3524"/>
      <c r="G3524"/>
      <c r="H3524"/>
      <c r="I3524"/>
      <c r="J3524"/>
    </row>
    <row r="3525" spans="6:10">
      <c r="F3525"/>
      <c r="G3525"/>
      <c r="H3525"/>
      <c r="I3525"/>
      <c r="J3525"/>
    </row>
    <row r="3526" spans="6:10">
      <c r="F3526"/>
      <c r="G3526"/>
      <c r="H3526"/>
      <c r="I3526"/>
      <c r="J3526"/>
    </row>
    <row r="3527" spans="6:10">
      <c r="F3527"/>
      <c r="G3527"/>
      <c r="H3527"/>
      <c r="I3527"/>
      <c r="J3527"/>
    </row>
    <row r="3528" spans="6:10">
      <c r="F3528"/>
      <c r="G3528"/>
      <c r="H3528"/>
      <c r="I3528"/>
      <c r="J3528"/>
    </row>
    <row r="3529" spans="6:10">
      <c r="F3529"/>
      <c r="G3529"/>
      <c r="H3529"/>
      <c r="I3529"/>
      <c r="J3529"/>
    </row>
    <row r="3530" spans="6:10">
      <c r="F3530"/>
      <c r="G3530"/>
      <c r="H3530"/>
      <c r="I3530"/>
      <c r="J3530"/>
    </row>
    <row r="3531" spans="6:10">
      <c r="F3531"/>
      <c r="G3531"/>
      <c r="H3531"/>
      <c r="I3531"/>
      <c r="J3531"/>
    </row>
    <row r="3532" spans="6:10">
      <c r="F3532"/>
      <c r="G3532"/>
      <c r="H3532"/>
      <c r="I3532"/>
      <c r="J3532"/>
    </row>
    <row r="3533" spans="6:10">
      <c r="F3533"/>
      <c r="G3533"/>
      <c r="H3533"/>
      <c r="I3533"/>
      <c r="J3533"/>
    </row>
    <row r="3534" spans="6:10">
      <c r="F3534"/>
      <c r="G3534"/>
      <c r="H3534"/>
      <c r="I3534"/>
      <c r="J3534"/>
    </row>
    <row r="3535" spans="6:10">
      <c r="F3535"/>
      <c r="G3535"/>
      <c r="H3535"/>
      <c r="I3535"/>
      <c r="J3535"/>
    </row>
    <row r="3536" spans="6:10">
      <c r="F3536"/>
      <c r="G3536"/>
      <c r="H3536"/>
      <c r="I3536"/>
      <c r="J3536"/>
    </row>
    <row r="3537" spans="6:10">
      <c r="F3537"/>
      <c r="G3537"/>
      <c r="H3537"/>
      <c r="I3537"/>
      <c r="J3537"/>
    </row>
    <row r="3538" spans="6:10">
      <c r="F3538"/>
      <c r="G3538"/>
      <c r="H3538"/>
      <c r="I3538"/>
      <c r="J3538"/>
    </row>
    <row r="3539" spans="6:10">
      <c r="F3539"/>
      <c r="G3539"/>
      <c r="H3539"/>
      <c r="I3539"/>
      <c r="J3539"/>
    </row>
    <row r="3540" spans="6:10">
      <c r="F3540"/>
      <c r="G3540"/>
      <c r="H3540"/>
      <c r="I3540"/>
      <c r="J3540"/>
    </row>
    <row r="3541" spans="6:10">
      <c r="F3541"/>
      <c r="G3541"/>
      <c r="H3541"/>
      <c r="I3541"/>
      <c r="J3541"/>
    </row>
    <row r="3542" spans="6:10">
      <c r="F3542"/>
      <c r="G3542"/>
      <c r="H3542"/>
      <c r="I3542"/>
      <c r="J3542"/>
    </row>
    <row r="3543" spans="6:10">
      <c r="F3543"/>
      <c r="G3543"/>
      <c r="H3543"/>
      <c r="I3543"/>
      <c r="J3543"/>
    </row>
    <row r="3544" spans="6:10">
      <c r="F3544"/>
      <c r="G3544"/>
      <c r="H3544"/>
      <c r="I3544"/>
      <c r="J3544"/>
    </row>
    <row r="3545" spans="6:10">
      <c r="F3545"/>
      <c r="G3545"/>
      <c r="H3545"/>
      <c r="I3545"/>
      <c r="J3545"/>
    </row>
    <row r="3546" spans="6:10">
      <c r="F3546"/>
      <c r="G3546"/>
      <c r="H3546"/>
      <c r="I3546"/>
      <c r="J3546"/>
    </row>
    <row r="3547" spans="6:10">
      <c r="F3547"/>
      <c r="G3547"/>
      <c r="H3547"/>
      <c r="I3547"/>
      <c r="J3547"/>
    </row>
    <row r="3548" spans="6:10">
      <c r="F3548"/>
      <c r="G3548"/>
      <c r="H3548"/>
      <c r="I3548"/>
      <c r="J3548"/>
    </row>
    <row r="3549" spans="6:10">
      <c r="F3549"/>
      <c r="G3549"/>
      <c r="H3549"/>
      <c r="I3549"/>
      <c r="J3549"/>
    </row>
    <row r="3550" spans="6:10">
      <c r="F3550"/>
      <c r="G3550"/>
      <c r="H3550"/>
      <c r="I3550"/>
      <c r="J3550"/>
    </row>
    <row r="3551" spans="6:10">
      <c r="F3551"/>
      <c r="G3551"/>
      <c r="H3551"/>
      <c r="I3551"/>
      <c r="J3551"/>
    </row>
    <row r="3552" spans="6:10">
      <c r="F3552"/>
      <c r="G3552"/>
      <c r="H3552"/>
      <c r="I3552"/>
      <c r="J3552"/>
    </row>
    <row r="3553" spans="6:10">
      <c r="F3553"/>
      <c r="G3553"/>
      <c r="H3553"/>
      <c r="I3553"/>
      <c r="J3553"/>
    </row>
    <row r="3554" spans="6:10">
      <c r="F3554"/>
      <c r="G3554"/>
      <c r="H3554"/>
      <c r="I3554"/>
      <c r="J3554"/>
    </row>
    <row r="3555" spans="6:10">
      <c r="F3555"/>
      <c r="G3555"/>
      <c r="H3555"/>
      <c r="I3555"/>
      <c r="J3555"/>
    </row>
    <row r="3556" spans="6:10">
      <c r="F3556"/>
      <c r="G3556"/>
      <c r="H3556"/>
      <c r="I3556"/>
      <c r="J3556"/>
    </row>
    <row r="3557" spans="6:10">
      <c r="F3557"/>
      <c r="G3557"/>
      <c r="H3557"/>
      <c r="I3557"/>
      <c r="J3557"/>
    </row>
    <row r="3558" spans="6:10">
      <c r="F3558"/>
      <c r="G3558"/>
      <c r="H3558"/>
      <c r="I3558"/>
      <c r="J3558"/>
    </row>
    <row r="3559" spans="6:10">
      <c r="F3559"/>
      <c r="G3559"/>
      <c r="H3559"/>
      <c r="I3559"/>
      <c r="J3559"/>
    </row>
    <row r="3560" spans="6:10">
      <c r="F3560"/>
      <c r="G3560"/>
      <c r="H3560"/>
      <c r="I3560"/>
      <c r="J3560"/>
    </row>
    <row r="3561" spans="6:10">
      <c r="F3561"/>
      <c r="G3561"/>
      <c r="H3561"/>
      <c r="I3561"/>
      <c r="J3561"/>
    </row>
    <row r="3562" spans="6:10">
      <c r="F3562"/>
      <c r="G3562"/>
      <c r="H3562"/>
      <c r="I3562"/>
      <c r="J3562"/>
    </row>
    <row r="3563" spans="6:10">
      <c r="F3563"/>
      <c r="G3563"/>
      <c r="H3563"/>
      <c r="I3563"/>
      <c r="J3563"/>
    </row>
    <row r="3564" spans="6:10">
      <c r="F3564"/>
      <c r="G3564"/>
      <c r="H3564"/>
      <c r="I3564"/>
      <c r="J3564"/>
    </row>
    <row r="3565" spans="6:10">
      <c r="F3565"/>
      <c r="G3565"/>
      <c r="H3565"/>
      <c r="I3565"/>
      <c r="J3565"/>
    </row>
    <row r="3566" spans="6:10">
      <c r="F3566"/>
      <c r="G3566"/>
      <c r="H3566"/>
      <c r="I3566"/>
      <c r="J3566"/>
    </row>
    <row r="3567" spans="6:10">
      <c r="F3567"/>
      <c r="G3567"/>
      <c r="H3567"/>
      <c r="I3567"/>
      <c r="J3567"/>
    </row>
    <row r="3568" spans="6:10">
      <c r="F3568"/>
      <c r="G3568"/>
      <c r="H3568"/>
      <c r="I3568"/>
      <c r="J3568"/>
    </row>
    <row r="3569" spans="6:10">
      <c r="F3569"/>
      <c r="G3569"/>
      <c r="H3569"/>
      <c r="I3569"/>
      <c r="J3569"/>
    </row>
    <row r="3570" spans="6:10">
      <c r="F3570"/>
      <c r="G3570"/>
      <c r="H3570"/>
      <c r="I3570"/>
      <c r="J3570"/>
    </row>
    <row r="3571" spans="6:10">
      <c r="F3571"/>
      <c r="G3571"/>
      <c r="H3571"/>
      <c r="I3571"/>
      <c r="J3571"/>
    </row>
    <row r="3572" spans="6:10">
      <c r="F3572"/>
      <c r="G3572"/>
      <c r="H3572"/>
      <c r="I3572"/>
      <c r="J3572"/>
    </row>
    <row r="3573" spans="6:10">
      <c r="F3573"/>
      <c r="G3573"/>
      <c r="H3573"/>
      <c r="I3573"/>
      <c r="J3573"/>
    </row>
    <row r="3574" spans="6:10">
      <c r="F3574"/>
      <c r="G3574"/>
      <c r="H3574"/>
      <c r="I3574"/>
      <c r="J3574"/>
    </row>
    <row r="3575" spans="6:10">
      <c r="F3575"/>
      <c r="G3575"/>
      <c r="H3575"/>
      <c r="I3575"/>
      <c r="J3575"/>
    </row>
    <row r="3576" spans="6:10">
      <c r="F3576"/>
      <c r="G3576"/>
      <c r="H3576"/>
      <c r="I3576"/>
      <c r="J3576"/>
    </row>
    <row r="3577" spans="6:10">
      <c r="F3577"/>
      <c r="G3577"/>
      <c r="H3577"/>
      <c r="I3577"/>
      <c r="J3577"/>
    </row>
    <row r="3578" spans="6:10">
      <c r="F3578"/>
      <c r="G3578"/>
      <c r="H3578"/>
      <c r="I3578"/>
      <c r="J3578"/>
    </row>
    <row r="3579" spans="6:10">
      <c r="F3579"/>
      <c r="G3579"/>
      <c r="H3579"/>
      <c r="I3579"/>
      <c r="J3579"/>
    </row>
    <row r="3580" spans="6:10">
      <c r="F3580"/>
      <c r="G3580"/>
      <c r="H3580"/>
      <c r="I3580"/>
      <c r="J3580"/>
    </row>
    <row r="3581" spans="6:10">
      <c r="F3581"/>
      <c r="G3581"/>
      <c r="H3581"/>
      <c r="I3581"/>
      <c r="J3581"/>
    </row>
    <row r="3582" spans="6:10">
      <c r="F3582"/>
      <c r="G3582"/>
      <c r="H3582"/>
      <c r="I3582"/>
      <c r="J3582"/>
    </row>
    <row r="3583" spans="6:10">
      <c r="F3583"/>
      <c r="G3583"/>
      <c r="H3583"/>
      <c r="I3583"/>
      <c r="J3583"/>
    </row>
    <row r="3584" spans="6:10">
      <c r="F3584"/>
      <c r="G3584"/>
      <c r="H3584"/>
      <c r="I3584"/>
      <c r="J3584"/>
    </row>
    <row r="3585" spans="6:10">
      <c r="F3585"/>
      <c r="G3585"/>
      <c r="H3585"/>
      <c r="I3585"/>
      <c r="J3585"/>
    </row>
    <row r="3586" spans="6:10">
      <c r="F3586"/>
      <c r="G3586"/>
      <c r="H3586"/>
      <c r="I3586"/>
      <c r="J3586"/>
    </row>
    <row r="3587" spans="6:10">
      <c r="F3587"/>
      <c r="G3587"/>
      <c r="H3587"/>
      <c r="I3587"/>
      <c r="J3587"/>
    </row>
    <row r="3588" spans="6:10">
      <c r="F3588"/>
      <c r="G3588"/>
      <c r="H3588"/>
      <c r="I3588"/>
      <c r="J3588"/>
    </row>
    <row r="3589" spans="6:10">
      <c r="F3589"/>
      <c r="G3589"/>
      <c r="H3589"/>
      <c r="I3589"/>
      <c r="J3589"/>
    </row>
    <row r="3590" spans="6:10">
      <c r="F3590"/>
      <c r="G3590"/>
      <c r="H3590"/>
      <c r="I3590"/>
      <c r="J3590"/>
    </row>
    <row r="3591" spans="6:10">
      <c r="F3591"/>
      <c r="G3591"/>
      <c r="H3591"/>
      <c r="I3591"/>
      <c r="J3591"/>
    </row>
    <row r="3592" spans="6:10">
      <c r="F3592"/>
      <c r="G3592"/>
      <c r="H3592"/>
      <c r="I3592"/>
      <c r="J3592"/>
    </row>
    <row r="3593" spans="6:10">
      <c r="F3593"/>
      <c r="G3593"/>
      <c r="H3593"/>
      <c r="I3593"/>
      <c r="J3593"/>
    </row>
    <row r="3594" spans="6:10">
      <c r="F3594"/>
      <c r="G3594"/>
      <c r="H3594"/>
      <c r="I3594"/>
      <c r="J3594"/>
    </row>
    <row r="3595" spans="6:10">
      <c r="F3595"/>
      <c r="G3595"/>
      <c r="H3595"/>
      <c r="I3595"/>
      <c r="J3595"/>
    </row>
    <row r="3596" spans="6:10">
      <c r="F3596"/>
      <c r="G3596"/>
      <c r="H3596"/>
      <c r="I3596"/>
      <c r="J3596"/>
    </row>
    <row r="3597" spans="6:10">
      <c r="F3597"/>
      <c r="G3597"/>
      <c r="H3597"/>
      <c r="I3597"/>
      <c r="J3597"/>
    </row>
    <row r="3598" spans="6:10">
      <c r="F3598"/>
      <c r="G3598"/>
      <c r="H3598"/>
      <c r="I3598"/>
      <c r="J3598"/>
    </row>
    <row r="3599" spans="6:10">
      <c r="F3599"/>
      <c r="G3599"/>
      <c r="H3599"/>
      <c r="I3599"/>
      <c r="J3599"/>
    </row>
    <row r="3600" spans="6:10">
      <c r="F3600"/>
      <c r="G3600"/>
      <c r="H3600"/>
      <c r="I3600"/>
      <c r="J3600"/>
    </row>
    <row r="3601" spans="6:10">
      <c r="F3601"/>
      <c r="G3601"/>
      <c r="H3601"/>
      <c r="I3601"/>
      <c r="J3601"/>
    </row>
    <row r="3602" spans="6:10">
      <c r="F3602"/>
      <c r="G3602"/>
      <c r="H3602"/>
      <c r="I3602"/>
      <c r="J3602"/>
    </row>
    <row r="3603" spans="6:10">
      <c r="F3603"/>
      <c r="G3603"/>
      <c r="H3603"/>
      <c r="I3603"/>
      <c r="J3603"/>
    </row>
    <row r="3604" spans="6:10">
      <c r="F3604"/>
      <c r="G3604"/>
      <c r="H3604"/>
      <c r="I3604"/>
      <c r="J3604"/>
    </row>
    <row r="3605" spans="6:10">
      <c r="F3605"/>
      <c r="G3605"/>
      <c r="H3605"/>
      <c r="I3605"/>
      <c r="J3605"/>
    </row>
    <row r="3606" spans="6:10">
      <c r="F3606"/>
      <c r="G3606"/>
      <c r="H3606"/>
      <c r="I3606"/>
      <c r="J3606"/>
    </row>
    <row r="3607" spans="6:10">
      <c r="F3607"/>
      <c r="G3607"/>
      <c r="H3607"/>
      <c r="I3607"/>
      <c r="J3607"/>
    </row>
    <row r="3608" spans="6:10">
      <c r="F3608"/>
      <c r="G3608"/>
      <c r="H3608"/>
      <c r="I3608"/>
      <c r="J3608"/>
    </row>
    <row r="3609" spans="6:10">
      <c r="F3609"/>
      <c r="G3609"/>
      <c r="H3609"/>
      <c r="I3609"/>
      <c r="J3609"/>
    </row>
    <row r="3610" spans="6:10">
      <c r="F3610"/>
      <c r="G3610"/>
      <c r="H3610"/>
      <c r="I3610"/>
      <c r="J3610"/>
    </row>
    <row r="3611" spans="6:10">
      <c r="F3611"/>
      <c r="G3611"/>
      <c r="H3611"/>
      <c r="I3611"/>
      <c r="J3611"/>
    </row>
    <row r="3612" spans="6:10">
      <c r="F3612"/>
      <c r="G3612"/>
      <c r="H3612"/>
      <c r="I3612"/>
      <c r="J3612"/>
    </row>
    <row r="3613" spans="6:10">
      <c r="F3613"/>
      <c r="G3613"/>
      <c r="H3613"/>
      <c r="I3613"/>
      <c r="J3613"/>
    </row>
    <row r="3614" spans="6:10">
      <c r="F3614"/>
      <c r="G3614"/>
      <c r="H3614"/>
      <c r="I3614"/>
      <c r="J3614"/>
    </row>
    <row r="3615" spans="6:10">
      <c r="F3615"/>
      <c r="G3615"/>
      <c r="H3615"/>
      <c r="I3615"/>
      <c r="J3615"/>
    </row>
    <row r="3616" spans="6:10">
      <c r="F3616"/>
      <c r="G3616"/>
      <c r="H3616"/>
      <c r="I3616"/>
      <c r="J3616"/>
    </row>
    <row r="3617" spans="6:10">
      <c r="F3617"/>
      <c r="G3617"/>
      <c r="H3617"/>
      <c r="I3617"/>
      <c r="J3617"/>
    </row>
    <row r="3618" spans="6:10">
      <c r="F3618"/>
      <c r="G3618"/>
      <c r="H3618"/>
      <c r="I3618"/>
      <c r="J3618"/>
    </row>
    <row r="3619" spans="6:10">
      <c r="F3619"/>
      <c r="G3619"/>
      <c r="H3619"/>
      <c r="I3619"/>
      <c r="J3619"/>
    </row>
    <row r="3620" spans="6:10">
      <c r="F3620"/>
      <c r="G3620"/>
      <c r="H3620"/>
      <c r="I3620"/>
      <c r="J3620"/>
    </row>
    <row r="3621" spans="6:10">
      <c r="F3621"/>
      <c r="G3621"/>
      <c r="H3621"/>
      <c r="I3621"/>
      <c r="J3621"/>
    </row>
    <row r="3622" spans="6:10">
      <c r="F3622"/>
      <c r="G3622"/>
      <c r="H3622"/>
      <c r="I3622"/>
      <c r="J3622"/>
    </row>
    <row r="3623" spans="6:10">
      <c r="F3623"/>
      <c r="G3623"/>
      <c r="H3623"/>
      <c r="I3623"/>
      <c r="J3623"/>
    </row>
    <row r="3624" spans="6:10">
      <c r="F3624"/>
      <c r="G3624"/>
      <c r="H3624"/>
      <c r="I3624"/>
      <c r="J3624"/>
    </row>
    <row r="3625" spans="6:10">
      <c r="F3625"/>
      <c r="G3625"/>
      <c r="H3625"/>
      <c r="I3625"/>
      <c r="J3625"/>
    </row>
    <row r="3626" spans="6:10">
      <c r="F3626"/>
      <c r="G3626"/>
      <c r="H3626"/>
      <c r="I3626"/>
      <c r="J3626"/>
    </row>
    <row r="3627" spans="6:10">
      <c r="F3627"/>
      <c r="G3627"/>
      <c r="H3627"/>
      <c r="I3627"/>
      <c r="J3627"/>
    </row>
    <row r="3628" spans="6:10">
      <c r="F3628"/>
      <c r="G3628"/>
      <c r="H3628"/>
      <c r="I3628"/>
      <c r="J3628"/>
    </row>
    <row r="3629" spans="6:10">
      <c r="F3629"/>
      <c r="G3629"/>
      <c r="H3629"/>
      <c r="I3629"/>
      <c r="J3629"/>
    </row>
    <row r="3630" spans="6:10">
      <c r="F3630"/>
      <c r="G3630"/>
      <c r="H3630"/>
      <c r="I3630"/>
      <c r="J3630"/>
    </row>
    <row r="3631" spans="6:10">
      <c r="F3631"/>
      <c r="G3631"/>
      <c r="H3631"/>
      <c r="I3631"/>
      <c r="J3631"/>
    </row>
    <row r="3632" spans="6:10">
      <c r="F3632"/>
      <c r="G3632"/>
      <c r="H3632"/>
      <c r="I3632"/>
      <c r="J3632"/>
    </row>
    <row r="3633" spans="6:10">
      <c r="F3633"/>
      <c r="G3633"/>
      <c r="H3633"/>
      <c r="I3633"/>
      <c r="J3633"/>
    </row>
    <row r="3634" spans="6:10">
      <c r="F3634"/>
      <c r="G3634"/>
      <c r="H3634"/>
      <c r="I3634"/>
      <c r="J3634"/>
    </row>
    <row r="3635" spans="6:10">
      <c r="F3635"/>
      <c r="G3635"/>
      <c r="H3635"/>
      <c r="I3635"/>
      <c r="J3635"/>
    </row>
    <row r="3636" spans="6:10">
      <c r="F3636"/>
      <c r="G3636"/>
      <c r="H3636"/>
      <c r="I3636"/>
      <c r="J3636"/>
    </row>
    <row r="3637" spans="6:10">
      <c r="F3637"/>
      <c r="G3637"/>
      <c r="H3637"/>
      <c r="I3637"/>
      <c r="J3637"/>
    </row>
    <row r="3638" spans="6:10">
      <c r="F3638"/>
      <c r="G3638"/>
      <c r="H3638"/>
      <c r="I3638"/>
      <c r="J3638"/>
    </row>
    <row r="3639" spans="6:10">
      <c r="F3639"/>
      <c r="G3639"/>
      <c r="H3639"/>
      <c r="I3639"/>
      <c r="J3639"/>
    </row>
    <row r="3640" spans="6:10">
      <c r="F3640"/>
      <c r="G3640"/>
      <c r="H3640"/>
      <c r="I3640"/>
      <c r="J3640"/>
    </row>
    <row r="3641" spans="6:10">
      <c r="F3641"/>
      <c r="G3641"/>
      <c r="H3641"/>
      <c r="I3641"/>
      <c r="J3641"/>
    </row>
    <row r="3642" spans="6:10">
      <c r="F3642"/>
      <c r="G3642"/>
      <c r="H3642"/>
      <c r="I3642"/>
      <c r="J3642"/>
    </row>
    <row r="3643" spans="6:10">
      <c r="F3643"/>
      <c r="G3643"/>
      <c r="H3643"/>
      <c r="I3643"/>
      <c r="J3643"/>
    </row>
    <row r="3644" spans="6:10">
      <c r="F3644"/>
      <c r="G3644"/>
      <c r="H3644"/>
      <c r="I3644"/>
      <c r="J3644"/>
    </row>
    <row r="3645" spans="6:10">
      <c r="F3645"/>
      <c r="G3645"/>
      <c r="H3645"/>
      <c r="I3645"/>
      <c r="J3645"/>
    </row>
    <row r="3646" spans="6:10">
      <c r="F3646"/>
      <c r="G3646"/>
      <c r="H3646"/>
      <c r="I3646"/>
      <c r="J3646"/>
    </row>
    <row r="3647" spans="6:10">
      <c r="F3647"/>
      <c r="G3647"/>
      <c r="H3647"/>
      <c r="I3647"/>
      <c r="J3647"/>
    </row>
    <row r="3648" spans="6:10">
      <c r="F3648"/>
      <c r="G3648"/>
      <c r="H3648"/>
      <c r="I3648"/>
      <c r="J3648"/>
    </row>
    <row r="3649" spans="6:10">
      <c r="F3649"/>
      <c r="G3649"/>
      <c r="H3649"/>
      <c r="I3649"/>
      <c r="J3649"/>
    </row>
    <row r="3650" spans="6:10">
      <c r="F3650"/>
      <c r="G3650"/>
      <c r="H3650"/>
      <c r="I3650"/>
      <c r="J3650"/>
    </row>
    <row r="3651" spans="6:10">
      <c r="F3651"/>
      <c r="G3651"/>
      <c r="H3651"/>
      <c r="I3651"/>
      <c r="J3651"/>
    </row>
    <row r="3652" spans="6:10">
      <c r="F3652"/>
      <c r="G3652"/>
      <c r="H3652"/>
      <c r="I3652"/>
      <c r="J3652"/>
    </row>
    <row r="3653" spans="6:10">
      <c r="F3653"/>
      <c r="G3653"/>
      <c r="H3653"/>
      <c r="I3653"/>
      <c r="J3653"/>
    </row>
    <row r="3654" spans="6:10">
      <c r="F3654"/>
      <c r="G3654"/>
      <c r="H3654"/>
      <c r="I3654"/>
      <c r="J3654"/>
    </row>
    <row r="3655" spans="6:10">
      <c r="F3655"/>
      <c r="G3655"/>
      <c r="H3655"/>
      <c r="I3655"/>
      <c r="J3655"/>
    </row>
    <row r="3656" spans="6:10">
      <c r="F3656"/>
      <c r="G3656"/>
      <c r="H3656"/>
      <c r="I3656"/>
      <c r="J3656"/>
    </row>
    <row r="3657" spans="6:10">
      <c r="F3657"/>
      <c r="G3657"/>
      <c r="H3657"/>
      <c r="I3657"/>
      <c r="J3657"/>
    </row>
    <row r="3658" spans="6:10">
      <c r="F3658"/>
      <c r="G3658"/>
      <c r="H3658"/>
      <c r="I3658"/>
      <c r="J3658"/>
    </row>
    <row r="3659" spans="6:10">
      <c r="F3659"/>
      <c r="G3659"/>
      <c r="H3659"/>
      <c r="I3659"/>
      <c r="J3659"/>
    </row>
    <row r="3660" spans="6:10">
      <c r="F3660"/>
      <c r="G3660"/>
      <c r="H3660"/>
      <c r="I3660"/>
      <c r="J3660"/>
    </row>
    <row r="3661" spans="6:10">
      <c r="F3661"/>
      <c r="G3661"/>
      <c r="H3661"/>
      <c r="I3661"/>
      <c r="J3661"/>
    </row>
    <row r="3662" spans="6:10">
      <c r="F3662"/>
      <c r="G3662"/>
      <c r="H3662"/>
      <c r="I3662"/>
      <c r="J3662"/>
    </row>
    <row r="3663" spans="6:10">
      <c r="F3663"/>
      <c r="G3663"/>
      <c r="H3663"/>
      <c r="I3663"/>
      <c r="J3663"/>
    </row>
    <row r="3664" spans="6:10">
      <c r="F3664"/>
      <c r="G3664"/>
      <c r="H3664"/>
      <c r="I3664"/>
      <c r="J3664"/>
    </row>
    <row r="3665" spans="6:10">
      <c r="F3665"/>
      <c r="G3665"/>
      <c r="H3665"/>
      <c r="I3665"/>
      <c r="J3665"/>
    </row>
    <row r="3666" spans="6:10">
      <c r="F3666"/>
      <c r="G3666"/>
      <c r="H3666"/>
      <c r="I3666"/>
      <c r="J3666"/>
    </row>
    <row r="3667" spans="6:10">
      <c r="F3667"/>
      <c r="G3667"/>
      <c r="H3667"/>
      <c r="I3667"/>
      <c r="J3667"/>
    </row>
    <row r="3668" spans="6:10">
      <c r="F3668"/>
      <c r="G3668"/>
      <c r="H3668"/>
      <c r="I3668"/>
      <c r="J3668"/>
    </row>
    <row r="3669" spans="6:10">
      <c r="F3669"/>
      <c r="G3669"/>
      <c r="H3669"/>
      <c r="I3669"/>
      <c r="J3669"/>
    </row>
    <row r="3670" spans="6:10">
      <c r="F3670"/>
      <c r="G3670"/>
      <c r="H3670"/>
      <c r="I3670"/>
      <c r="J3670"/>
    </row>
    <row r="3671" spans="6:10">
      <c r="F3671"/>
      <c r="G3671"/>
      <c r="H3671"/>
      <c r="I3671"/>
      <c r="J3671"/>
    </row>
    <row r="3672" spans="6:10">
      <c r="F3672"/>
      <c r="G3672"/>
      <c r="H3672"/>
      <c r="I3672"/>
      <c r="J3672"/>
    </row>
    <row r="3673" spans="6:10">
      <c r="F3673"/>
      <c r="G3673"/>
      <c r="H3673"/>
      <c r="I3673"/>
      <c r="J3673"/>
    </row>
    <row r="3674" spans="6:10">
      <c r="F3674"/>
      <c r="G3674"/>
      <c r="H3674"/>
      <c r="I3674"/>
      <c r="J3674"/>
    </row>
    <row r="3675" spans="6:10">
      <c r="F3675"/>
      <c r="G3675"/>
      <c r="H3675"/>
      <c r="I3675"/>
      <c r="J3675"/>
    </row>
    <row r="3676" spans="6:10">
      <c r="F3676"/>
      <c r="G3676"/>
      <c r="H3676"/>
      <c r="I3676"/>
      <c r="J3676"/>
    </row>
    <row r="3677" spans="6:10">
      <c r="F3677"/>
      <c r="G3677"/>
      <c r="H3677"/>
      <c r="I3677"/>
      <c r="J3677"/>
    </row>
    <row r="3678" spans="6:10">
      <c r="F3678"/>
      <c r="G3678"/>
      <c r="H3678"/>
      <c r="I3678"/>
      <c r="J3678"/>
    </row>
    <row r="3679" spans="6:10">
      <c r="F3679"/>
      <c r="G3679"/>
      <c r="H3679"/>
      <c r="I3679"/>
      <c r="J3679"/>
    </row>
    <row r="3680" spans="6:10">
      <c r="F3680"/>
      <c r="G3680"/>
      <c r="H3680"/>
      <c r="I3680"/>
      <c r="J3680"/>
    </row>
    <row r="3681" spans="6:10">
      <c r="F3681"/>
      <c r="G3681"/>
      <c r="H3681"/>
      <c r="I3681"/>
      <c r="J3681"/>
    </row>
    <row r="3682" spans="6:10">
      <c r="F3682"/>
      <c r="G3682"/>
      <c r="H3682"/>
      <c r="I3682"/>
      <c r="J3682"/>
    </row>
    <row r="3683" spans="6:10">
      <c r="F3683"/>
      <c r="G3683"/>
      <c r="H3683"/>
      <c r="I3683"/>
      <c r="J3683"/>
    </row>
    <row r="3684" spans="6:10">
      <c r="F3684"/>
      <c r="G3684"/>
      <c r="H3684"/>
      <c r="I3684"/>
      <c r="J3684"/>
    </row>
    <row r="3685" spans="6:10">
      <c r="F3685"/>
      <c r="G3685"/>
      <c r="H3685"/>
      <c r="I3685"/>
      <c r="J3685"/>
    </row>
    <row r="3686" spans="6:10">
      <c r="F3686"/>
      <c r="G3686"/>
      <c r="H3686"/>
      <c r="I3686"/>
      <c r="J3686"/>
    </row>
    <row r="3687" spans="6:10">
      <c r="F3687"/>
      <c r="G3687"/>
      <c r="H3687"/>
      <c r="I3687"/>
      <c r="J3687"/>
    </row>
    <row r="3688" spans="6:10">
      <c r="F3688"/>
      <c r="G3688"/>
      <c r="H3688"/>
      <c r="I3688"/>
      <c r="J3688"/>
    </row>
    <row r="3689" spans="6:10">
      <c r="F3689"/>
      <c r="G3689"/>
      <c r="H3689"/>
      <c r="I3689"/>
      <c r="J3689"/>
    </row>
    <row r="3690" spans="6:10">
      <c r="F3690"/>
      <c r="G3690"/>
      <c r="H3690"/>
      <c r="I3690"/>
      <c r="J3690"/>
    </row>
    <row r="3691" spans="6:10">
      <c r="F3691"/>
      <c r="G3691"/>
      <c r="H3691"/>
      <c r="I3691"/>
      <c r="J3691"/>
    </row>
    <row r="3692" spans="6:10">
      <c r="F3692"/>
      <c r="G3692"/>
      <c r="H3692"/>
      <c r="I3692"/>
      <c r="J3692"/>
    </row>
    <row r="3693" spans="6:10">
      <c r="F3693"/>
      <c r="G3693"/>
      <c r="H3693"/>
      <c r="I3693"/>
      <c r="J3693"/>
    </row>
    <row r="3694" spans="6:10">
      <c r="F3694"/>
      <c r="G3694"/>
      <c r="H3694"/>
      <c r="I3694"/>
      <c r="J3694"/>
    </row>
    <row r="3695" spans="6:10">
      <c r="F3695"/>
      <c r="G3695"/>
      <c r="H3695"/>
      <c r="I3695"/>
      <c r="J3695"/>
    </row>
    <row r="3696" spans="6:10">
      <c r="F3696"/>
      <c r="G3696"/>
      <c r="H3696"/>
      <c r="I3696"/>
      <c r="J3696"/>
    </row>
    <row r="3697" spans="6:10">
      <c r="F3697"/>
      <c r="G3697"/>
      <c r="H3697"/>
      <c r="I3697"/>
      <c r="J3697"/>
    </row>
    <row r="3698" spans="6:10">
      <c r="F3698"/>
      <c r="G3698"/>
      <c r="H3698"/>
      <c r="I3698"/>
      <c r="J3698"/>
    </row>
    <row r="3699" spans="6:10">
      <c r="F3699"/>
      <c r="G3699"/>
      <c r="H3699"/>
      <c r="I3699"/>
      <c r="J3699"/>
    </row>
    <row r="3700" spans="6:10">
      <c r="F3700"/>
      <c r="G3700"/>
      <c r="H3700"/>
      <c r="I3700"/>
      <c r="J3700"/>
    </row>
    <row r="3701" spans="6:10">
      <c r="F3701"/>
      <c r="G3701"/>
      <c r="H3701"/>
      <c r="I3701"/>
      <c r="J3701"/>
    </row>
    <row r="3702" spans="6:10">
      <c r="F3702"/>
      <c r="G3702"/>
      <c r="H3702"/>
      <c r="I3702"/>
      <c r="J3702"/>
    </row>
    <row r="3703" spans="6:10">
      <c r="F3703"/>
      <c r="G3703"/>
      <c r="H3703"/>
      <c r="I3703"/>
      <c r="J3703"/>
    </row>
    <row r="3704" spans="6:10">
      <c r="F3704"/>
      <c r="G3704"/>
      <c r="H3704"/>
      <c r="I3704"/>
      <c r="J3704"/>
    </row>
    <row r="3705" spans="6:10">
      <c r="F3705"/>
      <c r="G3705"/>
      <c r="H3705"/>
      <c r="I3705"/>
      <c r="J3705"/>
    </row>
    <row r="3706" spans="6:10">
      <c r="F3706"/>
      <c r="G3706"/>
      <c r="H3706"/>
      <c r="I3706"/>
      <c r="J3706"/>
    </row>
    <row r="3707" spans="6:10">
      <c r="F3707"/>
      <c r="G3707"/>
      <c r="H3707"/>
      <c r="I3707"/>
      <c r="J3707"/>
    </row>
    <row r="3708" spans="6:10">
      <c r="F3708"/>
      <c r="G3708"/>
      <c r="H3708"/>
      <c r="I3708"/>
      <c r="J3708"/>
    </row>
    <row r="3709" spans="6:10">
      <c r="F3709"/>
      <c r="G3709"/>
      <c r="H3709"/>
      <c r="I3709"/>
      <c r="J3709"/>
    </row>
    <row r="3710" spans="6:10">
      <c r="F3710"/>
      <c r="G3710"/>
      <c r="H3710"/>
      <c r="I3710"/>
      <c r="J3710"/>
    </row>
    <row r="3711" spans="6:10">
      <c r="F3711"/>
      <c r="G3711"/>
      <c r="H3711"/>
      <c r="I3711"/>
      <c r="J3711"/>
    </row>
    <row r="3712" spans="6:10">
      <c r="F3712"/>
      <c r="G3712"/>
      <c r="H3712"/>
      <c r="I3712"/>
      <c r="J3712"/>
    </row>
    <row r="3713" spans="6:10">
      <c r="F3713"/>
      <c r="G3713"/>
      <c r="H3713"/>
      <c r="I3713"/>
      <c r="J3713"/>
    </row>
    <row r="3714" spans="6:10">
      <c r="F3714"/>
      <c r="G3714"/>
      <c r="H3714"/>
      <c r="I3714"/>
      <c r="J3714"/>
    </row>
    <row r="3715" spans="6:10">
      <c r="F3715"/>
      <c r="G3715"/>
      <c r="H3715"/>
      <c r="I3715"/>
      <c r="J3715"/>
    </row>
    <row r="3716" spans="6:10">
      <c r="F3716"/>
      <c r="G3716"/>
      <c r="H3716"/>
      <c r="I3716"/>
      <c r="J3716"/>
    </row>
    <row r="3717" spans="6:10">
      <c r="F3717"/>
      <c r="G3717"/>
      <c r="H3717"/>
      <c r="I3717"/>
      <c r="J3717"/>
    </row>
    <row r="3718" spans="6:10">
      <c r="F3718"/>
      <c r="G3718"/>
      <c r="H3718"/>
      <c r="I3718"/>
      <c r="J3718"/>
    </row>
    <row r="3719" spans="6:10">
      <c r="F3719"/>
      <c r="G3719"/>
      <c r="H3719"/>
      <c r="I3719"/>
      <c r="J3719"/>
    </row>
    <row r="3720" spans="6:10">
      <c r="F3720"/>
      <c r="G3720"/>
      <c r="H3720"/>
      <c r="I3720"/>
      <c r="J3720"/>
    </row>
    <row r="3721" spans="6:10">
      <c r="F3721"/>
      <c r="G3721"/>
      <c r="H3721"/>
      <c r="I3721"/>
      <c r="J3721"/>
    </row>
    <row r="3722" spans="6:10">
      <c r="F3722"/>
      <c r="G3722"/>
      <c r="H3722"/>
      <c r="I3722"/>
      <c r="J3722"/>
    </row>
    <row r="3723" spans="6:10">
      <c r="F3723"/>
      <c r="G3723"/>
      <c r="H3723"/>
      <c r="I3723"/>
      <c r="J3723"/>
    </row>
    <row r="3724" spans="6:10">
      <c r="F3724"/>
      <c r="G3724"/>
      <c r="H3724"/>
      <c r="I3724"/>
      <c r="J3724"/>
    </row>
    <row r="3725" spans="6:10">
      <c r="F3725"/>
      <c r="G3725"/>
      <c r="H3725"/>
      <c r="I3725"/>
      <c r="J3725"/>
    </row>
    <row r="3726" spans="6:10">
      <c r="F3726"/>
      <c r="G3726"/>
      <c r="H3726"/>
      <c r="I3726"/>
      <c r="J3726"/>
    </row>
    <row r="3727" spans="6:10">
      <c r="F3727"/>
      <c r="G3727"/>
      <c r="H3727"/>
      <c r="I3727"/>
      <c r="J3727"/>
    </row>
    <row r="3728" spans="6:10">
      <c r="F3728"/>
      <c r="G3728"/>
      <c r="H3728"/>
      <c r="I3728"/>
      <c r="J3728"/>
    </row>
    <row r="3729" spans="6:10">
      <c r="F3729"/>
      <c r="G3729"/>
      <c r="H3729"/>
      <c r="I3729"/>
      <c r="J3729"/>
    </row>
    <row r="3730" spans="6:10">
      <c r="F3730"/>
      <c r="G3730"/>
      <c r="H3730"/>
      <c r="I3730"/>
      <c r="J3730"/>
    </row>
    <row r="3731" spans="6:10">
      <c r="F3731"/>
      <c r="G3731"/>
      <c r="H3731"/>
      <c r="I3731"/>
      <c r="J3731"/>
    </row>
    <row r="3732" spans="6:10">
      <c r="F3732"/>
      <c r="G3732"/>
      <c r="H3732"/>
      <c r="I3732"/>
      <c r="J3732"/>
    </row>
    <row r="3733" spans="6:10">
      <c r="F3733"/>
      <c r="G3733"/>
      <c r="H3733"/>
      <c r="I3733"/>
      <c r="J3733"/>
    </row>
    <row r="3734" spans="6:10">
      <c r="F3734"/>
      <c r="G3734"/>
      <c r="H3734"/>
      <c r="I3734"/>
      <c r="J3734"/>
    </row>
    <row r="3735" spans="6:10">
      <c r="F3735"/>
      <c r="G3735"/>
      <c r="H3735"/>
      <c r="I3735"/>
      <c r="J3735"/>
    </row>
    <row r="3736" spans="6:10">
      <c r="F3736"/>
      <c r="G3736"/>
      <c r="H3736"/>
      <c r="I3736"/>
      <c r="J3736"/>
    </row>
    <row r="3737" spans="6:10">
      <c r="F3737"/>
      <c r="G3737"/>
      <c r="H3737"/>
      <c r="I3737"/>
      <c r="J3737"/>
    </row>
    <row r="3738" spans="6:10">
      <c r="F3738"/>
      <c r="G3738"/>
      <c r="H3738"/>
      <c r="I3738"/>
      <c r="J3738"/>
    </row>
    <row r="3739" spans="6:10">
      <c r="F3739"/>
      <c r="G3739"/>
      <c r="H3739"/>
      <c r="I3739"/>
      <c r="J3739"/>
    </row>
    <row r="3740" spans="6:10">
      <c r="F3740"/>
      <c r="G3740"/>
      <c r="H3740"/>
      <c r="I3740"/>
      <c r="J3740"/>
    </row>
    <row r="3741" spans="6:10">
      <c r="F3741"/>
      <c r="G3741"/>
      <c r="H3741"/>
      <c r="I3741"/>
      <c r="J3741"/>
    </row>
    <row r="3742" spans="6:10">
      <c r="F3742"/>
      <c r="G3742"/>
      <c r="H3742"/>
      <c r="I3742"/>
      <c r="J3742"/>
    </row>
    <row r="3743" spans="6:10">
      <c r="F3743"/>
      <c r="G3743"/>
      <c r="H3743"/>
      <c r="I3743"/>
      <c r="J3743"/>
    </row>
    <row r="3744" spans="6:10">
      <c r="F3744"/>
      <c r="G3744"/>
      <c r="H3744"/>
      <c r="I3744"/>
      <c r="J3744"/>
    </row>
    <row r="3745" spans="6:10">
      <c r="F3745"/>
      <c r="G3745"/>
      <c r="H3745"/>
      <c r="I3745"/>
      <c r="J3745"/>
    </row>
    <row r="3746" spans="6:10">
      <c r="F3746"/>
      <c r="G3746"/>
      <c r="H3746"/>
      <c r="I3746"/>
      <c r="J3746"/>
    </row>
    <row r="3747" spans="6:10">
      <c r="F3747"/>
      <c r="G3747"/>
      <c r="H3747"/>
      <c r="I3747"/>
      <c r="J3747"/>
    </row>
    <row r="3748" spans="6:10">
      <c r="F3748"/>
      <c r="G3748"/>
      <c r="H3748"/>
      <c r="I3748"/>
      <c r="J3748"/>
    </row>
    <row r="3749" spans="6:10">
      <c r="F3749"/>
      <c r="G3749"/>
      <c r="H3749"/>
      <c r="I3749"/>
      <c r="J3749"/>
    </row>
    <row r="3750" spans="6:10">
      <c r="F3750"/>
      <c r="G3750"/>
      <c r="H3750"/>
      <c r="I3750"/>
      <c r="J3750"/>
    </row>
    <row r="3751" spans="6:10">
      <c r="F3751"/>
      <c r="G3751"/>
      <c r="H3751"/>
      <c r="I3751"/>
      <c r="J3751"/>
    </row>
    <row r="3752" spans="6:10">
      <c r="F3752"/>
      <c r="G3752"/>
      <c r="H3752"/>
      <c r="I3752"/>
      <c r="J3752"/>
    </row>
    <row r="3753" spans="6:10">
      <c r="F3753"/>
      <c r="G3753"/>
      <c r="H3753"/>
      <c r="I3753"/>
      <c r="J3753"/>
    </row>
    <row r="3754" spans="6:10">
      <c r="F3754"/>
      <c r="G3754"/>
      <c r="H3754"/>
      <c r="I3754"/>
      <c r="J3754"/>
    </row>
    <row r="3755" spans="6:10">
      <c r="F3755"/>
      <c r="G3755"/>
      <c r="H3755"/>
      <c r="I3755"/>
      <c r="J3755"/>
    </row>
    <row r="3756" spans="6:10">
      <c r="F3756"/>
      <c r="G3756"/>
      <c r="H3756"/>
      <c r="I3756"/>
      <c r="J3756"/>
    </row>
    <row r="3757" spans="6:10">
      <c r="F3757"/>
      <c r="G3757"/>
      <c r="H3757"/>
      <c r="I3757"/>
      <c r="J3757"/>
    </row>
    <row r="3758" spans="6:10">
      <c r="F3758"/>
      <c r="G3758"/>
      <c r="H3758"/>
      <c r="I3758"/>
      <c r="J3758"/>
    </row>
    <row r="3759" spans="6:10">
      <c r="F3759"/>
      <c r="G3759"/>
      <c r="H3759"/>
      <c r="I3759"/>
      <c r="J3759"/>
    </row>
    <row r="3760" spans="6:10">
      <c r="F3760"/>
      <c r="G3760"/>
      <c r="H3760"/>
      <c r="I3760"/>
      <c r="J3760"/>
    </row>
    <row r="3761" spans="6:10">
      <c r="F3761"/>
      <c r="G3761"/>
      <c r="H3761"/>
      <c r="I3761"/>
      <c r="J3761"/>
    </row>
    <row r="3762" spans="6:10">
      <c r="F3762"/>
      <c r="G3762"/>
      <c r="H3762"/>
      <c r="I3762"/>
      <c r="J3762"/>
    </row>
    <row r="3763" spans="6:10">
      <c r="F3763"/>
      <c r="G3763"/>
      <c r="H3763"/>
      <c r="I3763"/>
      <c r="J3763"/>
    </row>
    <row r="3764" spans="6:10">
      <c r="F3764"/>
      <c r="G3764"/>
      <c r="H3764"/>
      <c r="I3764"/>
      <c r="J3764"/>
    </row>
    <row r="3765" spans="6:10">
      <c r="F3765"/>
      <c r="G3765"/>
      <c r="H3765"/>
      <c r="I3765"/>
      <c r="J3765"/>
    </row>
    <row r="3766" spans="6:10">
      <c r="F3766"/>
      <c r="G3766"/>
      <c r="H3766"/>
      <c r="I3766"/>
      <c r="J3766"/>
    </row>
    <row r="3767" spans="6:10">
      <c r="F3767"/>
      <c r="G3767"/>
      <c r="H3767"/>
      <c r="I3767"/>
      <c r="J3767"/>
    </row>
    <row r="3768" spans="6:10">
      <c r="F3768"/>
      <c r="G3768"/>
      <c r="H3768"/>
      <c r="I3768"/>
      <c r="J3768"/>
    </row>
    <row r="3769" spans="6:10">
      <c r="F3769"/>
      <c r="G3769"/>
      <c r="H3769"/>
      <c r="I3769"/>
      <c r="J3769"/>
    </row>
    <row r="3770" spans="6:10">
      <c r="F3770"/>
      <c r="G3770"/>
      <c r="H3770"/>
      <c r="I3770"/>
      <c r="J3770"/>
    </row>
    <row r="3771" spans="6:10">
      <c r="F3771"/>
      <c r="G3771"/>
      <c r="H3771"/>
      <c r="I3771"/>
      <c r="J3771"/>
    </row>
    <row r="3772" spans="6:10">
      <c r="F3772"/>
      <c r="G3772"/>
      <c r="H3772"/>
      <c r="I3772"/>
      <c r="J3772"/>
    </row>
    <row r="3773" spans="6:10">
      <c r="F3773"/>
      <c r="G3773"/>
      <c r="H3773"/>
      <c r="I3773"/>
      <c r="J3773"/>
    </row>
    <row r="3774" spans="6:10">
      <c r="F3774"/>
      <c r="G3774"/>
      <c r="H3774"/>
      <c r="I3774"/>
      <c r="J3774"/>
    </row>
    <row r="3775" spans="6:10">
      <c r="F3775"/>
      <c r="G3775"/>
      <c r="H3775"/>
      <c r="I3775"/>
      <c r="J3775"/>
    </row>
    <row r="3776" spans="6:10">
      <c r="F3776"/>
      <c r="G3776"/>
      <c r="H3776"/>
      <c r="I3776"/>
      <c r="J3776"/>
    </row>
    <row r="3777" spans="6:10">
      <c r="F3777"/>
      <c r="G3777"/>
      <c r="H3777"/>
      <c r="I3777"/>
      <c r="J3777"/>
    </row>
    <row r="3778" spans="6:10">
      <c r="F3778"/>
      <c r="G3778"/>
      <c r="H3778"/>
      <c r="I3778"/>
      <c r="J3778"/>
    </row>
    <row r="3779" spans="6:10">
      <c r="F3779"/>
      <c r="G3779"/>
      <c r="H3779"/>
      <c r="I3779"/>
      <c r="J3779"/>
    </row>
    <row r="3780" spans="6:10">
      <c r="F3780"/>
      <c r="G3780"/>
      <c r="H3780"/>
      <c r="I3780"/>
      <c r="J3780"/>
    </row>
    <row r="3781" spans="6:10">
      <c r="F3781"/>
      <c r="G3781"/>
      <c r="H3781"/>
      <c r="I3781"/>
      <c r="J3781"/>
    </row>
    <row r="3782" spans="6:10">
      <c r="F3782"/>
      <c r="G3782"/>
      <c r="H3782"/>
      <c r="I3782"/>
      <c r="J3782"/>
    </row>
    <row r="3783" spans="6:10">
      <c r="F3783"/>
      <c r="G3783"/>
      <c r="H3783"/>
      <c r="I3783"/>
      <c r="J3783"/>
    </row>
    <row r="3784" spans="6:10">
      <c r="F3784"/>
      <c r="G3784"/>
      <c r="H3784"/>
      <c r="I3784"/>
      <c r="J3784"/>
    </row>
    <row r="3785" spans="6:10">
      <c r="F3785"/>
      <c r="G3785"/>
      <c r="H3785"/>
      <c r="I3785"/>
      <c r="J3785"/>
    </row>
    <row r="3786" spans="6:10">
      <c r="F3786"/>
      <c r="G3786"/>
      <c r="H3786"/>
      <c r="I3786"/>
      <c r="J3786"/>
    </row>
    <row r="3787" spans="6:10">
      <c r="F3787"/>
      <c r="G3787"/>
      <c r="H3787"/>
      <c r="I3787"/>
      <c r="J3787"/>
    </row>
    <row r="3788" spans="6:10">
      <c r="F3788"/>
      <c r="G3788"/>
      <c r="H3788"/>
      <c r="I3788"/>
      <c r="J3788"/>
    </row>
    <row r="3789" spans="6:10">
      <c r="F3789"/>
      <c r="G3789"/>
      <c r="H3789"/>
      <c r="I3789"/>
      <c r="J3789"/>
    </row>
    <row r="3790" spans="6:10">
      <c r="F3790"/>
      <c r="G3790"/>
      <c r="H3790"/>
      <c r="I3790"/>
      <c r="J3790"/>
    </row>
    <row r="3791" spans="6:10">
      <c r="F3791"/>
      <c r="G3791"/>
      <c r="H3791"/>
      <c r="I3791"/>
      <c r="J3791"/>
    </row>
    <row r="3792" spans="6:10">
      <c r="F3792"/>
      <c r="G3792"/>
      <c r="H3792"/>
      <c r="I3792"/>
      <c r="J3792"/>
    </row>
    <row r="3793" spans="6:10">
      <c r="F3793"/>
      <c r="G3793"/>
      <c r="H3793"/>
      <c r="I3793"/>
      <c r="J3793"/>
    </row>
    <row r="3794" spans="6:10">
      <c r="F3794"/>
      <c r="G3794"/>
      <c r="H3794"/>
      <c r="I3794"/>
      <c r="J3794"/>
    </row>
    <row r="3795" spans="6:10">
      <c r="F3795"/>
      <c r="G3795"/>
      <c r="H3795"/>
      <c r="I3795"/>
      <c r="J3795"/>
    </row>
    <row r="3796" spans="6:10">
      <c r="F3796"/>
      <c r="G3796"/>
      <c r="H3796"/>
      <c r="I3796"/>
      <c r="J3796"/>
    </row>
    <row r="3797" spans="6:10">
      <c r="F3797"/>
      <c r="G3797"/>
      <c r="H3797"/>
      <c r="I3797"/>
      <c r="J3797"/>
    </row>
    <row r="3798" spans="6:10">
      <c r="F3798"/>
      <c r="G3798"/>
      <c r="H3798"/>
      <c r="I3798"/>
      <c r="J3798"/>
    </row>
    <row r="3799" spans="6:10">
      <c r="F3799"/>
      <c r="G3799"/>
      <c r="H3799"/>
      <c r="I3799"/>
      <c r="J3799"/>
    </row>
    <row r="3800" spans="6:10">
      <c r="F3800"/>
      <c r="G3800"/>
      <c r="H3800"/>
      <c r="I3800"/>
      <c r="J3800"/>
    </row>
    <row r="3801" spans="6:10">
      <c r="F3801"/>
      <c r="G3801"/>
      <c r="H3801"/>
      <c r="I3801"/>
      <c r="J3801"/>
    </row>
    <row r="3802" spans="6:10">
      <c r="F3802"/>
      <c r="G3802"/>
      <c r="H3802"/>
      <c r="I3802"/>
      <c r="J3802"/>
    </row>
    <row r="3803" spans="6:10">
      <c r="F3803"/>
      <c r="G3803"/>
      <c r="H3803"/>
      <c r="I3803"/>
      <c r="J3803"/>
    </row>
    <row r="3804" spans="6:10">
      <c r="F3804"/>
      <c r="G3804"/>
      <c r="H3804"/>
      <c r="I3804"/>
      <c r="J3804"/>
    </row>
    <row r="3805" spans="6:10">
      <c r="F3805"/>
      <c r="G3805"/>
      <c r="H3805"/>
      <c r="I3805"/>
      <c r="J3805"/>
    </row>
    <row r="3806" spans="6:10">
      <c r="F3806"/>
      <c r="G3806"/>
      <c r="H3806"/>
      <c r="I3806"/>
      <c r="J3806"/>
    </row>
    <row r="3807" spans="6:10">
      <c r="F3807"/>
      <c r="G3807"/>
      <c r="H3807"/>
      <c r="I3807"/>
      <c r="J3807"/>
    </row>
    <row r="3808" spans="6:10">
      <c r="F3808"/>
      <c r="G3808"/>
      <c r="H3808"/>
      <c r="I3808"/>
      <c r="J3808"/>
    </row>
    <row r="3809" spans="6:10">
      <c r="F3809"/>
      <c r="G3809"/>
      <c r="H3809"/>
      <c r="I3809"/>
      <c r="J3809"/>
    </row>
    <row r="3810" spans="6:10">
      <c r="F3810"/>
      <c r="G3810"/>
      <c r="H3810"/>
      <c r="I3810"/>
      <c r="J3810"/>
    </row>
    <row r="3811" spans="6:10">
      <c r="F3811"/>
      <c r="G3811"/>
      <c r="H3811"/>
      <c r="I3811"/>
      <c r="J3811"/>
    </row>
    <row r="3812" spans="6:10">
      <c r="F3812"/>
      <c r="G3812"/>
      <c r="H3812"/>
      <c r="I3812"/>
      <c r="J3812"/>
    </row>
    <row r="3813" spans="6:10">
      <c r="F3813"/>
      <c r="G3813"/>
      <c r="H3813"/>
      <c r="I3813"/>
      <c r="J3813"/>
    </row>
    <row r="3814" spans="6:10">
      <c r="F3814"/>
      <c r="G3814"/>
      <c r="H3814"/>
      <c r="I3814"/>
      <c r="J3814"/>
    </row>
    <row r="3815" spans="6:10">
      <c r="F3815"/>
      <c r="G3815"/>
      <c r="H3815"/>
      <c r="I3815"/>
      <c r="J3815"/>
    </row>
    <row r="3816" spans="6:10">
      <c r="F3816"/>
      <c r="G3816"/>
      <c r="H3816"/>
      <c r="I3816"/>
      <c r="J3816"/>
    </row>
    <row r="3817" spans="6:10">
      <c r="F3817"/>
      <c r="G3817"/>
      <c r="H3817"/>
      <c r="I3817"/>
      <c r="J3817"/>
    </row>
    <row r="3818" spans="6:10">
      <c r="F3818"/>
      <c r="G3818"/>
      <c r="H3818"/>
      <c r="I3818"/>
      <c r="J3818"/>
    </row>
    <row r="3819" spans="6:10">
      <c r="F3819"/>
      <c r="G3819"/>
      <c r="H3819"/>
      <c r="I3819"/>
      <c r="J3819"/>
    </row>
    <row r="3820" spans="6:10">
      <c r="F3820"/>
      <c r="G3820"/>
      <c r="H3820"/>
      <c r="I3820"/>
      <c r="J3820"/>
    </row>
    <row r="3821" spans="6:10">
      <c r="F3821"/>
      <c r="G3821"/>
      <c r="H3821"/>
      <c r="I3821"/>
      <c r="J3821"/>
    </row>
    <row r="3822" spans="6:10">
      <c r="F3822"/>
      <c r="G3822"/>
      <c r="H3822"/>
      <c r="I3822"/>
      <c r="J3822"/>
    </row>
    <row r="3823" spans="6:10">
      <c r="F3823"/>
      <c r="G3823"/>
      <c r="H3823"/>
      <c r="I3823"/>
      <c r="J3823"/>
    </row>
    <row r="3824" spans="6:10">
      <c r="F3824"/>
      <c r="G3824"/>
      <c r="H3824"/>
      <c r="I3824"/>
      <c r="J3824"/>
    </row>
    <row r="3825" spans="6:10">
      <c r="F3825"/>
      <c r="G3825"/>
      <c r="H3825"/>
      <c r="I3825"/>
      <c r="J3825"/>
    </row>
    <row r="3826" spans="6:10">
      <c r="F3826"/>
      <c r="G3826"/>
      <c r="H3826"/>
      <c r="I3826"/>
      <c r="J3826"/>
    </row>
    <row r="3827" spans="6:10">
      <c r="F3827"/>
      <c r="G3827"/>
      <c r="H3827"/>
      <c r="I3827"/>
      <c r="J3827"/>
    </row>
    <row r="3828" spans="6:10">
      <c r="F3828"/>
      <c r="G3828"/>
      <c r="H3828"/>
      <c r="I3828"/>
      <c r="J3828"/>
    </row>
    <row r="3829" spans="6:10">
      <c r="F3829"/>
      <c r="G3829"/>
      <c r="H3829"/>
      <c r="I3829"/>
      <c r="J3829"/>
    </row>
    <row r="3830" spans="6:10">
      <c r="F3830"/>
      <c r="G3830"/>
      <c r="H3830"/>
      <c r="I3830"/>
      <c r="J3830"/>
    </row>
    <row r="3831" spans="6:10">
      <c r="F3831"/>
      <c r="G3831"/>
      <c r="H3831"/>
      <c r="I3831"/>
      <c r="J3831"/>
    </row>
    <row r="3832" spans="6:10">
      <c r="F3832"/>
      <c r="G3832"/>
      <c r="H3832"/>
      <c r="I3832"/>
      <c r="J3832"/>
    </row>
    <row r="3833" spans="6:10">
      <c r="F3833"/>
      <c r="G3833"/>
      <c r="H3833"/>
      <c r="I3833"/>
      <c r="J3833"/>
    </row>
    <row r="3834" spans="6:10">
      <c r="F3834"/>
      <c r="G3834"/>
      <c r="H3834"/>
      <c r="I3834"/>
      <c r="J3834"/>
    </row>
    <row r="3835" spans="6:10">
      <c r="F3835"/>
      <c r="G3835"/>
      <c r="H3835"/>
      <c r="I3835"/>
      <c r="J3835"/>
    </row>
    <row r="3836" spans="6:10">
      <c r="F3836"/>
      <c r="G3836"/>
      <c r="H3836"/>
      <c r="I3836"/>
      <c r="J3836"/>
    </row>
    <row r="3837" spans="6:10">
      <c r="F3837"/>
      <c r="G3837"/>
      <c r="H3837"/>
      <c r="I3837"/>
      <c r="J3837"/>
    </row>
    <row r="3838" spans="6:10">
      <c r="F3838"/>
      <c r="G3838"/>
      <c r="H3838"/>
      <c r="I3838"/>
      <c r="J3838"/>
    </row>
    <row r="3839" spans="6:10">
      <c r="F3839"/>
      <c r="G3839"/>
      <c r="H3839"/>
      <c r="I3839"/>
      <c r="J3839"/>
    </row>
    <row r="3840" spans="6:10">
      <c r="F3840"/>
      <c r="G3840"/>
      <c r="H3840"/>
      <c r="I3840"/>
      <c r="J3840"/>
    </row>
    <row r="3841" spans="6:10">
      <c r="F3841"/>
      <c r="G3841"/>
      <c r="H3841"/>
      <c r="I3841"/>
      <c r="J3841"/>
    </row>
    <row r="3842" spans="6:10">
      <c r="F3842"/>
      <c r="G3842"/>
      <c r="H3842"/>
      <c r="I3842"/>
      <c r="J3842"/>
    </row>
    <row r="3843" spans="6:10">
      <c r="F3843"/>
      <c r="G3843"/>
      <c r="H3843"/>
      <c r="I3843"/>
      <c r="J3843"/>
    </row>
    <row r="3844" spans="6:10">
      <c r="F3844"/>
      <c r="G3844"/>
      <c r="H3844"/>
      <c r="I3844"/>
      <c r="J3844"/>
    </row>
    <row r="3845" spans="6:10">
      <c r="F3845"/>
      <c r="G3845"/>
      <c r="H3845"/>
      <c r="I3845"/>
      <c r="J3845"/>
    </row>
    <row r="3846" spans="6:10">
      <c r="F3846"/>
      <c r="G3846"/>
      <c r="H3846"/>
      <c r="I3846"/>
      <c r="J3846"/>
    </row>
    <row r="3847" spans="6:10">
      <c r="F3847"/>
      <c r="G3847"/>
      <c r="H3847"/>
      <c r="I3847"/>
      <c r="J3847"/>
    </row>
    <row r="3848" spans="6:10">
      <c r="F3848"/>
      <c r="G3848"/>
      <c r="H3848"/>
      <c r="I3848"/>
      <c r="J3848"/>
    </row>
    <row r="3849" spans="6:10">
      <c r="F3849"/>
      <c r="G3849"/>
      <c r="H3849"/>
      <c r="I3849"/>
      <c r="J3849"/>
    </row>
    <row r="3850" spans="6:10">
      <c r="F3850"/>
      <c r="G3850"/>
      <c r="H3850"/>
      <c r="I3850"/>
      <c r="J3850"/>
    </row>
    <row r="3851" spans="6:10">
      <c r="F3851"/>
      <c r="G3851"/>
      <c r="H3851"/>
      <c r="I3851"/>
      <c r="J3851"/>
    </row>
    <row r="3852" spans="6:10">
      <c r="F3852"/>
      <c r="G3852"/>
      <c r="H3852"/>
      <c r="I3852"/>
      <c r="J3852"/>
    </row>
    <row r="3853" spans="6:10">
      <c r="F3853"/>
      <c r="G3853"/>
      <c r="H3853"/>
      <c r="I3853"/>
      <c r="J3853"/>
    </row>
    <row r="3854" spans="6:10">
      <c r="F3854"/>
      <c r="G3854"/>
      <c r="H3854"/>
      <c r="I3854"/>
      <c r="J3854"/>
    </row>
    <row r="3855" spans="6:10">
      <c r="F3855"/>
      <c r="G3855"/>
      <c r="H3855"/>
      <c r="I3855"/>
      <c r="J3855"/>
    </row>
    <row r="3856" spans="6:10">
      <c r="F3856"/>
      <c r="G3856"/>
      <c r="H3856"/>
      <c r="I3856"/>
      <c r="J3856"/>
    </row>
    <row r="3857" spans="6:10">
      <c r="F3857"/>
      <c r="G3857"/>
      <c r="H3857"/>
      <c r="I3857"/>
      <c r="J3857"/>
    </row>
    <row r="3858" spans="6:10">
      <c r="F3858"/>
      <c r="G3858"/>
      <c r="H3858"/>
      <c r="I3858"/>
      <c r="J3858"/>
    </row>
    <row r="3859" spans="6:10">
      <c r="F3859"/>
      <c r="G3859"/>
      <c r="H3859"/>
      <c r="I3859"/>
      <c r="J3859"/>
    </row>
    <row r="3860" spans="6:10">
      <c r="F3860"/>
      <c r="G3860"/>
      <c r="H3860"/>
      <c r="I3860"/>
      <c r="J3860"/>
    </row>
    <row r="3861" spans="6:10">
      <c r="F3861"/>
      <c r="G3861"/>
      <c r="H3861"/>
      <c r="I3861"/>
      <c r="J3861"/>
    </row>
    <row r="3862" spans="6:10">
      <c r="F3862"/>
      <c r="G3862"/>
      <c r="H3862"/>
      <c r="I3862"/>
      <c r="J3862"/>
    </row>
    <row r="3863" spans="6:10">
      <c r="F3863"/>
      <c r="G3863"/>
      <c r="H3863"/>
      <c r="I3863"/>
      <c r="J3863"/>
    </row>
    <row r="3864" spans="6:10">
      <c r="F3864"/>
      <c r="G3864"/>
      <c r="H3864"/>
      <c r="I3864"/>
      <c r="J3864"/>
    </row>
    <row r="3865" spans="6:10">
      <c r="F3865"/>
      <c r="G3865"/>
      <c r="H3865"/>
      <c r="I3865"/>
      <c r="J3865"/>
    </row>
    <row r="3866" spans="6:10">
      <c r="F3866"/>
      <c r="G3866"/>
      <c r="H3866"/>
      <c r="I3866"/>
      <c r="J3866"/>
    </row>
    <row r="3867" spans="6:10">
      <c r="F3867"/>
      <c r="G3867"/>
      <c r="H3867"/>
      <c r="I3867"/>
      <c r="J3867"/>
    </row>
    <row r="3868" spans="6:10">
      <c r="F3868"/>
      <c r="G3868"/>
      <c r="H3868"/>
      <c r="I3868"/>
      <c r="J3868"/>
    </row>
    <row r="3869" spans="6:10">
      <c r="F3869"/>
      <c r="G3869"/>
      <c r="H3869"/>
      <c r="I3869"/>
      <c r="J3869"/>
    </row>
    <row r="3870" spans="6:10">
      <c r="F3870"/>
      <c r="G3870"/>
      <c r="H3870"/>
      <c r="I3870"/>
      <c r="J3870"/>
    </row>
    <row r="3871" spans="6:10">
      <c r="F3871"/>
      <c r="G3871"/>
      <c r="H3871"/>
      <c r="I3871"/>
      <c r="J3871"/>
    </row>
    <row r="3872" spans="6:10">
      <c r="F3872"/>
      <c r="G3872"/>
      <c r="H3872"/>
      <c r="I3872"/>
      <c r="J3872"/>
    </row>
    <row r="3873" spans="6:10">
      <c r="F3873"/>
      <c r="G3873"/>
      <c r="H3873"/>
      <c r="I3873"/>
      <c r="J3873"/>
    </row>
    <row r="3874" spans="6:10">
      <c r="F3874"/>
      <c r="G3874"/>
      <c r="H3874"/>
      <c r="I3874"/>
      <c r="J3874"/>
    </row>
    <row r="3875" spans="6:10">
      <c r="F3875"/>
      <c r="G3875"/>
      <c r="H3875"/>
      <c r="I3875"/>
      <c r="J3875"/>
    </row>
    <row r="3876" spans="6:10">
      <c r="F3876"/>
      <c r="G3876"/>
      <c r="H3876"/>
      <c r="I3876"/>
      <c r="J3876"/>
    </row>
    <row r="3877" spans="6:10">
      <c r="F3877"/>
      <c r="G3877"/>
      <c r="H3877"/>
      <c r="I3877"/>
      <c r="J3877"/>
    </row>
    <row r="3878" spans="6:10">
      <c r="F3878"/>
      <c r="G3878"/>
      <c r="H3878"/>
      <c r="I3878"/>
      <c r="J3878"/>
    </row>
    <row r="3879" spans="6:10">
      <c r="F3879"/>
      <c r="G3879"/>
      <c r="H3879"/>
      <c r="I3879"/>
      <c r="J3879"/>
    </row>
    <row r="3880" spans="6:10">
      <c r="F3880"/>
      <c r="G3880"/>
      <c r="H3880"/>
      <c r="I3880"/>
      <c r="J3880"/>
    </row>
    <row r="3881" spans="6:10">
      <c r="F3881"/>
      <c r="G3881"/>
      <c r="H3881"/>
      <c r="I3881"/>
      <c r="J3881"/>
    </row>
    <row r="3882" spans="6:10">
      <c r="F3882"/>
      <c r="G3882"/>
      <c r="H3882"/>
      <c r="I3882"/>
      <c r="J3882"/>
    </row>
    <row r="3883" spans="6:10">
      <c r="F3883"/>
      <c r="G3883"/>
      <c r="H3883"/>
      <c r="I3883"/>
      <c r="J3883"/>
    </row>
    <row r="3884" spans="6:10">
      <c r="F3884"/>
      <c r="G3884"/>
      <c r="H3884"/>
      <c r="I3884"/>
      <c r="J3884"/>
    </row>
    <row r="3885" spans="6:10">
      <c r="F3885"/>
      <c r="G3885"/>
      <c r="H3885"/>
      <c r="I3885"/>
      <c r="J3885"/>
    </row>
    <row r="3886" spans="6:10">
      <c r="F3886"/>
      <c r="G3886"/>
      <c r="H3886"/>
      <c r="I3886"/>
      <c r="J3886"/>
    </row>
    <row r="3887" spans="6:10">
      <c r="F3887"/>
      <c r="G3887"/>
      <c r="H3887"/>
      <c r="I3887"/>
      <c r="J3887"/>
    </row>
    <row r="3888" spans="6:10">
      <c r="F3888"/>
      <c r="G3888"/>
      <c r="H3888"/>
      <c r="I3888"/>
      <c r="J3888"/>
    </row>
    <row r="3889" spans="6:10">
      <c r="F3889"/>
      <c r="G3889"/>
      <c r="H3889"/>
      <c r="I3889"/>
      <c r="J3889"/>
    </row>
    <row r="3890" spans="6:10">
      <c r="F3890"/>
      <c r="G3890"/>
      <c r="H3890"/>
      <c r="I3890"/>
      <c r="J3890"/>
    </row>
    <row r="3891" spans="6:10">
      <c r="F3891"/>
      <c r="G3891"/>
      <c r="H3891"/>
      <c r="I3891"/>
      <c r="J3891"/>
    </row>
    <row r="3892" spans="6:10">
      <c r="F3892"/>
      <c r="G3892"/>
      <c r="H3892"/>
      <c r="I3892"/>
      <c r="J3892"/>
    </row>
    <row r="3893" spans="6:10">
      <c r="F3893"/>
      <c r="G3893"/>
      <c r="H3893"/>
      <c r="I3893"/>
      <c r="J3893"/>
    </row>
    <row r="3894" spans="6:10">
      <c r="F3894"/>
      <c r="G3894"/>
      <c r="H3894"/>
      <c r="I3894"/>
      <c r="J3894"/>
    </row>
    <row r="3895" spans="6:10">
      <c r="F3895"/>
      <c r="G3895"/>
      <c r="H3895"/>
      <c r="I3895"/>
      <c r="J3895"/>
    </row>
    <row r="3896" spans="6:10">
      <c r="F3896"/>
      <c r="G3896"/>
      <c r="H3896"/>
      <c r="I3896"/>
      <c r="J3896"/>
    </row>
    <row r="3897" spans="6:10">
      <c r="F3897"/>
      <c r="G3897"/>
      <c r="H3897"/>
      <c r="I3897"/>
      <c r="J3897"/>
    </row>
    <row r="3898" spans="6:10">
      <c r="F3898"/>
      <c r="G3898"/>
      <c r="H3898"/>
      <c r="I3898"/>
      <c r="J3898"/>
    </row>
    <row r="3899" spans="6:10">
      <c r="F3899"/>
      <c r="G3899"/>
      <c r="H3899"/>
      <c r="I3899"/>
      <c r="J3899"/>
    </row>
    <row r="3900" spans="6:10">
      <c r="F3900"/>
      <c r="G3900"/>
      <c r="H3900"/>
      <c r="I3900"/>
      <c r="J3900"/>
    </row>
    <row r="3901" spans="6:10">
      <c r="F3901"/>
      <c r="G3901"/>
      <c r="H3901"/>
      <c r="I3901"/>
      <c r="J3901"/>
    </row>
    <row r="3902" spans="6:10">
      <c r="F3902"/>
      <c r="G3902"/>
      <c r="H3902"/>
      <c r="I3902"/>
      <c r="J3902"/>
    </row>
    <row r="3903" spans="6:10">
      <c r="F3903"/>
      <c r="G3903"/>
      <c r="H3903"/>
      <c r="I3903"/>
      <c r="J3903"/>
    </row>
    <row r="3904" spans="6:10">
      <c r="F3904"/>
      <c r="G3904"/>
      <c r="H3904"/>
      <c r="I3904"/>
      <c r="J3904"/>
    </row>
    <row r="3905" spans="6:10">
      <c r="F3905"/>
      <c r="G3905"/>
      <c r="H3905"/>
      <c r="I3905"/>
      <c r="J3905"/>
    </row>
    <row r="3906" spans="6:10">
      <c r="F3906"/>
      <c r="G3906"/>
      <c r="H3906"/>
      <c r="I3906"/>
      <c r="J3906"/>
    </row>
    <row r="3907" spans="6:10">
      <c r="F3907"/>
      <c r="G3907"/>
      <c r="H3907"/>
      <c r="I3907"/>
      <c r="J3907"/>
    </row>
    <row r="3908" spans="6:10">
      <c r="F3908"/>
      <c r="G3908"/>
      <c r="H3908"/>
      <c r="I3908"/>
      <c r="J3908"/>
    </row>
    <row r="3909" spans="6:10">
      <c r="F3909"/>
      <c r="G3909"/>
      <c r="H3909"/>
      <c r="I3909"/>
      <c r="J3909"/>
    </row>
    <row r="3910" spans="6:10">
      <c r="F3910"/>
      <c r="G3910"/>
      <c r="H3910"/>
      <c r="I3910"/>
      <c r="J3910"/>
    </row>
    <row r="3911" spans="6:10">
      <c r="F3911"/>
      <c r="G3911"/>
      <c r="H3911"/>
      <c r="I3911"/>
      <c r="J3911"/>
    </row>
    <row r="3912" spans="6:10">
      <c r="F3912"/>
      <c r="G3912"/>
      <c r="H3912"/>
      <c r="I3912"/>
      <c r="J3912"/>
    </row>
    <row r="3913" spans="6:10">
      <c r="F3913"/>
      <c r="G3913"/>
      <c r="H3913"/>
      <c r="I3913"/>
      <c r="J3913"/>
    </row>
    <row r="3914" spans="6:10">
      <c r="F3914"/>
      <c r="G3914"/>
      <c r="H3914"/>
      <c r="I3914"/>
      <c r="J3914"/>
    </row>
    <row r="3915" spans="6:10">
      <c r="F3915"/>
      <c r="G3915"/>
      <c r="H3915"/>
      <c r="I3915"/>
      <c r="J3915"/>
    </row>
    <row r="3916" spans="6:10">
      <c r="F3916"/>
      <c r="G3916"/>
      <c r="H3916"/>
      <c r="I3916"/>
      <c r="J3916"/>
    </row>
    <row r="3917" spans="6:10">
      <c r="F3917"/>
      <c r="G3917"/>
      <c r="H3917"/>
      <c r="I3917"/>
      <c r="J3917"/>
    </row>
    <row r="3918" spans="6:10">
      <c r="F3918"/>
      <c r="G3918"/>
      <c r="H3918"/>
      <c r="I3918"/>
      <c r="J3918"/>
    </row>
    <row r="3919" spans="6:10">
      <c r="F3919"/>
      <c r="G3919"/>
      <c r="H3919"/>
      <c r="I3919"/>
      <c r="J3919"/>
    </row>
    <row r="3920" spans="6:10">
      <c r="F3920"/>
      <c r="G3920"/>
      <c r="H3920"/>
      <c r="I3920"/>
      <c r="J3920"/>
    </row>
    <row r="3921" spans="6:10">
      <c r="F3921"/>
      <c r="G3921"/>
      <c r="H3921"/>
      <c r="I3921"/>
      <c r="J3921"/>
    </row>
    <row r="3922" spans="6:10">
      <c r="F3922"/>
      <c r="G3922"/>
      <c r="H3922"/>
      <c r="I3922"/>
      <c r="J3922"/>
    </row>
    <row r="3923" spans="6:10">
      <c r="F3923"/>
      <c r="G3923"/>
      <c r="H3923"/>
      <c r="I3923"/>
      <c r="J3923"/>
    </row>
    <row r="3924" spans="6:10">
      <c r="F3924"/>
      <c r="G3924"/>
      <c r="H3924"/>
      <c r="I3924"/>
      <c r="J3924"/>
    </row>
    <row r="3925" spans="6:10">
      <c r="F3925"/>
      <c r="G3925"/>
      <c r="H3925"/>
      <c r="I3925"/>
      <c r="J3925"/>
    </row>
    <row r="3926" spans="6:10">
      <c r="F3926"/>
      <c r="G3926"/>
      <c r="H3926"/>
      <c r="I3926"/>
      <c r="J3926"/>
    </row>
    <row r="3927" spans="6:10">
      <c r="F3927"/>
      <c r="G3927"/>
      <c r="H3927"/>
      <c r="I3927"/>
      <c r="J3927"/>
    </row>
    <row r="3928" spans="6:10">
      <c r="F3928"/>
      <c r="G3928"/>
      <c r="H3928"/>
      <c r="I3928"/>
      <c r="J3928"/>
    </row>
    <row r="3929" spans="6:10">
      <c r="F3929"/>
      <c r="G3929"/>
      <c r="H3929"/>
      <c r="I3929"/>
      <c r="J3929"/>
    </row>
    <row r="3930" spans="6:10">
      <c r="F3930"/>
      <c r="G3930"/>
      <c r="H3930"/>
      <c r="I3930"/>
      <c r="J3930"/>
    </row>
    <row r="3931" spans="6:10">
      <c r="F3931"/>
      <c r="G3931"/>
      <c r="H3931"/>
      <c r="I3931"/>
      <c r="J3931"/>
    </row>
    <row r="3932" spans="6:10">
      <c r="F3932"/>
      <c r="G3932"/>
      <c r="H3932"/>
      <c r="I3932"/>
      <c r="J3932"/>
    </row>
    <row r="3933" spans="6:10">
      <c r="F3933"/>
      <c r="G3933"/>
      <c r="H3933"/>
      <c r="I3933"/>
      <c r="J3933"/>
    </row>
    <row r="3934" spans="6:10">
      <c r="F3934"/>
      <c r="G3934"/>
      <c r="H3934"/>
      <c r="I3934"/>
      <c r="J3934"/>
    </row>
    <row r="3935" spans="6:10">
      <c r="F3935"/>
      <c r="G3935"/>
      <c r="H3935"/>
      <c r="I3935"/>
      <c r="J3935"/>
    </row>
    <row r="3936" spans="6:10">
      <c r="F3936"/>
      <c r="G3936"/>
      <c r="H3936"/>
      <c r="I3936"/>
      <c r="J3936"/>
    </row>
    <row r="3937" spans="6:10">
      <c r="F3937"/>
      <c r="G3937"/>
      <c r="H3937"/>
      <c r="I3937"/>
      <c r="J3937"/>
    </row>
    <row r="3938" spans="6:10">
      <c r="F3938"/>
      <c r="G3938"/>
      <c r="H3938"/>
      <c r="I3938"/>
      <c r="J3938"/>
    </row>
    <row r="3939" spans="6:10">
      <c r="F3939"/>
      <c r="G3939"/>
      <c r="H3939"/>
      <c r="I3939"/>
      <c r="J3939"/>
    </row>
    <row r="3940" spans="6:10">
      <c r="F3940"/>
      <c r="G3940"/>
      <c r="H3940"/>
      <c r="I3940"/>
      <c r="J3940"/>
    </row>
    <row r="3941" spans="6:10">
      <c r="F3941"/>
      <c r="G3941"/>
      <c r="H3941"/>
      <c r="I3941"/>
      <c r="J3941"/>
    </row>
    <row r="3942" spans="6:10">
      <c r="F3942"/>
      <c r="G3942"/>
      <c r="H3942"/>
      <c r="I3942"/>
      <c r="J3942"/>
    </row>
    <row r="3943" spans="6:10">
      <c r="F3943"/>
      <c r="G3943"/>
      <c r="H3943"/>
      <c r="I3943"/>
      <c r="J3943"/>
    </row>
    <row r="3944" spans="6:10">
      <c r="F3944"/>
      <c r="G3944"/>
      <c r="H3944"/>
      <c r="I3944"/>
      <c r="J3944"/>
    </row>
    <row r="3945" spans="6:10">
      <c r="F3945"/>
      <c r="G3945"/>
      <c r="H3945"/>
      <c r="I3945"/>
      <c r="J3945"/>
    </row>
    <row r="3946" spans="6:10">
      <c r="F3946"/>
      <c r="G3946"/>
      <c r="H3946"/>
      <c r="I3946"/>
      <c r="J3946"/>
    </row>
    <row r="3947" spans="6:10">
      <c r="F3947"/>
      <c r="G3947"/>
      <c r="H3947"/>
      <c r="I3947"/>
      <c r="J3947"/>
    </row>
    <row r="3948" spans="6:10">
      <c r="F3948"/>
      <c r="G3948"/>
      <c r="H3948"/>
      <c r="I3948"/>
      <c r="J3948"/>
    </row>
    <row r="3949" spans="6:10">
      <c r="F3949"/>
      <c r="G3949"/>
      <c r="H3949"/>
      <c r="I3949"/>
      <c r="J3949"/>
    </row>
    <row r="3950" spans="6:10">
      <c r="F3950"/>
      <c r="G3950"/>
      <c r="H3950"/>
      <c r="I3950"/>
      <c r="J3950"/>
    </row>
    <row r="3951" spans="6:10">
      <c r="F3951"/>
      <c r="G3951"/>
      <c r="H3951"/>
      <c r="I3951"/>
      <c r="J3951"/>
    </row>
    <row r="3952" spans="6:10">
      <c r="F3952"/>
      <c r="G3952"/>
      <c r="H3952"/>
      <c r="I3952"/>
      <c r="J3952"/>
    </row>
    <row r="3953" spans="6:10">
      <c r="F3953"/>
      <c r="G3953"/>
      <c r="H3953"/>
      <c r="I3953"/>
      <c r="J3953"/>
    </row>
    <row r="3954" spans="6:10">
      <c r="F3954"/>
      <c r="G3954"/>
      <c r="H3954"/>
      <c r="I3954"/>
      <c r="J3954"/>
    </row>
    <row r="3955" spans="6:10">
      <c r="F3955"/>
      <c r="G3955"/>
      <c r="H3955"/>
      <c r="I3955"/>
      <c r="J3955"/>
    </row>
    <row r="3956" spans="6:10">
      <c r="F3956"/>
      <c r="G3956"/>
      <c r="H3956"/>
      <c r="I3956"/>
      <c r="J3956"/>
    </row>
    <row r="3957" spans="6:10">
      <c r="F3957"/>
      <c r="G3957"/>
      <c r="H3957"/>
      <c r="I3957"/>
      <c r="J3957"/>
    </row>
    <row r="3958" spans="6:10">
      <c r="F3958"/>
      <c r="G3958"/>
      <c r="H3958"/>
      <c r="I3958"/>
      <c r="J3958"/>
    </row>
    <row r="3959" spans="6:10">
      <c r="F3959"/>
      <c r="G3959"/>
      <c r="H3959"/>
      <c r="I3959"/>
      <c r="J3959"/>
    </row>
    <row r="3960" spans="6:10">
      <c r="F3960"/>
      <c r="G3960"/>
      <c r="H3960"/>
      <c r="I3960"/>
      <c r="J3960"/>
    </row>
    <row r="3961" spans="6:10">
      <c r="F3961"/>
      <c r="G3961"/>
      <c r="H3961"/>
      <c r="I3961"/>
      <c r="J3961"/>
    </row>
    <row r="3962" spans="6:10">
      <c r="F3962"/>
      <c r="G3962"/>
      <c r="H3962"/>
      <c r="I3962"/>
      <c r="J3962"/>
    </row>
    <row r="3963" spans="6:10">
      <c r="F3963"/>
      <c r="G3963"/>
      <c r="H3963"/>
      <c r="I3963"/>
      <c r="J3963"/>
    </row>
    <row r="3964" spans="6:10">
      <c r="F3964"/>
      <c r="G3964"/>
      <c r="H3964"/>
      <c r="I3964"/>
      <c r="J3964"/>
    </row>
    <row r="3965" spans="6:10">
      <c r="F3965"/>
      <c r="G3965"/>
      <c r="H3965"/>
      <c r="I3965"/>
      <c r="J3965"/>
    </row>
    <row r="3966" spans="6:10">
      <c r="F3966"/>
      <c r="G3966"/>
      <c r="H3966"/>
      <c r="I3966"/>
      <c r="J3966"/>
    </row>
    <row r="3967" spans="6:10">
      <c r="F3967"/>
      <c r="G3967"/>
      <c r="H3967"/>
      <c r="I3967"/>
      <c r="J3967"/>
    </row>
    <row r="3968" spans="6:10">
      <c r="F3968"/>
      <c r="G3968"/>
      <c r="H3968"/>
      <c r="I3968"/>
      <c r="J3968"/>
    </row>
    <row r="3969" spans="6:10">
      <c r="F3969"/>
      <c r="G3969"/>
      <c r="H3969"/>
      <c r="I3969"/>
      <c r="J3969"/>
    </row>
    <row r="3970" spans="6:10">
      <c r="F3970"/>
      <c r="G3970"/>
      <c r="H3970"/>
      <c r="I3970"/>
      <c r="J3970"/>
    </row>
    <row r="3971" spans="6:10">
      <c r="F3971"/>
      <c r="G3971"/>
      <c r="H3971"/>
      <c r="I3971"/>
      <c r="J3971"/>
    </row>
    <row r="3972" spans="6:10">
      <c r="F3972"/>
      <c r="G3972"/>
      <c r="H3972"/>
      <c r="I3972"/>
      <c r="J3972"/>
    </row>
    <row r="3973" spans="6:10">
      <c r="F3973"/>
      <c r="G3973"/>
      <c r="H3973"/>
      <c r="I3973"/>
      <c r="J3973"/>
    </row>
    <row r="3974" spans="6:10">
      <c r="F3974"/>
      <c r="G3974"/>
      <c r="H3974"/>
      <c r="I3974"/>
      <c r="J3974"/>
    </row>
    <row r="3975" spans="6:10">
      <c r="F3975"/>
      <c r="G3975"/>
      <c r="H3975"/>
      <c r="I3975"/>
      <c r="J3975"/>
    </row>
    <row r="3976" spans="6:10">
      <c r="F3976"/>
      <c r="G3976"/>
      <c r="H3976"/>
      <c r="I3976"/>
      <c r="J3976"/>
    </row>
    <row r="3977" spans="6:10">
      <c r="F3977"/>
      <c r="G3977"/>
      <c r="H3977"/>
      <c r="I3977"/>
      <c r="J3977"/>
    </row>
    <row r="3978" spans="6:10">
      <c r="F3978"/>
      <c r="G3978"/>
      <c r="H3978"/>
      <c r="I3978"/>
      <c r="J3978"/>
    </row>
    <row r="3979" spans="6:10">
      <c r="F3979"/>
      <c r="G3979"/>
      <c r="H3979"/>
      <c r="I3979"/>
      <c r="J3979"/>
    </row>
    <row r="3980" spans="6:10">
      <c r="F3980"/>
      <c r="G3980"/>
      <c r="H3980"/>
      <c r="I3980"/>
      <c r="J3980"/>
    </row>
    <row r="3981" spans="6:10">
      <c r="F3981"/>
      <c r="G3981"/>
      <c r="H3981"/>
      <c r="I3981"/>
      <c r="J3981"/>
    </row>
    <row r="3982" spans="6:10">
      <c r="F3982"/>
      <c r="G3982"/>
      <c r="H3982"/>
      <c r="I3982"/>
      <c r="J3982"/>
    </row>
    <row r="3983" spans="6:10">
      <c r="F3983"/>
      <c r="G3983"/>
      <c r="H3983"/>
      <c r="I3983"/>
      <c r="J3983"/>
    </row>
    <row r="3984" spans="6:10">
      <c r="F3984"/>
      <c r="G3984"/>
      <c r="H3984"/>
      <c r="I3984"/>
      <c r="J3984"/>
    </row>
    <row r="3985" spans="6:10">
      <c r="F3985"/>
      <c r="G3985"/>
      <c r="H3985"/>
      <c r="I3985"/>
      <c r="J3985"/>
    </row>
    <row r="3986" spans="6:10">
      <c r="F3986"/>
      <c r="G3986"/>
      <c r="H3986"/>
      <c r="I3986"/>
      <c r="J3986"/>
    </row>
    <row r="3987" spans="6:10">
      <c r="F3987"/>
      <c r="G3987"/>
      <c r="H3987"/>
      <c r="I3987"/>
      <c r="J3987"/>
    </row>
    <row r="3988" spans="6:10">
      <c r="F3988"/>
      <c r="G3988"/>
      <c r="H3988"/>
      <c r="I3988"/>
      <c r="J3988"/>
    </row>
    <row r="3989" spans="6:10">
      <c r="F3989"/>
      <c r="G3989"/>
      <c r="H3989"/>
      <c r="I3989"/>
      <c r="J3989"/>
    </row>
    <row r="3990" spans="6:10">
      <c r="F3990"/>
      <c r="G3990"/>
      <c r="H3990"/>
      <c r="I3990"/>
      <c r="J3990"/>
    </row>
    <row r="3991" spans="6:10">
      <c r="F3991"/>
      <c r="G3991"/>
      <c r="H3991"/>
      <c r="I3991"/>
      <c r="J3991"/>
    </row>
    <row r="3992" spans="6:10">
      <c r="F3992"/>
      <c r="G3992"/>
      <c r="H3992"/>
      <c r="I3992"/>
      <c r="J3992"/>
    </row>
    <row r="3993" spans="6:10">
      <c r="F3993"/>
      <c r="G3993"/>
      <c r="H3993"/>
      <c r="I3993"/>
      <c r="J3993"/>
    </row>
    <row r="3994" spans="6:10">
      <c r="F3994"/>
      <c r="G3994"/>
      <c r="H3994"/>
      <c r="I3994"/>
      <c r="J3994"/>
    </row>
    <row r="3995" spans="6:10">
      <c r="F3995"/>
      <c r="G3995"/>
      <c r="H3995"/>
      <c r="I3995"/>
      <c r="J3995"/>
    </row>
    <row r="3996" spans="6:10">
      <c r="F3996"/>
      <c r="G3996"/>
      <c r="H3996"/>
      <c r="I3996"/>
      <c r="J3996"/>
    </row>
    <row r="3997" spans="6:10">
      <c r="F3997"/>
      <c r="G3997"/>
      <c r="H3997"/>
      <c r="I3997"/>
      <c r="J3997"/>
    </row>
    <row r="3998" spans="6:10">
      <c r="F3998"/>
      <c r="G3998"/>
      <c r="H3998"/>
      <c r="I3998"/>
      <c r="J3998"/>
    </row>
    <row r="3999" spans="6:10">
      <c r="F3999"/>
      <c r="G3999"/>
      <c r="H3999"/>
      <c r="I3999"/>
      <c r="J3999"/>
    </row>
    <row r="4000" spans="6:10">
      <c r="F4000"/>
      <c r="G4000"/>
      <c r="H4000"/>
      <c r="I4000"/>
      <c r="J4000"/>
    </row>
    <row r="4001" spans="6:10">
      <c r="F4001"/>
      <c r="G4001"/>
      <c r="H4001"/>
      <c r="I4001"/>
      <c r="J4001"/>
    </row>
    <row r="4002" spans="6:10">
      <c r="F4002"/>
      <c r="G4002"/>
      <c r="H4002"/>
      <c r="I4002"/>
      <c r="J4002"/>
    </row>
    <row r="4003" spans="6:10">
      <c r="F4003"/>
      <c r="G4003"/>
      <c r="H4003"/>
      <c r="I4003"/>
      <c r="J4003"/>
    </row>
    <row r="4004" spans="6:10">
      <c r="F4004"/>
      <c r="G4004"/>
      <c r="H4004"/>
      <c r="I4004"/>
      <c r="J4004"/>
    </row>
    <row r="4005" spans="6:10">
      <c r="F4005"/>
      <c r="G4005"/>
      <c r="H4005"/>
      <c r="I4005"/>
      <c r="J4005"/>
    </row>
    <row r="4006" spans="6:10">
      <c r="F4006"/>
      <c r="G4006"/>
      <c r="H4006"/>
      <c r="I4006"/>
      <c r="J4006"/>
    </row>
    <row r="4007" spans="6:10">
      <c r="F4007"/>
      <c r="G4007"/>
      <c r="H4007"/>
      <c r="I4007"/>
      <c r="J4007"/>
    </row>
    <row r="4008" spans="6:10">
      <c r="F4008"/>
      <c r="G4008"/>
      <c r="H4008"/>
      <c r="I4008"/>
      <c r="J4008"/>
    </row>
    <row r="4009" spans="6:10">
      <c r="F4009"/>
      <c r="G4009"/>
      <c r="H4009"/>
      <c r="I4009"/>
      <c r="J4009"/>
    </row>
    <row r="4010" spans="6:10">
      <c r="F4010"/>
      <c r="G4010"/>
      <c r="H4010"/>
      <c r="I4010"/>
      <c r="J4010"/>
    </row>
    <row r="4011" spans="6:10">
      <c r="F4011"/>
      <c r="G4011"/>
      <c r="H4011"/>
      <c r="I4011"/>
      <c r="J4011"/>
    </row>
    <row r="4012" spans="6:10">
      <c r="F4012"/>
      <c r="G4012"/>
      <c r="H4012"/>
      <c r="I4012"/>
      <c r="J4012"/>
    </row>
    <row r="4013" spans="6:10">
      <c r="F4013"/>
      <c r="G4013"/>
      <c r="H4013"/>
      <c r="I4013"/>
      <c r="J4013"/>
    </row>
    <row r="4014" spans="6:10">
      <c r="F4014"/>
      <c r="G4014"/>
      <c r="H4014"/>
      <c r="I4014"/>
      <c r="J4014"/>
    </row>
    <row r="4015" spans="6:10">
      <c r="F4015"/>
      <c r="G4015"/>
      <c r="H4015"/>
      <c r="I4015"/>
      <c r="J4015"/>
    </row>
    <row r="4016" spans="6:10">
      <c r="F4016"/>
      <c r="G4016"/>
      <c r="H4016"/>
      <c r="I4016"/>
      <c r="J4016"/>
    </row>
    <row r="4017" spans="6:10">
      <c r="F4017"/>
      <c r="G4017"/>
      <c r="H4017"/>
      <c r="I4017"/>
      <c r="J4017"/>
    </row>
    <row r="4018" spans="6:10">
      <c r="F4018"/>
      <c r="G4018"/>
      <c r="H4018"/>
      <c r="I4018"/>
      <c r="J4018"/>
    </row>
    <row r="4019" spans="6:10">
      <c r="F4019"/>
      <c r="G4019"/>
      <c r="H4019"/>
      <c r="I4019"/>
      <c r="J4019"/>
    </row>
    <row r="4020" spans="6:10">
      <c r="F4020"/>
      <c r="G4020"/>
      <c r="H4020"/>
      <c r="I4020"/>
      <c r="J4020"/>
    </row>
    <row r="4021" spans="6:10">
      <c r="F4021"/>
      <c r="G4021"/>
      <c r="H4021"/>
      <c r="I4021"/>
      <c r="J4021"/>
    </row>
    <row r="4022" spans="6:10">
      <c r="F4022"/>
      <c r="G4022"/>
      <c r="H4022"/>
      <c r="I4022"/>
      <c r="J4022"/>
    </row>
    <row r="4023" spans="6:10">
      <c r="F4023"/>
      <c r="G4023"/>
      <c r="H4023"/>
      <c r="I4023"/>
      <c r="J4023"/>
    </row>
    <row r="4024" spans="6:10">
      <c r="F4024"/>
      <c r="G4024"/>
      <c r="H4024"/>
      <c r="I4024"/>
      <c r="J4024"/>
    </row>
    <row r="4025" spans="6:10">
      <c r="F4025"/>
      <c r="G4025"/>
      <c r="H4025"/>
      <c r="I4025"/>
      <c r="J4025"/>
    </row>
    <row r="4026" spans="6:10">
      <c r="F4026"/>
      <c r="G4026"/>
      <c r="H4026"/>
      <c r="I4026"/>
      <c r="J4026"/>
    </row>
    <row r="4027" spans="6:10">
      <c r="F4027"/>
      <c r="G4027"/>
      <c r="H4027"/>
      <c r="I4027"/>
      <c r="J4027"/>
    </row>
    <row r="4028" spans="6:10">
      <c r="F4028"/>
      <c r="G4028"/>
      <c r="H4028"/>
      <c r="I4028"/>
      <c r="J4028"/>
    </row>
    <row r="4029" spans="6:10">
      <c r="F4029"/>
      <c r="G4029"/>
      <c r="H4029"/>
      <c r="I4029"/>
      <c r="J4029"/>
    </row>
    <row r="4030" spans="6:10">
      <c r="F4030"/>
      <c r="G4030"/>
      <c r="H4030"/>
      <c r="I4030"/>
      <c r="J4030"/>
    </row>
    <row r="4031" spans="6:10">
      <c r="F4031"/>
      <c r="G4031"/>
      <c r="H4031"/>
      <c r="I4031"/>
      <c r="J4031"/>
    </row>
    <row r="4032" spans="6:10">
      <c r="F4032"/>
      <c r="G4032"/>
      <c r="H4032"/>
      <c r="I4032"/>
      <c r="J4032"/>
    </row>
    <row r="4033" spans="6:10">
      <c r="F4033"/>
      <c r="G4033"/>
      <c r="H4033"/>
      <c r="I4033"/>
      <c r="J4033"/>
    </row>
    <row r="4034" spans="6:10">
      <c r="F4034"/>
      <c r="G4034"/>
      <c r="H4034"/>
      <c r="I4034"/>
      <c r="J4034"/>
    </row>
    <row r="4035" spans="6:10">
      <c r="F4035"/>
      <c r="G4035"/>
      <c r="H4035"/>
      <c r="I4035"/>
      <c r="J4035"/>
    </row>
    <row r="4036" spans="6:10">
      <c r="F4036"/>
      <c r="G4036"/>
      <c r="H4036"/>
      <c r="I4036"/>
      <c r="J4036"/>
    </row>
    <row r="4037" spans="6:10">
      <c r="F4037"/>
      <c r="G4037"/>
      <c r="H4037"/>
      <c r="I4037"/>
      <c r="J4037"/>
    </row>
    <row r="4038" spans="6:10">
      <c r="F4038"/>
      <c r="G4038"/>
      <c r="H4038"/>
      <c r="I4038"/>
      <c r="J4038"/>
    </row>
    <row r="4039" spans="6:10">
      <c r="F4039"/>
      <c r="G4039"/>
      <c r="H4039"/>
      <c r="I4039"/>
      <c r="J4039"/>
    </row>
    <row r="4040" spans="6:10">
      <c r="F4040"/>
      <c r="G4040"/>
      <c r="H4040"/>
      <c r="I4040"/>
      <c r="J4040"/>
    </row>
    <row r="4041" spans="6:10">
      <c r="F4041"/>
      <c r="G4041"/>
      <c r="H4041"/>
      <c r="I4041"/>
      <c r="J4041"/>
    </row>
    <row r="4042" spans="6:10">
      <c r="F4042"/>
      <c r="G4042"/>
      <c r="H4042"/>
      <c r="I4042"/>
      <c r="J4042"/>
    </row>
    <row r="4043" spans="6:10">
      <c r="F4043"/>
      <c r="G4043"/>
      <c r="H4043"/>
      <c r="I4043"/>
      <c r="J4043"/>
    </row>
    <row r="4044" spans="6:10">
      <c r="F4044"/>
      <c r="G4044"/>
      <c r="H4044"/>
      <c r="I4044"/>
      <c r="J4044"/>
    </row>
    <row r="4045" spans="6:10">
      <c r="F4045"/>
      <c r="G4045"/>
      <c r="H4045"/>
      <c r="I4045"/>
      <c r="J4045"/>
    </row>
    <row r="4046" spans="6:10">
      <c r="F4046"/>
      <c r="G4046"/>
      <c r="H4046"/>
      <c r="I4046"/>
      <c r="J4046"/>
    </row>
    <row r="4047" spans="6:10">
      <c r="F4047"/>
      <c r="G4047"/>
      <c r="H4047"/>
      <c r="I4047"/>
      <c r="J4047"/>
    </row>
    <row r="4048" spans="6:10">
      <c r="F4048"/>
      <c r="G4048"/>
      <c r="H4048"/>
      <c r="I4048"/>
      <c r="J4048"/>
    </row>
    <row r="4049" spans="6:10">
      <c r="F4049"/>
      <c r="G4049"/>
      <c r="H4049"/>
      <c r="I4049"/>
      <c r="J4049"/>
    </row>
    <row r="4050" spans="6:10">
      <c r="F4050"/>
      <c r="G4050"/>
      <c r="H4050"/>
      <c r="I4050"/>
      <c r="J4050"/>
    </row>
    <row r="4051" spans="6:10">
      <c r="F4051"/>
      <c r="G4051"/>
      <c r="H4051"/>
      <c r="I4051"/>
      <c r="J4051"/>
    </row>
    <row r="4052" spans="6:10">
      <c r="F4052"/>
      <c r="G4052"/>
      <c r="H4052"/>
      <c r="I4052"/>
      <c r="J4052"/>
    </row>
    <row r="4053" spans="6:10">
      <c r="F4053"/>
      <c r="G4053"/>
      <c r="H4053"/>
      <c r="I4053"/>
      <c r="J4053"/>
    </row>
    <row r="4054" spans="6:10">
      <c r="F4054"/>
      <c r="G4054"/>
      <c r="H4054"/>
      <c r="I4054"/>
      <c r="J4054"/>
    </row>
    <row r="4055" spans="6:10">
      <c r="F4055"/>
      <c r="G4055"/>
      <c r="H4055"/>
      <c r="I4055"/>
      <c r="J4055"/>
    </row>
    <row r="4056" spans="6:10">
      <c r="F4056"/>
      <c r="G4056"/>
      <c r="H4056"/>
      <c r="I4056"/>
      <c r="J4056"/>
    </row>
    <row r="4057" spans="6:10">
      <c r="F4057"/>
      <c r="G4057"/>
      <c r="H4057"/>
      <c r="I4057"/>
      <c r="J4057"/>
    </row>
    <row r="4058" spans="6:10">
      <c r="F4058"/>
      <c r="G4058"/>
      <c r="H4058"/>
      <c r="I4058"/>
      <c r="J4058"/>
    </row>
    <row r="4059" spans="6:10">
      <c r="F4059"/>
      <c r="G4059"/>
      <c r="H4059"/>
      <c r="I4059"/>
      <c r="J4059"/>
    </row>
    <row r="4060" spans="6:10">
      <c r="F4060"/>
      <c r="G4060"/>
      <c r="H4060"/>
      <c r="I4060"/>
      <c r="J4060"/>
    </row>
    <row r="4061" spans="6:10">
      <c r="F4061"/>
      <c r="G4061"/>
      <c r="H4061"/>
      <c r="I4061"/>
      <c r="J4061"/>
    </row>
    <row r="4062" spans="6:10">
      <c r="F4062"/>
      <c r="G4062"/>
      <c r="H4062"/>
      <c r="I4062"/>
      <c r="J4062"/>
    </row>
    <row r="4063" spans="6:10">
      <c r="F4063"/>
      <c r="G4063"/>
      <c r="H4063"/>
      <c r="I4063"/>
      <c r="J4063"/>
    </row>
    <row r="4064" spans="6:10">
      <c r="F4064"/>
      <c r="G4064"/>
      <c r="H4064"/>
      <c r="I4064"/>
      <c r="J4064"/>
    </row>
    <row r="4065" spans="6:10">
      <c r="F4065"/>
      <c r="G4065"/>
      <c r="H4065"/>
      <c r="I4065"/>
      <c r="J4065"/>
    </row>
    <row r="4066" spans="6:10">
      <c r="F4066"/>
      <c r="G4066"/>
      <c r="H4066"/>
      <c r="I4066"/>
      <c r="J4066"/>
    </row>
    <row r="4067" spans="6:10">
      <c r="F4067"/>
      <c r="G4067"/>
      <c r="H4067"/>
      <c r="I4067"/>
      <c r="J4067"/>
    </row>
    <row r="4068" spans="6:10">
      <c r="F4068"/>
      <c r="G4068"/>
      <c r="H4068"/>
      <c r="I4068"/>
      <c r="J4068"/>
    </row>
    <row r="4069" spans="6:10">
      <c r="F4069"/>
      <c r="G4069"/>
      <c r="H4069"/>
      <c r="I4069"/>
      <c r="J4069"/>
    </row>
    <row r="4070" spans="6:10">
      <c r="F4070"/>
      <c r="G4070"/>
      <c r="H4070"/>
      <c r="I4070"/>
      <c r="J4070"/>
    </row>
    <row r="4071" spans="6:10">
      <c r="F4071"/>
      <c r="G4071"/>
      <c r="H4071"/>
      <c r="I4071"/>
      <c r="J4071"/>
    </row>
    <row r="4072" spans="6:10">
      <c r="F4072"/>
      <c r="G4072"/>
      <c r="H4072"/>
      <c r="I4072"/>
      <c r="J4072"/>
    </row>
    <row r="4073" spans="6:10">
      <c r="F4073"/>
      <c r="G4073"/>
      <c r="H4073"/>
      <c r="I4073"/>
      <c r="J4073"/>
    </row>
    <row r="4074" spans="6:10">
      <c r="F4074"/>
      <c r="G4074"/>
      <c r="H4074"/>
      <c r="I4074"/>
      <c r="J4074"/>
    </row>
    <row r="4075" spans="6:10">
      <c r="F4075"/>
      <c r="G4075"/>
      <c r="H4075"/>
      <c r="I4075"/>
      <c r="J4075"/>
    </row>
    <row r="4076" spans="6:10">
      <c r="F4076"/>
      <c r="G4076"/>
      <c r="H4076"/>
      <c r="I4076"/>
      <c r="J4076"/>
    </row>
    <row r="4077" spans="6:10">
      <c r="F4077"/>
      <c r="G4077"/>
      <c r="H4077"/>
      <c r="I4077"/>
      <c r="J4077"/>
    </row>
    <row r="4078" spans="6:10">
      <c r="F4078"/>
      <c r="G4078"/>
      <c r="H4078"/>
      <c r="I4078"/>
      <c r="J4078"/>
    </row>
    <row r="4079" spans="6:10">
      <c r="F4079"/>
      <c r="G4079"/>
      <c r="H4079"/>
      <c r="I4079"/>
      <c r="J4079"/>
    </row>
    <row r="4080" spans="6:10">
      <c r="F4080"/>
      <c r="G4080"/>
      <c r="H4080"/>
      <c r="I4080"/>
      <c r="J4080"/>
    </row>
    <row r="4081" spans="6:10">
      <c r="F4081"/>
      <c r="G4081"/>
      <c r="H4081"/>
      <c r="I4081"/>
      <c r="J4081"/>
    </row>
    <row r="4082" spans="6:10">
      <c r="F4082"/>
      <c r="G4082"/>
      <c r="H4082"/>
      <c r="I4082"/>
      <c r="J4082"/>
    </row>
    <row r="4083" spans="6:10">
      <c r="F4083"/>
      <c r="G4083"/>
      <c r="H4083"/>
      <c r="I4083"/>
      <c r="J4083"/>
    </row>
    <row r="4084" spans="6:10">
      <c r="F4084"/>
      <c r="G4084"/>
      <c r="H4084"/>
      <c r="I4084"/>
      <c r="J4084"/>
    </row>
    <row r="4085" spans="6:10">
      <c r="F4085"/>
      <c r="G4085"/>
      <c r="H4085"/>
      <c r="I4085"/>
      <c r="J4085"/>
    </row>
    <row r="4086" spans="6:10">
      <c r="F4086"/>
      <c r="G4086"/>
      <c r="H4086"/>
      <c r="I4086"/>
      <c r="J4086"/>
    </row>
    <row r="4087" spans="6:10">
      <c r="F4087"/>
      <c r="G4087"/>
      <c r="H4087"/>
      <c r="I4087"/>
      <c r="J4087"/>
    </row>
    <row r="4088" spans="6:10">
      <c r="F4088"/>
      <c r="G4088"/>
      <c r="H4088"/>
      <c r="I4088"/>
      <c r="J4088"/>
    </row>
    <row r="4089" spans="6:10">
      <c r="F4089"/>
      <c r="G4089"/>
      <c r="H4089"/>
      <c r="I4089"/>
      <c r="J4089"/>
    </row>
    <row r="4090" spans="6:10">
      <c r="F4090"/>
      <c r="G4090"/>
      <c r="H4090"/>
      <c r="I4090"/>
      <c r="J4090"/>
    </row>
    <row r="4091" spans="6:10">
      <c r="F4091"/>
      <c r="G4091"/>
      <c r="H4091"/>
      <c r="I4091"/>
      <c r="J4091"/>
    </row>
    <row r="4092" spans="6:10">
      <c r="F4092"/>
      <c r="G4092"/>
      <c r="H4092"/>
      <c r="I4092"/>
      <c r="J4092"/>
    </row>
    <row r="4093" spans="6:10">
      <c r="F4093"/>
      <c r="G4093"/>
      <c r="H4093"/>
      <c r="I4093"/>
      <c r="J4093"/>
    </row>
    <row r="4094" spans="6:10">
      <c r="F4094"/>
      <c r="G4094"/>
      <c r="H4094"/>
      <c r="I4094"/>
      <c r="J4094"/>
    </row>
    <row r="4095" spans="6:10">
      <c r="F4095"/>
      <c r="G4095"/>
      <c r="H4095"/>
      <c r="I4095"/>
      <c r="J4095"/>
    </row>
    <row r="4096" spans="6:10">
      <c r="F4096"/>
      <c r="G4096"/>
      <c r="H4096"/>
      <c r="I4096"/>
      <c r="J4096"/>
    </row>
    <row r="4097" spans="6:10">
      <c r="F4097"/>
      <c r="G4097"/>
      <c r="H4097"/>
      <c r="I4097"/>
      <c r="J4097"/>
    </row>
    <row r="4098" spans="6:10">
      <c r="F4098"/>
      <c r="G4098"/>
      <c r="H4098"/>
      <c r="I4098"/>
      <c r="J4098"/>
    </row>
    <row r="4099" spans="6:10">
      <c r="F4099"/>
      <c r="G4099"/>
      <c r="H4099"/>
      <c r="I4099"/>
      <c r="J4099"/>
    </row>
    <row r="4100" spans="6:10">
      <c r="F4100"/>
      <c r="G4100"/>
      <c r="H4100"/>
      <c r="I4100"/>
      <c r="J4100"/>
    </row>
    <row r="4101" spans="6:10">
      <c r="F4101"/>
      <c r="G4101"/>
      <c r="H4101"/>
      <c r="I4101"/>
      <c r="J4101"/>
    </row>
    <row r="4102" spans="6:10">
      <c r="F4102"/>
      <c r="G4102"/>
      <c r="H4102"/>
      <c r="I4102"/>
      <c r="J4102"/>
    </row>
    <row r="4103" spans="6:10">
      <c r="F4103"/>
      <c r="G4103"/>
      <c r="H4103"/>
      <c r="I4103"/>
      <c r="J4103"/>
    </row>
    <row r="4104" spans="6:10">
      <c r="F4104"/>
      <c r="G4104"/>
      <c r="H4104"/>
      <c r="I4104"/>
      <c r="J4104"/>
    </row>
    <row r="4105" spans="6:10">
      <c r="F4105"/>
      <c r="G4105"/>
      <c r="H4105"/>
      <c r="I4105"/>
      <c r="J4105"/>
    </row>
    <row r="4106" spans="6:10">
      <c r="F4106"/>
      <c r="G4106"/>
      <c r="H4106"/>
      <c r="I4106"/>
      <c r="J4106"/>
    </row>
    <row r="4107" spans="6:10">
      <c r="F4107"/>
      <c r="G4107"/>
      <c r="H4107"/>
      <c r="I4107"/>
      <c r="J4107"/>
    </row>
    <row r="4108" spans="6:10">
      <c r="F4108"/>
      <c r="G4108"/>
      <c r="H4108"/>
      <c r="I4108"/>
      <c r="J4108"/>
    </row>
    <row r="4109" spans="6:10">
      <c r="F4109"/>
      <c r="G4109"/>
      <c r="H4109"/>
      <c r="I4109"/>
      <c r="J4109"/>
    </row>
    <row r="4110" spans="6:10">
      <c r="F4110"/>
      <c r="G4110"/>
      <c r="H4110"/>
      <c r="I4110"/>
      <c r="J4110"/>
    </row>
    <row r="4111" spans="6:10">
      <c r="F4111"/>
      <c r="G4111"/>
      <c r="H4111"/>
      <c r="I4111"/>
      <c r="J4111"/>
    </row>
    <row r="4112" spans="6:10">
      <c r="F4112"/>
      <c r="G4112"/>
      <c r="H4112"/>
      <c r="I4112"/>
      <c r="J4112"/>
    </row>
    <row r="4113" spans="6:10">
      <c r="F4113"/>
      <c r="G4113"/>
      <c r="H4113"/>
      <c r="I4113"/>
      <c r="J4113"/>
    </row>
    <row r="4114" spans="6:10">
      <c r="F4114"/>
      <c r="G4114"/>
      <c r="H4114"/>
      <c r="I4114"/>
      <c r="J4114"/>
    </row>
    <row r="4115" spans="6:10">
      <c r="F4115"/>
      <c r="G4115"/>
      <c r="H4115"/>
      <c r="I4115"/>
      <c r="J4115"/>
    </row>
    <row r="4116" spans="6:10">
      <c r="F4116"/>
      <c r="G4116"/>
      <c r="H4116"/>
      <c r="I4116"/>
      <c r="J4116"/>
    </row>
    <row r="4117" spans="6:10">
      <c r="F4117"/>
      <c r="G4117"/>
      <c r="H4117"/>
      <c r="I4117"/>
      <c r="J4117"/>
    </row>
    <row r="4118" spans="6:10">
      <c r="F4118"/>
      <c r="G4118"/>
      <c r="H4118"/>
      <c r="I4118"/>
      <c r="J4118"/>
    </row>
    <row r="4119" spans="6:10">
      <c r="F4119"/>
      <c r="G4119"/>
      <c r="H4119"/>
      <c r="I4119"/>
      <c r="J4119"/>
    </row>
    <row r="4120" spans="6:10">
      <c r="F4120"/>
      <c r="G4120"/>
      <c r="H4120"/>
      <c r="I4120"/>
      <c r="J4120"/>
    </row>
    <row r="4121" spans="6:10">
      <c r="F4121"/>
      <c r="G4121"/>
      <c r="H4121"/>
      <c r="I4121"/>
      <c r="J4121"/>
    </row>
    <row r="4122" spans="6:10">
      <c r="F4122"/>
      <c r="G4122"/>
      <c r="H4122"/>
      <c r="I4122"/>
      <c r="J4122"/>
    </row>
    <row r="4123" spans="6:10">
      <c r="F4123"/>
      <c r="G4123"/>
      <c r="H4123"/>
      <c r="I4123"/>
      <c r="J4123"/>
    </row>
    <row r="4124" spans="6:10">
      <c r="F4124"/>
      <c r="G4124"/>
      <c r="H4124"/>
      <c r="I4124"/>
      <c r="J4124"/>
    </row>
    <row r="4125" spans="6:10">
      <c r="F4125"/>
      <c r="G4125"/>
      <c r="H4125"/>
      <c r="I4125"/>
      <c r="J4125"/>
    </row>
    <row r="4126" spans="6:10">
      <c r="F4126"/>
      <c r="G4126"/>
      <c r="H4126"/>
      <c r="I4126"/>
      <c r="J4126"/>
    </row>
    <row r="4127" spans="6:10">
      <c r="F4127"/>
      <c r="G4127"/>
      <c r="H4127"/>
      <c r="I4127"/>
      <c r="J4127"/>
    </row>
    <row r="4128" spans="6:10">
      <c r="F4128"/>
      <c r="G4128"/>
      <c r="H4128"/>
      <c r="I4128"/>
      <c r="J4128"/>
    </row>
    <row r="4129" spans="6:10">
      <c r="F4129"/>
      <c r="G4129"/>
      <c r="H4129"/>
      <c r="I4129"/>
      <c r="J4129"/>
    </row>
    <row r="4130" spans="6:10">
      <c r="F4130"/>
      <c r="G4130"/>
      <c r="H4130"/>
      <c r="I4130"/>
      <c r="J4130"/>
    </row>
    <row r="4131" spans="6:10">
      <c r="F4131"/>
      <c r="G4131"/>
      <c r="H4131"/>
      <c r="I4131"/>
      <c r="J4131"/>
    </row>
    <row r="4132" spans="6:10">
      <c r="F4132"/>
      <c r="G4132"/>
      <c r="H4132"/>
      <c r="I4132"/>
      <c r="J4132"/>
    </row>
    <row r="4133" spans="6:10">
      <c r="F4133"/>
      <c r="G4133"/>
      <c r="H4133"/>
      <c r="I4133"/>
      <c r="J4133"/>
    </row>
    <row r="4134" spans="6:10">
      <c r="F4134"/>
      <c r="G4134"/>
      <c r="H4134"/>
      <c r="I4134"/>
      <c r="J4134"/>
    </row>
    <row r="4135" spans="6:10">
      <c r="F4135"/>
      <c r="G4135"/>
      <c r="H4135"/>
      <c r="I4135"/>
      <c r="J4135"/>
    </row>
    <row r="4136" spans="6:10">
      <c r="F4136"/>
      <c r="G4136"/>
      <c r="H4136"/>
      <c r="I4136"/>
      <c r="J4136"/>
    </row>
    <row r="4137" spans="6:10">
      <c r="F4137"/>
      <c r="G4137"/>
      <c r="H4137"/>
      <c r="I4137"/>
      <c r="J4137"/>
    </row>
    <row r="4138" spans="6:10">
      <c r="F4138"/>
      <c r="G4138"/>
      <c r="H4138"/>
      <c r="I4138"/>
      <c r="J4138"/>
    </row>
    <row r="4139" spans="6:10">
      <c r="F4139"/>
      <c r="G4139"/>
      <c r="H4139"/>
      <c r="I4139"/>
      <c r="J4139"/>
    </row>
    <row r="4140" spans="6:10">
      <c r="F4140"/>
      <c r="G4140"/>
      <c r="H4140"/>
      <c r="I4140"/>
      <c r="J4140"/>
    </row>
    <row r="4141" spans="6:10">
      <c r="F4141"/>
      <c r="G4141"/>
      <c r="H4141"/>
      <c r="I4141"/>
      <c r="J4141"/>
    </row>
    <row r="4142" spans="6:10">
      <c r="F4142"/>
      <c r="G4142"/>
      <c r="H4142"/>
      <c r="I4142"/>
      <c r="J4142"/>
    </row>
    <row r="4143" spans="6:10">
      <c r="F4143"/>
      <c r="G4143"/>
      <c r="H4143"/>
      <c r="I4143"/>
      <c r="J4143"/>
    </row>
    <row r="4144" spans="6:10">
      <c r="F4144"/>
      <c r="G4144"/>
      <c r="H4144"/>
      <c r="I4144"/>
      <c r="J4144"/>
    </row>
    <row r="4145" spans="6:10">
      <c r="F4145"/>
      <c r="G4145"/>
      <c r="H4145"/>
      <c r="I4145"/>
      <c r="J4145"/>
    </row>
    <row r="4146" spans="6:10">
      <c r="F4146"/>
      <c r="G4146"/>
      <c r="H4146"/>
      <c r="I4146"/>
      <c r="J4146"/>
    </row>
    <row r="4147" spans="6:10">
      <c r="F4147"/>
      <c r="G4147"/>
      <c r="H4147"/>
      <c r="I4147"/>
      <c r="J4147"/>
    </row>
    <row r="4148" spans="6:10">
      <c r="F4148"/>
      <c r="G4148"/>
      <c r="H4148"/>
      <c r="I4148"/>
      <c r="J4148"/>
    </row>
    <row r="4149" spans="6:10">
      <c r="F4149"/>
      <c r="G4149"/>
      <c r="H4149"/>
      <c r="I4149"/>
      <c r="J4149"/>
    </row>
    <row r="4150" spans="6:10">
      <c r="F4150"/>
      <c r="G4150"/>
      <c r="H4150"/>
      <c r="I4150"/>
      <c r="J4150"/>
    </row>
    <row r="4151" spans="6:10">
      <c r="F4151"/>
      <c r="G4151"/>
      <c r="H4151"/>
      <c r="I4151"/>
      <c r="J4151"/>
    </row>
    <row r="4152" spans="6:10">
      <c r="F4152"/>
      <c r="G4152"/>
      <c r="H4152"/>
      <c r="I4152"/>
      <c r="J4152"/>
    </row>
    <row r="4153" spans="6:10">
      <c r="F4153"/>
      <c r="G4153"/>
      <c r="H4153"/>
      <c r="I4153"/>
      <c r="J4153"/>
    </row>
    <row r="4154" spans="6:10">
      <c r="F4154"/>
      <c r="G4154"/>
      <c r="H4154"/>
      <c r="I4154"/>
      <c r="J4154"/>
    </row>
    <row r="4155" spans="6:10">
      <c r="F4155"/>
      <c r="G4155"/>
      <c r="H4155"/>
      <c r="I4155"/>
      <c r="J4155"/>
    </row>
    <row r="4156" spans="6:10">
      <c r="F4156"/>
      <c r="G4156"/>
      <c r="H4156"/>
      <c r="I4156"/>
      <c r="J4156"/>
    </row>
    <row r="4157" spans="6:10">
      <c r="F4157"/>
      <c r="G4157"/>
      <c r="H4157"/>
      <c r="I4157"/>
      <c r="J4157"/>
    </row>
    <row r="4158" spans="6:10">
      <c r="F4158"/>
      <c r="G4158"/>
      <c r="H4158"/>
      <c r="I4158"/>
      <c r="J4158"/>
    </row>
    <row r="4159" spans="6:10">
      <c r="F4159"/>
      <c r="G4159"/>
      <c r="H4159"/>
      <c r="I4159"/>
      <c r="J4159"/>
    </row>
    <row r="4160" spans="6:10">
      <c r="F4160"/>
      <c r="G4160"/>
      <c r="H4160"/>
      <c r="I4160"/>
      <c r="J4160"/>
    </row>
    <row r="4161" spans="6:10">
      <c r="F4161"/>
      <c r="G4161"/>
      <c r="H4161"/>
      <c r="I4161"/>
      <c r="J4161"/>
    </row>
    <row r="4162" spans="6:10">
      <c r="F4162"/>
      <c r="G4162"/>
      <c r="H4162"/>
      <c r="I4162"/>
      <c r="J4162"/>
    </row>
    <row r="4163" spans="6:10">
      <c r="F4163"/>
      <c r="G4163"/>
      <c r="H4163"/>
      <c r="I4163"/>
      <c r="J4163"/>
    </row>
    <row r="4164" spans="6:10">
      <c r="F4164"/>
      <c r="G4164"/>
      <c r="H4164"/>
      <c r="I4164"/>
      <c r="J4164"/>
    </row>
    <row r="4165" spans="6:10">
      <c r="F4165"/>
      <c r="G4165"/>
      <c r="H4165"/>
      <c r="I4165"/>
      <c r="J4165"/>
    </row>
    <row r="4166" spans="6:10">
      <c r="F4166"/>
      <c r="G4166"/>
      <c r="H4166"/>
      <c r="I4166"/>
      <c r="J4166"/>
    </row>
    <row r="4167" spans="6:10">
      <c r="F4167"/>
      <c r="G4167"/>
      <c r="H4167"/>
      <c r="I4167"/>
      <c r="J4167"/>
    </row>
    <row r="4168" spans="6:10">
      <c r="F4168"/>
      <c r="G4168"/>
      <c r="H4168"/>
      <c r="I4168"/>
      <c r="J4168"/>
    </row>
    <row r="4169" spans="6:10">
      <c r="F4169"/>
      <c r="G4169"/>
      <c r="H4169"/>
      <c r="I4169"/>
      <c r="J4169"/>
    </row>
    <row r="4170" spans="6:10">
      <c r="F4170"/>
      <c r="G4170"/>
      <c r="H4170"/>
      <c r="I4170"/>
      <c r="J4170"/>
    </row>
    <row r="4171" spans="6:10">
      <c r="F4171"/>
      <c r="G4171"/>
      <c r="H4171"/>
      <c r="I4171"/>
      <c r="J4171"/>
    </row>
    <row r="4172" spans="6:10">
      <c r="F4172"/>
      <c r="G4172"/>
      <c r="H4172"/>
      <c r="I4172"/>
      <c r="J4172"/>
    </row>
    <row r="4173" spans="6:10">
      <c r="F4173"/>
      <c r="G4173"/>
      <c r="H4173"/>
      <c r="I4173"/>
      <c r="J4173"/>
    </row>
    <row r="4174" spans="6:10">
      <c r="F4174"/>
      <c r="G4174"/>
      <c r="H4174"/>
      <c r="I4174"/>
      <c r="J4174"/>
    </row>
    <row r="4175" spans="6:10">
      <c r="F4175"/>
      <c r="G4175"/>
      <c r="H4175"/>
      <c r="I4175"/>
      <c r="J4175"/>
    </row>
    <row r="4176" spans="6:10">
      <c r="F4176"/>
      <c r="G4176"/>
      <c r="H4176"/>
      <c r="I4176"/>
      <c r="J4176"/>
    </row>
    <row r="4177" spans="6:10">
      <c r="F4177"/>
      <c r="G4177"/>
      <c r="H4177"/>
      <c r="I4177"/>
      <c r="J4177"/>
    </row>
    <row r="4178" spans="6:10">
      <c r="F4178"/>
      <c r="G4178"/>
      <c r="H4178"/>
      <c r="I4178"/>
      <c r="J4178"/>
    </row>
    <row r="4179" spans="6:10">
      <c r="F4179"/>
      <c r="G4179"/>
      <c r="H4179"/>
      <c r="I4179"/>
      <c r="J4179"/>
    </row>
    <row r="4180" spans="6:10">
      <c r="F4180"/>
      <c r="G4180"/>
      <c r="H4180"/>
      <c r="I4180"/>
      <c r="J4180"/>
    </row>
    <row r="4181" spans="6:10">
      <c r="F4181"/>
      <c r="G4181"/>
      <c r="H4181"/>
      <c r="I4181"/>
      <c r="J4181"/>
    </row>
    <row r="4182" spans="6:10">
      <c r="F4182"/>
      <c r="G4182"/>
      <c r="H4182"/>
      <c r="I4182"/>
      <c r="J4182"/>
    </row>
    <row r="4183" spans="6:10">
      <c r="F4183"/>
      <c r="G4183"/>
      <c r="H4183"/>
      <c r="I4183"/>
      <c r="J4183"/>
    </row>
    <row r="4184" spans="6:10">
      <c r="F4184"/>
      <c r="G4184"/>
      <c r="H4184"/>
      <c r="I4184"/>
      <c r="J4184"/>
    </row>
    <row r="4185" spans="6:10">
      <c r="F4185"/>
      <c r="G4185"/>
      <c r="H4185"/>
      <c r="I4185"/>
      <c r="J4185"/>
    </row>
    <row r="4186" spans="6:10">
      <c r="F4186"/>
      <c r="G4186"/>
      <c r="H4186"/>
      <c r="I4186"/>
      <c r="J4186"/>
    </row>
    <row r="4187" spans="6:10">
      <c r="F4187"/>
      <c r="G4187"/>
      <c r="H4187"/>
      <c r="I4187"/>
      <c r="J4187"/>
    </row>
    <row r="4188" spans="6:10">
      <c r="F4188"/>
      <c r="G4188"/>
      <c r="H4188"/>
      <c r="I4188"/>
      <c r="J4188"/>
    </row>
    <row r="4189" spans="6:10">
      <c r="F4189"/>
      <c r="G4189"/>
      <c r="H4189"/>
      <c r="I4189"/>
      <c r="J4189"/>
    </row>
    <row r="4190" spans="6:10">
      <c r="F4190"/>
      <c r="G4190"/>
      <c r="H4190"/>
      <c r="I4190"/>
      <c r="J4190"/>
    </row>
    <row r="4191" spans="6:10">
      <c r="F4191"/>
      <c r="G4191"/>
      <c r="H4191"/>
      <c r="I4191"/>
      <c r="J4191"/>
    </row>
    <row r="4192" spans="6:10">
      <c r="F4192"/>
      <c r="G4192"/>
      <c r="H4192"/>
      <c r="I4192"/>
      <c r="J4192"/>
    </row>
    <row r="4193" spans="6:10">
      <c r="F4193"/>
      <c r="G4193"/>
      <c r="H4193"/>
      <c r="I4193"/>
      <c r="J4193"/>
    </row>
    <row r="4194" spans="6:10">
      <c r="F4194"/>
      <c r="G4194"/>
      <c r="H4194"/>
      <c r="I4194"/>
      <c r="J4194"/>
    </row>
    <row r="4195" spans="6:10">
      <c r="F4195"/>
      <c r="G4195"/>
      <c r="H4195"/>
      <c r="I4195"/>
      <c r="J4195"/>
    </row>
    <row r="4196" spans="6:10">
      <c r="F4196"/>
      <c r="G4196"/>
      <c r="H4196"/>
      <c r="I4196"/>
      <c r="J4196"/>
    </row>
    <row r="4197" spans="6:10">
      <c r="F4197"/>
      <c r="G4197"/>
      <c r="H4197"/>
      <c r="I4197"/>
      <c r="J4197"/>
    </row>
    <row r="4198" spans="6:10">
      <c r="F4198"/>
      <c r="G4198"/>
      <c r="H4198"/>
      <c r="I4198"/>
      <c r="J4198"/>
    </row>
    <row r="4199" spans="6:10">
      <c r="F4199"/>
      <c r="G4199"/>
      <c r="H4199"/>
      <c r="I4199"/>
      <c r="J4199"/>
    </row>
    <row r="4200" spans="6:10">
      <c r="F4200"/>
      <c r="G4200"/>
      <c r="H4200"/>
      <c r="I4200"/>
      <c r="J4200"/>
    </row>
    <row r="4201" spans="6:10">
      <c r="F4201"/>
      <c r="G4201"/>
      <c r="H4201"/>
      <c r="I4201"/>
      <c r="J4201"/>
    </row>
    <row r="4202" spans="6:10">
      <c r="F4202"/>
      <c r="G4202"/>
      <c r="H4202"/>
      <c r="I4202"/>
      <c r="J4202"/>
    </row>
    <row r="4203" spans="6:10">
      <c r="F4203"/>
      <c r="G4203"/>
      <c r="H4203"/>
      <c r="I4203"/>
      <c r="J4203"/>
    </row>
    <row r="4204" spans="6:10">
      <c r="F4204"/>
      <c r="G4204"/>
      <c r="H4204"/>
      <c r="I4204"/>
      <c r="J4204"/>
    </row>
    <row r="4205" spans="6:10">
      <c r="F4205"/>
      <c r="G4205"/>
      <c r="H4205"/>
      <c r="I4205"/>
      <c r="J4205"/>
    </row>
    <row r="4206" spans="6:10">
      <c r="F4206"/>
      <c r="G4206"/>
      <c r="H4206"/>
      <c r="I4206"/>
      <c r="J4206"/>
    </row>
    <row r="4207" spans="6:10">
      <c r="F4207"/>
      <c r="G4207"/>
      <c r="H4207"/>
      <c r="I4207"/>
      <c r="J4207"/>
    </row>
    <row r="4208" spans="6:10">
      <c r="F4208"/>
      <c r="G4208"/>
      <c r="H4208"/>
      <c r="I4208"/>
      <c r="J4208"/>
    </row>
    <row r="4209" spans="6:10">
      <c r="F4209"/>
      <c r="G4209"/>
      <c r="H4209"/>
      <c r="I4209"/>
      <c r="J4209"/>
    </row>
    <row r="4210" spans="6:10">
      <c r="F4210"/>
      <c r="G4210"/>
      <c r="H4210"/>
      <c r="I4210"/>
      <c r="J4210"/>
    </row>
    <row r="4211" spans="6:10">
      <c r="F4211"/>
      <c r="G4211"/>
      <c r="H4211"/>
      <c r="I4211"/>
      <c r="J4211"/>
    </row>
    <row r="4212" spans="6:10">
      <c r="F4212"/>
      <c r="G4212"/>
      <c r="H4212"/>
      <c r="I4212"/>
      <c r="J4212"/>
    </row>
    <row r="4213" spans="6:10">
      <c r="F4213"/>
      <c r="G4213"/>
      <c r="H4213"/>
      <c r="I4213"/>
      <c r="J4213"/>
    </row>
    <row r="4214" spans="6:10">
      <c r="F4214"/>
      <c r="G4214"/>
      <c r="H4214"/>
      <c r="I4214"/>
      <c r="J4214"/>
    </row>
    <row r="4215" spans="6:10">
      <c r="F4215"/>
      <c r="G4215"/>
      <c r="H4215"/>
      <c r="I4215"/>
      <c r="J4215"/>
    </row>
    <row r="4216" spans="6:10">
      <c r="F4216"/>
      <c r="G4216"/>
      <c r="H4216"/>
      <c r="I4216"/>
      <c r="J4216"/>
    </row>
    <row r="4217" spans="6:10">
      <c r="F4217"/>
      <c r="G4217"/>
      <c r="H4217"/>
      <c r="I4217"/>
      <c r="J4217"/>
    </row>
    <row r="4218" spans="6:10">
      <c r="F4218"/>
      <c r="G4218"/>
      <c r="H4218"/>
      <c r="I4218"/>
      <c r="J4218"/>
    </row>
    <row r="4219" spans="6:10">
      <c r="F4219"/>
      <c r="G4219"/>
      <c r="H4219"/>
      <c r="I4219"/>
      <c r="J4219"/>
    </row>
    <row r="4220" spans="6:10">
      <c r="F4220"/>
      <c r="G4220"/>
      <c r="H4220"/>
      <c r="I4220"/>
      <c r="J4220"/>
    </row>
    <row r="4221" spans="6:10">
      <c r="F4221"/>
      <c r="G4221"/>
      <c r="H4221"/>
      <c r="I4221"/>
      <c r="J4221"/>
    </row>
    <row r="4222" spans="6:10">
      <c r="F4222"/>
      <c r="G4222"/>
      <c r="H4222"/>
      <c r="I4222"/>
      <c r="J4222"/>
    </row>
    <row r="4223" spans="6:10">
      <c r="F4223"/>
      <c r="G4223"/>
      <c r="H4223"/>
      <c r="I4223"/>
      <c r="J4223"/>
    </row>
    <row r="4224" spans="6:10">
      <c r="F4224"/>
      <c r="G4224"/>
      <c r="H4224"/>
      <c r="I4224"/>
      <c r="J4224"/>
    </row>
    <row r="4225" spans="6:10">
      <c r="F4225"/>
      <c r="G4225"/>
      <c r="H4225"/>
      <c r="I4225"/>
      <c r="J4225"/>
    </row>
    <row r="4226" spans="6:10">
      <c r="F4226"/>
      <c r="G4226"/>
      <c r="H4226"/>
      <c r="I4226"/>
      <c r="J4226"/>
    </row>
    <row r="4227" spans="6:10">
      <c r="F4227"/>
      <c r="G4227"/>
      <c r="H4227"/>
      <c r="I4227"/>
      <c r="J4227"/>
    </row>
    <row r="4228" spans="6:10">
      <c r="F4228"/>
      <c r="G4228"/>
      <c r="H4228"/>
      <c r="I4228"/>
      <c r="J4228"/>
    </row>
    <row r="4229" spans="6:10">
      <c r="F4229"/>
      <c r="G4229"/>
      <c r="H4229"/>
      <c r="I4229"/>
      <c r="J4229"/>
    </row>
    <row r="4230" spans="6:10">
      <c r="F4230"/>
      <c r="G4230"/>
      <c r="H4230"/>
      <c r="I4230"/>
      <c r="J4230"/>
    </row>
    <row r="4231" spans="6:10">
      <c r="F4231"/>
      <c r="G4231"/>
      <c r="H4231"/>
      <c r="I4231"/>
      <c r="J4231"/>
    </row>
    <row r="4232" spans="6:10">
      <c r="F4232"/>
      <c r="G4232"/>
      <c r="H4232"/>
      <c r="I4232"/>
      <c r="J4232"/>
    </row>
    <row r="4233" spans="6:10">
      <c r="F4233"/>
      <c r="G4233"/>
      <c r="H4233"/>
      <c r="I4233"/>
      <c r="J4233"/>
    </row>
    <row r="4234" spans="6:10">
      <c r="F4234"/>
      <c r="G4234"/>
      <c r="H4234"/>
      <c r="I4234"/>
      <c r="J4234"/>
    </row>
    <row r="4235" spans="6:10">
      <c r="F4235"/>
      <c r="G4235"/>
      <c r="H4235"/>
      <c r="I4235"/>
      <c r="J4235"/>
    </row>
    <row r="4236" spans="6:10">
      <c r="F4236"/>
      <c r="G4236"/>
      <c r="H4236"/>
      <c r="I4236"/>
      <c r="J4236"/>
    </row>
    <row r="4237" spans="6:10">
      <c r="F4237"/>
      <c r="G4237"/>
      <c r="H4237"/>
      <c r="I4237"/>
      <c r="J4237"/>
    </row>
    <row r="4238" spans="6:10">
      <c r="F4238"/>
      <c r="G4238"/>
      <c r="H4238"/>
      <c r="I4238"/>
      <c r="J4238"/>
    </row>
    <row r="4239" spans="6:10">
      <c r="F4239"/>
      <c r="G4239"/>
      <c r="H4239"/>
      <c r="I4239"/>
      <c r="J4239"/>
    </row>
    <row r="4240" spans="6:10">
      <c r="F4240"/>
      <c r="G4240"/>
      <c r="H4240"/>
      <c r="I4240"/>
      <c r="J4240"/>
    </row>
    <row r="4241" spans="6:10">
      <c r="F4241"/>
      <c r="G4241"/>
      <c r="H4241"/>
      <c r="I4241"/>
      <c r="J4241"/>
    </row>
    <row r="4242" spans="6:10">
      <c r="F4242"/>
      <c r="G4242"/>
      <c r="H4242"/>
      <c r="I4242"/>
      <c r="J4242"/>
    </row>
    <row r="4243" spans="6:10">
      <c r="F4243"/>
      <c r="G4243"/>
      <c r="H4243"/>
      <c r="I4243"/>
      <c r="J4243"/>
    </row>
    <row r="4244" spans="6:10">
      <c r="F4244"/>
      <c r="G4244"/>
      <c r="H4244"/>
      <c r="I4244"/>
      <c r="J4244"/>
    </row>
    <row r="4245" spans="6:10">
      <c r="F4245"/>
      <c r="G4245"/>
      <c r="H4245"/>
      <c r="I4245"/>
      <c r="J4245"/>
    </row>
    <row r="4246" spans="6:10">
      <c r="F4246"/>
      <c r="G4246"/>
      <c r="H4246"/>
      <c r="I4246"/>
      <c r="J4246"/>
    </row>
    <row r="4247" spans="6:10">
      <c r="F4247"/>
      <c r="G4247"/>
      <c r="H4247"/>
      <c r="I4247"/>
      <c r="J4247"/>
    </row>
    <row r="4248" spans="6:10">
      <c r="F4248"/>
      <c r="G4248"/>
      <c r="H4248"/>
      <c r="I4248"/>
      <c r="J4248"/>
    </row>
    <row r="4249" spans="6:10">
      <c r="F4249"/>
      <c r="G4249"/>
      <c r="H4249"/>
      <c r="I4249"/>
      <c r="J4249"/>
    </row>
    <row r="4250" spans="6:10">
      <c r="F4250"/>
      <c r="G4250"/>
      <c r="H4250"/>
      <c r="I4250"/>
      <c r="J4250"/>
    </row>
    <row r="4251" spans="6:10">
      <c r="F4251"/>
      <c r="G4251"/>
      <c r="H4251"/>
      <c r="I4251"/>
      <c r="J4251"/>
    </row>
    <row r="4252" spans="6:10">
      <c r="F4252"/>
      <c r="G4252"/>
      <c r="H4252"/>
      <c r="I4252"/>
      <c r="J4252"/>
    </row>
    <row r="4253" spans="6:10">
      <c r="F4253"/>
      <c r="G4253"/>
      <c r="H4253"/>
      <c r="I4253"/>
      <c r="J4253"/>
    </row>
    <row r="4254" spans="6:10">
      <c r="F4254"/>
      <c r="G4254"/>
      <c r="H4254"/>
      <c r="I4254"/>
      <c r="J4254"/>
    </row>
    <row r="4255" spans="6:10">
      <c r="F4255"/>
      <c r="G4255"/>
      <c r="H4255"/>
      <c r="I4255"/>
      <c r="J4255"/>
    </row>
    <row r="4256" spans="6:10">
      <c r="F4256"/>
      <c r="G4256"/>
      <c r="H4256"/>
      <c r="I4256"/>
      <c r="J4256"/>
    </row>
    <row r="4257" spans="6:10">
      <c r="F4257"/>
      <c r="G4257"/>
      <c r="H4257"/>
      <c r="I4257"/>
      <c r="J4257"/>
    </row>
    <row r="4258" spans="6:10">
      <c r="F4258"/>
      <c r="G4258"/>
      <c r="H4258"/>
      <c r="I4258"/>
      <c r="J4258"/>
    </row>
    <row r="4259" spans="6:10">
      <c r="F4259"/>
      <c r="G4259"/>
      <c r="H4259"/>
      <c r="I4259"/>
      <c r="J4259"/>
    </row>
    <row r="4260" spans="6:10">
      <c r="F4260"/>
      <c r="G4260"/>
      <c r="H4260"/>
      <c r="I4260"/>
      <c r="J4260"/>
    </row>
    <row r="4261" spans="6:10">
      <c r="F4261"/>
      <c r="G4261"/>
      <c r="H4261"/>
      <c r="I4261"/>
      <c r="J4261"/>
    </row>
    <row r="4262" spans="6:10">
      <c r="F4262"/>
      <c r="G4262"/>
      <c r="H4262"/>
      <c r="I4262"/>
      <c r="J4262"/>
    </row>
    <row r="4263" spans="6:10">
      <c r="F4263"/>
      <c r="G4263"/>
      <c r="H4263"/>
      <c r="I4263"/>
      <c r="J4263"/>
    </row>
    <row r="4264" spans="6:10">
      <c r="F4264"/>
      <c r="G4264"/>
      <c r="H4264"/>
      <c r="I4264"/>
      <c r="J4264"/>
    </row>
    <row r="4265" spans="6:10">
      <c r="F4265"/>
      <c r="G4265"/>
      <c r="H4265"/>
      <c r="I4265"/>
      <c r="J4265"/>
    </row>
    <row r="4266" spans="6:10">
      <c r="F4266"/>
      <c r="G4266"/>
      <c r="H4266"/>
      <c r="I4266"/>
      <c r="J4266"/>
    </row>
    <row r="4267" spans="6:10">
      <c r="F4267"/>
      <c r="G4267"/>
      <c r="H4267"/>
      <c r="I4267"/>
      <c r="J4267"/>
    </row>
    <row r="4268" spans="6:10">
      <c r="F4268"/>
      <c r="G4268"/>
      <c r="H4268"/>
      <c r="I4268"/>
      <c r="J4268"/>
    </row>
    <row r="4269" spans="6:10">
      <c r="F4269"/>
      <c r="G4269"/>
      <c r="H4269"/>
      <c r="I4269"/>
      <c r="J4269"/>
    </row>
    <row r="4270" spans="6:10">
      <c r="F4270"/>
      <c r="G4270"/>
      <c r="H4270"/>
      <c r="I4270"/>
      <c r="J4270"/>
    </row>
    <row r="4271" spans="6:10">
      <c r="F4271"/>
      <c r="G4271"/>
      <c r="H4271"/>
      <c r="I4271"/>
      <c r="J4271"/>
    </row>
    <row r="4272" spans="6:10">
      <c r="F4272"/>
      <c r="G4272"/>
      <c r="H4272"/>
      <c r="I4272"/>
      <c r="J4272"/>
    </row>
    <row r="4273" spans="6:10">
      <c r="F4273"/>
      <c r="G4273"/>
      <c r="H4273"/>
      <c r="I4273"/>
      <c r="J4273"/>
    </row>
    <row r="4274" spans="6:10">
      <c r="F4274"/>
      <c r="G4274"/>
      <c r="H4274"/>
      <c r="I4274"/>
      <c r="J4274"/>
    </row>
    <row r="4275" spans="6:10">
      <c r="F4275"/>
      <c r="G4275"/>
      <c r="H4275"/>
      <c r="I4275"/>
      <c r="J4275"/>
    </row>
    <row r="4276" spans="6:10">
      <c r="F4276"/>
      <c r="G4276"/>
      <c r="H4276"/>
      <c r="I4276"/>
      <c r="J4276"/>
    </row>
    <row r="4277" spans="6:10">
      <c r="F4277"/>
      <c r="G4277"/>
      <c r="H4277"/>
      <c r="I4277"/>
      <c r="J4277"/>
    </row>
    <row r="4278" spans="6:10">
      <c r="F4278"/>
      <c r="G4278"/>
      <c r="H4278"/>
      <c r="I4278"/>
      <c r="J4278"/>
    </row>
    <row r="4279" spans="6:10">
      <c r="F4279"/>
      <c r="G4279"/>
      <c r="H4279"/>
      <c r="I4279"/>
      <c r="J4279"/>
    </row>
    <row r="4280" spans="6:10">
      <c r="F4280"/>
      <c r="G4280"/>
      <c r="H4280"/>
      <c r="I4280"/>
      <c r="J4280"/>
    </row>
    <row r="4281" spans="6:10">
      <c r="F4281"/>
      <c r="G4281"/>
      <c r="H4281"/>
      <c r="I4281"/>
      <c r="J4281"/>
    </row>
    <row r="4282" spans="6:10">
      <c r="F4282"/>
      <c r="G4282"/>
      <c r="H4282"/>
      <c r="I4282"/>
      <c r="J4282"/>
    </row>
    <row r="4283" spans="6:10">
      <c r="F4283"/>
      <c r="G4283"/>
      <c r="H4283"/>
      <c r="I4283"/>
      <c r="J4283"/>
    </row>
    <row r="4284" spans="6:10">
      <c r="F4284"/>
      <c r="G4284"/>
      <c r="H4284"/>
      <c r="I4284"/>
      <c r="J4284"/>
    </row>
    <row r="4285" spans="6:10">
      <c r="F4285"/>
      <c r="G4285"/>
      <c r="H4285"/>
      <c r="I4285"/>
      <c r="J4285"/>
    </row>
    <row r="4286" spans="6:10">
      <c r="F4286"/>
      <c r="G4286"/>
      <c r="H4286"/>
      <c r="I4286"/>
      <c r="J4286"/>
    </row>
    <row r="4287" spans="6:10">
      <c r="F4287"/>
      <c r="G4287"/>
      <c r="H4287"/>
      <c r="I4287"/>
      <c r="J4287"/>
    </row>
    <row r="4288" spans="6:10">
      <c r="F4288"/>
      <c r="G4288"/>
      <c r="H4288"/>
      <c r="I4288"/>
      <c r="J4288"/>
    </row>
    <row r="4289" spans="6:10">
      <c r="F4289"/>
      <c r="G4289"/>
      <c r="H4289"/>
      <c r="I4289"/>
      <c r="J4289"/>
    </row>
    <row r="4290" spans="6:10">
      <c r="F4290"/>
      <c r="G4290"/>
      <c r="H4290"/>
      <c r="I4290"/>
      <c r="J4290"/>
    </row>
    <row r="4291" spans="6:10">
      <c r="F4291"/>
      <c r="G4291"/>
      <c r="H4291"/>
      <c r="I4291"/>
      <c r="J4291"/>
    </row>
    <row r="4292" spans="6:10">
      <c r="F4292"/>
      <c r="G4292"/>
      <c r="H4292"/>
      <c r="I4292"/>
      <c r="J4292"/>
    </row>
    <row r="4293" spans="6:10">
      <c r="F4293"/>
      <c r="G4293"/>
      <c r="H4293"/>
      <c r="I4293"/>
      <c r="J4293"/>
    </row>
    <row r="4294" spans="6:10">
      <c r="F4294"/>
      <c r="G4294"/>
      <c r="H4294"/>
      <c r="I4294"/>
      <c r="J4294"/>
    </row>
    <row r="4295" spans="6:10">
      <c r="F4295"/>
      <c r="G4295"/>
      <c r="H4295"/>
      <c r="I4295"/>
      <c r="J4295"/>
    </row>
    <row r="4296" spans="6:10">
      <c r="F4296"/>
      <c r="G4296"/>
      <c r="H4296"/>
      <c r="I4296"/>
      <c r="J4296"/>
    </row>
    <row r="4297" spans="6:10">
      <c r="F4297"/>
      <c r="G4297"/>
      <c r="H4297"/>
      <c r="I4297"/>
      <c r="J4297"/>
    </row>
    <row r="4298" spans="6:10">
      <c r="F4298"/>
      <c r="G4298"/>
      <c r="H4298"/>
      <c r="I4298"/>
      <c r="J4298"/>
    </row>
    <row r="4299" spans="6:10">
      <c r="F4299"/>
      <c r="G4299"/>
      <c r="H4299"/>
      <c r="I4299"/>
      <c r="J4299"/>
    </row>
    <row r="4300" spans="6:10">
      <c r="F4300"/>
      <c r="G4300"/>
      <c r="H4300"/>
      <c r="I4300"/>
      <c r="J4300"/>
    </row>
    <row r="4301" spans="6:10">
      <c r="F4301"/>
      <c r="G4301"/>
      <c r="H4301"/>
      <c r="I4301"/>
      <c r="J4301"/>
    </row>
    <row r="4302" spans="6:10">
      <c r="F4302"/>
      <c r="G4302"/>
      <c r="H4302"/>
      <c r="I4302"/>
      <c r="J4302"/>
    </row>
    <row r="4303" spans="6:10">
      <c r="F4303"/>
      <c r="G4303"/>
      <c r="H4303"/>
      <c r="I4303"/>
      <c r="J4303"/>
    </row>
    <row r="4304" spans="6:10">
      <c r="F4304"/>
      <c r="G4304"/>
      <c r="H4304"/>
      <c r="I4304"/>
      <c r="J4304"/>
    </row>
    <row r="4305" spans="6:10">
      <c r="F4305"/>
      <c r="G4305"/>
      <c r="H4305"/>
      <c r="I4305"/>
      <c r="J4305"/>
    </row>
    <row r="4306" spans="6:10">
      <c r="F4306"/>
      <c r="G4306"/>
      <c r="H4306"/>
      <c r="I4306"/>
      <c r="J4306"/>
    </row>
    <row r="4307" spans="6:10">
      <c r="F4307"/>
      <c r="G4307"/>
      <c r="H4307"/>
      <c r="I4307"/>
      <c r="J4307"/>
    </row>
    <row r="4308" spans="6:10">
      <c r="F4308"/>
      <c r="G4308"/>
      <c r="H4308"/>
      <c r="I4308"/>
      <c r="J4308"/>
    </row>
    <row r="4309" spans="6:10">
      <c r="F4309"/>
      <c r="G4309"/>
      <c r="H4309"/>
      <c r="I4309"/>
      <c r="J4309"/>
    </row>
    <row r="4310" spans="6:10">
      <c r="F4310"/>
      <c r="G4310"/>
      <c r="H4310"/>
      <c r="I4310"/>
      <c r="J4310"/>
    </row>
    <row r="4311" spans="6:10">
      <c r="F4311"/>
      <c r="G4311"/>
      <c r="H4311"/>
      <c r="I4311"/>
      <c r="J4311"/>
    </row>
    <row r="4312" spans="6:10">
      <c r="F4312"/>
      <c r="G4312"/>
      <c r="H4312"/>
      <c r="I4312"/>
      <c r="J4312"/>
    </row>
    <row r="4313" spans="6:10">
      <c r="F4313"/>
      <c r="G4313"/>
      <c r="H4313"/>
      <c r="I4313"/>
      <c r="J4313"/>
    </row>
    <row r="4314" spans="6:10">
      <c r="F4314"/>
      <c r="G4314"/>
      <c r="H4314"/>
      <c r="I4314"/>
      <c r="J4314"/>
    </row>
    <row r="4315" spans="6:10">
      <c r="F4315"/>
      <c r="G4315"/>
      <c r="H4315"/>
      <c r="I4315"/>
      <c r="J4315"/>
    </row>
    <row r="4316" spans="6:10">
      <c r="F4316"/>
      <c r="G4316"/>
      <c r="H4316"/>
      <c r="I4316"/>
      <c r="J4316"/>
    </row>
    <row r="4317" spans="6:10">
      <c r="F4317"/>
      <c r="G4317"/>
      <c r="H4317"/>
      <c r="I4317"/>
      <c r="J4317"/>
    </row>
    <row r="4318" spans="6:10">
      <c r="F4318"/>
      <c r="G4318"/>
      <c r="H4318"/>
      <c r="I4318"/>
      <c r="J4318"/>
    </row>
    <row r="4319" spans="6:10">
      <c r="F4319"/>
      <c r="G4319"/>
      <c r="H4319"/>
      <c r="I4319"/>
      <c r="J4319"/>
    </row>
    <row r="4320" spans="6:10">
      <c r="F4320"/>
      <c r="G4320"/>
      <c r="H4320"/>
      <c r="I4320"/>
      <c r="J4320"/>
    </row>
    <row r="4321" spans="6:10">
      <c r="F4321"/>
      <c r="G4321"/>
      <c r="H4321"/>
      <c r="I4321"/>
      <c r="J4321"/>
    </row>
    <row r="4322" spans="6:10">
      <c r="F4322"/>
      <c r="G4322"/>
      <c r="H4322"/>
      <c r="I4322"/>
      <c r="J4322"/>
    </row>
    <row r="4323" spans="6:10">
      <c r="F4323"/>
      <c r="G4323"/>
      <c r="H4323"/>
      <c r="I4323"/>
      <c r="J4323"/>
    </row>
    <row r="4324" spans="6:10">
      <c r="F4324"/>
      <c r="G4324"/>
      <c r="H4324"/>
      <c r="I4324"/>
      <c r="J4324"/>
    </row>
    <row r="4325" spans="6:10">
      <c r="F4325"/>
      <c r="G4325"/>
      <c r="H4325"/>
      <c r="I4325"/>
      <c r="J4325"/>
    </row>
    <row r="4326" spans="6:10">
      <c r="F4326"/>
      <c r="G4326"/>
      <c r="H4326"/>
      <c r="I4326"/>
      <c r="J4326"/>
    </row>
    <row r="4327" spans="6:10">
      <c r="F4327"/>
      <c r="G4327"/>
      <c r="H4327"/>
      <c r="I4327"/>
      <c r="J4327"/>
    </row>
    <row r="4328" spans="6:10">
      <c r="F4328"/>
      <c r="G4328"/>
      <c r="H4328"/>
      <c r="I4328"/>
      <c r="J4328"/>
    </row>
    <row r="4329" spans="6:10">
      <c r="F4329"/>
      <c r="G4329"/>
      <c r="H4329"/>
      <c r="I4329"/>
      <c r="J4329"/>
    </row>
    <row r="4330" spans="6:10">
      <c r="F4330"/>
      <c r="G4330"/>
      <c r="H4330"/>
      <c r="I4330"/>
      <c r="J4330"/>
    </row>
    <row r="4331" spans="6:10">
      <c r="F4331"/>
      <c r="G4331"/>
      <c r="H4331"/>
      <c r="I4331"/>
      <c r="J4331"/>
    </row>
    <row r="4332" spans="6:10">
      <c r="F4332"/>
      <c r="G4332"/>
      <c r="H4332"/>
      <c r="I4332"/>
      <c r="J4332"/>
    </row>
    <row r="4333" spans="6:10">
      <c r="F4333"/>
      <c r="G4333"/>
      <c r="H4333"/>
      <c r="I4333"/>
      <c r="J4333"/>
    </row>
    <row r="4334" spans="6:10">
      <c r="F4334"/>
      <c r="G4334"/>
      <c r="H4334"/>
      <c r="I4334"/>
      <c r="J4334"/>
    </row>
    <row r="4335" spans="6:10">
      <c r="F4335"/>
      <c r="G4335"/>
      <c r="H4335"/>
      <c r="I4335"/>
      <c r="J4335"/>
    </row>
    <row r="4336" spans="6:10">
      <c r="F4336"/>
      <c r="G4336"/>
      <c r="H4336"/>
      <c r="I4336"/>
      <c r="J4336"/>
    </row>
    <row r="4337" spans="6:10">
      <c r="F4337"/>
      <c r="G4337"/>
      <c r="H4337"/>
      <c r="I4337"/>
      <c r="J4337"/>
    </row>
    <row r="4338" spans="6:10">
      <c r="F4338"/>
      <c r="G4338"/>
      <c r="H4338"/>
      <c r="I4338"/>
      <c r="J4338"/>
    </row>
    <row r="4339" spans="6:10">
      <c r="F4339"/>
      <c r="G4339"/>
      <c r="H4339"/>
      <c r="I4339"/>
      <c r="J4339"/>
    </row>
    <row r="4340" spans="6:10">
      <c r="F4340"/>
      <c r="G4340"/>
      <c r="H4340"/>
      <c r="I4340"/>
      <c r="J4340"/>
    </row>
    <row r="4341" spans="6:10">
      <c r="F4341"/>
      <c r="G4341"/>
      <c r="H4341"/>
      <c r="I4341"/>
      <c r="J4341"/>
    </row>
    <row r="4342" spans="6:10">
      <c r="F4342"/>
      <c r="G4342"/>
      <c r="H4342"/>
      <c r="I4342"/>
      <c r="J4342"/>
    </row>
    <row r="4343" spans="6:10">
      <c r="F4343"/>
      <c r="G4343"/>
      <c r="H4343"/>
      <c r="I4343"/>
      <c r="J4343"/>
    </row>
    <row r="4344" spans="6:10">
      <c r="F4344"/>
      <c r="G4344"/>
      <c r="H4344"/>
      <c r="I4344"/>
      <c r="J4344"/>
    </row>
    <row r="4345" spans="6:10">
      <c r="F4345"/>
      <c r="G4345"/>
      <c r="H4345"/>
      <c r="I4345"/>
      <c r="J4345"/>
    </row>
    <row r="4346" spans="6:10">
      <c r="F4346"/>
      <c r="G4346"/>
      <c r="H4346"/>
      <c r="I4346"/>
      <c r="J4346"/>
    </row>
    <row r="4347" spans="6:10">
      <c r="F4347"/>
      <c r="G4347"/>
      <c r="H4347"/>
      <c r="I4347"/>
      <c r="J4347"/>
    </row>
    <row r="4348" spans="6:10">
      <c r="F4348"/>
      <c r="G4348"/>
      <c r="H4348"/>
      <c r="I4348"/>
      <c r="J4348"/>
    </row>
    <row r="4349" spans="6:10">
      <c r="F4349"/>
      <c r="G4349"/>
      <c r="H4349"/>
      <c r="I4349"/>
      <c r="J4349"/>
    </row>
    <row r="4350" spans="6:10">
      <c r="F4350"/>
      <c r="G4350"/>
      <c r="H4350"/>
      <c r="I4350"/>
      <c r="J4350"/>
    </row>
    <row r="4351" spans="6:10">
      <c r="F4351"/>
      <c r="G4351"/>
      <c r="H4351"/>
      <c r="I4351"/>
      <c r="J4351"/>
    </row>
    <row r="4352" spans="6:10">
      <c r="F4352"/>
      <c r="G4352"/>
      <c r="H4352"/>
      <c r="I4352"/>
      <c r="J4352"/>
    </row>
    <row r="4353" spans="6:10">
      <c r="F4353"/>
      <c r="G4353"/>
      <c r="H4353"/>
      <c r="I4353"/>
      <c r="J4353"/>
    </row>
    <row r="4354" spans="6:10">
      <c r="F4354"/>
      <c r="G4354"/>
      <c r="H4354"/>
      <c r="I4354"/>
      <c r="J4354"/>
    </row>
    <row r="4355" spans="6:10">
      <c r="F4355"/>
      <c r="G4355"/>
      <c r="H4355"/>
      <c r="I4355"/>
      <c r="J4355"/>
    </row>
    <row r="4356" spans="6:10">
      <c r="F4356"/>
      <c r="G4356"/>
      <c r="H4356"/>
      <c r="I4356"/>
      <c r="J4356"/>
    </row>
    <row r="4357" spans="6:10">
      <c r="F4357"/>
      <c r="G4357"/>
      <c r="H4357"/>
      <c r="I4357"/>
      <c r="J4357"/>
    </row>
    <row r="4358" spans="6:10">
      <c r="F4358"/>
      <c r="G4358"/>
      <c r="H4358"/>
      <c r="I4358"/>
      <c r="J4358"/>
    </row>
    <row r="4359" spans="6:10">
      <c r="F4359"/>
      <c r="G4359"/>
      <c r="H4359"/>
      <c r="I4359"/>
      <c r="J4359"/>
    </row>
    <row r="4360" spans="6:10">
      <c r="F4360"/>
      <c r="G4360"/>
      <c r="H4360"/>
      <c r="I4360"/>
      <c r="J4360"/>
    </row>
    <row r="4361" spans="6:10">
      <c r="F4361"/>
      <c r="G4361"/>
      <c r="H4361"/>
      <c r="I4361"/>
      <c r="J4361"/>
    </row>
    <row r="4362" spans="6:10">
      <c r="F4362"/>
      <c r="G4362"/>
      <c r="H4362"/>
      <c r="I4362"/>
      <c r="J4362"/>
    </row>
    <row r="4363" spans="6:10">
      <c r="F4363"/>
      <c r="G4363"/>
      <c r="H4363"/>
      <c r="I4363"/>
      <c r="J4363"/>
    </row>
    <row r="4364" spans="6:10">
      <c r="F4364"/>
      <c r="G4364"/>
      <c r="H4364"/>
      <c r="I4364"/>
      <c r="J4364"/>
    </row>
    <row r="4365" spans="6:10">
      <c r="F4365"/>
      <c r="G4365"/>
      <c r="H4365"/>
      <c r="I4365"/>
      <c r="J4365"/>
    </row>
    <row r="4366" spans="6:10">
      <c r="F4366"/>
      <c r="G4366"/>
      <c r="H4366"/>
      <c r="I4366"/>
      <c r="J4366"/>
    </row>
    <row r="4367" spans="6:10">
      <c r="F4367"/>
      <c r="G4367"/>
      <c r="H4367"/>
      <c r="I4367"/>
      <c r="J4367"/>
    </row>
    <row r="4368" spans="6:10">
      <c r="F4368"/>
      <c r="G4368"/>
      <c r="H4368"/>
      <c r="I4368"/>
      <c r="J4368"/>
    </row>
    <row r="4369" spans="6:10">
      <c r="F4369"/>
      <c r="G4369"/>
      <c r="H4369"/>
      <c r="I4369"/>
      <c r="J4369"/>
    </row>
    <row r="4370" spans="6:10">
      <c r="F4370"/>
      <c r="G4370"/>
      <c r="H4370"/>
      <c r="I4370"/>
      <c r="J4370"/>
    </row>
    <row r="4371" spans="6:10">
      <c r="F4371"/>
      <c r="G4371"/>
      <c r="H4371"/>
      <c r="I4371"/>
      <c r="J4371"/>
    </row>
    <row r="4372" spans="6:10">
      <c r="F4372"/>
      <c r="G4372"/>
      <c r="H4372"/>
      <c r="I4372"/>
      <c r="J4372"/>
    </row>
    <row r="4373" spans="6:10">
      <c r="F4373"/>
      <c r="G4373"/>
      <c r="H4373"/>
      <c r="I4373"/>
      <c r="J4373"/>
    </row>
    <row r="4374" spans="6:10">
      <c r="F4374"/>
      <c r="G4374"/>
      <c r="H4374"/>
      <c r="I4374"/>
      <c r="J4374"/>
    </row>
    <row r="4375" spans="6:10">
      <c r="F4375"/>
      <c r="G4375"/>
      <c r="H4375"/>
      <c r="I4375"/>
      <c r="J4375"/>
    </row>
    <row r="4376" spans="6:10">
      <c r="F4376"/>
      <c r="G4376"/>
      <c r="H4376"/>
      <c r="I4376"/>
      <c r="J4376"/>
    </row>
    <row r="4377" spans="6:10">
      <c r="F4377"/>
      <c r="G4377"/>
      <c r="H4377"/>
      <c r="I4377"/>
      <c r="J4377"/>
    </row>
    <row r="4378" spans="6:10">
      <c r="F4378"/>
      <c r="G4378"/>
      <c r="H4378"/>
      <c r="I4378"/>
      <c r="J4378"/>
    </row>
    <row r="4379" spans="6:10">
      <c r="F4379"/>
      <c r="G4379"/>
      <c r="H4379"/>
      <c r="I4379"/>
      <c r="J4379"/>
    </row>
    <row r="4380" spans="6:10">
      <c r="F4380"/>
      <c r="G4380"/>
      <c r="H4380"/>
      <c r="I4380"/>
      <c r="J4380"/>
    </row>
    <row r="4381" spans="6:10">
      <c r="F4381"/>
      <c r="G4381"/>
      <c r="H4381"/>
      <c r="I4381"/>
      <c r="J4381"/>
    </row>
    <row r="4382" spans="6:10">
      <c r="F4382"/>
      <c r="G4382"/>
      <c r="H4382"/>
      <c r="I4382"/>
      <c r="J4382"/>
    </row>
    <row r="4383" spans="6:10">
      <c r="F4383"/>
      <c r="G4383"/>
      <c r="H4383"/>
      <c r="I4383"/>
      <c r="J4383"/>
    </row>
    <row r="4384" spans="6:10">
      <c r="F4384"/>
      <c r="G4384"/>
      <c r="H4384"/>
      <c r="I4384"/>
      <c r="J4384"/>
    </row>
    <row r="4385" spans="6:10">
      <c r="F4385"/>
      <c r="G4385"/>
      <c r="H4385"/>
      <c r="I4385"/>
      <c r="J4385"/>
    </row>
    <row r="4386" spans="6:10">
      <c r="F4386"/>
      <c r="G4386"/>
      <c r="H4386"/>
      <c r="I4386"/>
      <c r="J4386"/>
    </row>
    <row r="4387" spans="6:10">
      <c r="F4387"/>
      <c r="G4387"/>
      <c r="H4387"/>
      <c r="I4387"/>
      <c r="J4387"/>
    </row>
    <row r="4388" spans="6:10">
      <c r="F4388"/>
      <c r="G4388"/>
      <c r="H4388"/>
      <c r="I4388"/>
      <c r="J4388"/>
    </row>
    <row r="4389" spans="6:10">
      <c r="F4389"/>
      <c r="G4389"/>
      <c r="H4389"/>
      <c r="I4389"/>
      <c r="J4389"/>
    </row>
    <row r="4390" spans="6:10">
      <c r="F4390"/>
      <c r="G4390"/>
      <c r="H4390"/>
      <c r="I4390"/>
      <c r="J4390"/>
    </row>
    <row r="4391" spans="6:10">
      <c r="F4391"/>
      <c r="G4391"/>
      <c r="H4391"/>
      <c r="I4391"/>
      <c r="J4391"/>
    </row>
    <row r="4392" spans="6:10">
      <c r="F4392"/>
      <c r="G4392"/>
      <c r="H4392"/>
      <c r="I4392"/>
      <c r="J4392"/>
    </row>
    <row r="4393" spans="6:10">
      <c r="F4393"/>
      <c r="G4393"/>
      <c r="H4393"/>
      <c r="I4393"/>
      <c r="J4393"/>
    </row>
    <row r="4394" spans="6:10">
      <c r="F4394"/>
      <c r="G4394"/>
      <c r="H4394"/>
      <c r="I4394"/>
      <c r="J4394"/>
    </row>
    <row r="4395" spans="6:10">
      <c r="F4395"/>
      <c r="G4395"/>
      <c r="H4395"/>
      <c r="I4395"/>
      <c r="J4395"/>
    </row>
    <row r="4396" spans="6:10">
      <c r="F4396"/>
      <c r="G4396"/>
      <c r="H4396"/>
      <c r="I4396"/>
      <c r="J4396"/>
    </row>
    <row r="4397" spans="6:10">
      <c r="F4397"/>
      <c r="G4397"/>
      <c r="H4397"/>
      <c r="I4397"/>
      <c r="J4397"/>
    </row>
    <row r="4398" spans="6:10">
      <c r="F4398"/>
      <c r="G4398"/>
      <c r="H4398"/>
      <c r="I4398"/>
      <c r="J4398"/>
    </row>
    <row r="4399" spans="6:10">
      <c r="F4399"/>
      <c r="G4399"/>
      <c r="H4399"/>
      <c r="I4399"/>
      <c r="J4399"/>
    </row>
    <row r="4400" spans="6:10">
      <c r="F4400"/>
      <c r="G4400"/>
      <c r="H4400"/>
      <c r="I4400"/>
      <c r="J4400"/>
    </row>
    <row r="4401" spans="6:10">
      <c r="F4401"/>
      <c r="G4401"/>
      <c r="H4401"/>
      <c r="I4401"/>
      <c r="J4401"/>
    </row>
    <row r="4402" spans="6:10">
      <c r="F4402"/>
      <c r="G4402"/>
      <c r="H4402"/>
      <c r="I4402"/>
      <c r="J4402"/>
    </row>
    <row r="4403" spans="6:10">
      <c r="F4403"/>
      <c r="G4403"/>
      <c r="H4403"/>
      <c r="I4403"/>
      <c r="J4403"/>
    </row>
    <row r="4404" spans="6:10">
      <c r="F4404"/>
      <c r="G4404"/>
      <c r="H4404"/>
      <c r="I4404"/>
      <c r="J4404"/>
    </row>
    <row r="4405" spans="6:10">
      <c r="F4405"/>
      <c r="G4405"/>
      <c r="H4405"/>
      <c r="I4405"/>
      <c r="J4405"/>
    </row>
    <row r="4406" spans="6:10">
      <c r="F4406"/>
      <c r="G4406"/>
      <c r="H4406"/>
      <c r="I4406"/>
      <c r="J4406"/>
    </row>
    <row r="4407" spans="6:10">
      <c r="F4407"/>
      <c r="G4407"/>
      <c r="H4407"/>
      <c r="I4407"/>
      <c r="J4407"/>
    </row>
    <row r="4408" spans="6:10">
      <c r="F4408"/>
      <c r="G4408"/>
      <c r="H4408"/>
      <c r="I4408"/>
      <c r="J4408"/>
    </row>
    <row r="4409" spans="6:10">
      <c r="F4409"/>
      <c r="G4409"/>
      <c r="H4409"/>
      <c r="I4409"/>
      <c r="J4409"/>
    </row>
    <row r="4410" spans="6:10">
      <c r="F4410"/>
      <c r="G4410"/>
      <c r="H4410"/>
      <c r="I4410"/>
      <c r="J4410"/>
    </row>
    <row r="4411" spans="6:10">
      <c r="F4411"/>
      <c r="G4411"/>
      <c r="H4411"/>
      <c r="I4411"/>
      <c r="J4411"/>
    </row>
    <row r="4412" spans="6:10">
      <c r="F4412"/>
      <c r="G4412"/>
      <c r="H4412"/>
      <c r="I4412"/>
      <c r="J4412"/>
    </row>
    <row r="4413" spans="6:10">
      <c r="F4413"/>
      <c r="G4413"/>
      <c r="H4413"/>
      <c r="I4413"/>
      <c r="J4413"/>
    </row>
    <row r="4414" spans="6:10">
      <c r="F4414"/>
      <c r="G4414"/>
      <c r="H4414"/>
      <c r="I4414"/>
      <c r="J4414"/>
    </row>
    <row r="4415" spans="6:10">
      <c r="F4415"/>
      <c r="G4415"/>
      <c r="H4415"/>
      <c r="I4415"/>
      <c r="J4415"/>
    </row>
    <row r="4416" spans="6:10">
      <c r="F4416"/>
      <c r="G4416"/>
      <c r="H4416"/>
      <c r="I4416"/>
      <c r="J4416"/>
    </row>
    <row r="4417" spans="6:10">
      <c r="F4417"/>
      <c r="G4417"/>
      <c r="H4417"/>
      <c r="I4417"/>
      <c r="J4417"/>
    </row>
    <row r="4418" spans="6:10">
      <c r="F4418"/>
      <c r="G4418"/>
      <c r="H4418"/>
      <c r="I4418"/>
      <c r="J4418"/>
    </row>
    <row r="4419" spans="6:10">
      <c r="F4419"/>
      <c r="G4419"/>
      <c r="H4419"/>
      <c r="I4419"/>
      <c r="J4419"/>
    </row>
    <row r="4420" spans="6:10">
      <c r="F4420"/>
      <c r="G4420"/>
      <c r="H4420"/>
      <c r="I4420"/>
      <c r="J4420"/>
    </row>
    <row r="4421" spans="6:10">
      <c r="F4421"/>
      <c r="G4421"/>
      <c r="H4421"/>
      <c r="I4421"/>
      <c r="J4421"/>
    </row>
    <row r="4422" spans="6:10">
      <c r="F4422"/>
      <c r="G4422"/>
      <c r="H4422"/>
      <c r="I4422"/>
      <c r="J4422"/>
    </row>
    <row r="4423" spans="6:10">
      <c r="F4423"/>
      <c r="G4423"/>
      <c r="H4423"/>
      <c r="I4423"/>
      <c r="J4423"/>
    </row>
    <row r="4424" spans="6:10">
      <c r="F4424"/>
      <c r="G4424"/>
      <c r="H4424"/>
      <c r="I4424"/>
      <c r="J4424"/>
    </row>
    <row r="4425" spans="6:10">
      <c r="F4425"/>
      <c r="G4425"/>
      <c r="H4425"/>
      <c r="I4425"/>
      <c r="J4425"/>
    </row>
    <row r="4426" spans="6:10">
      <c r="F4426"/>
      <c r="G4426"/>
      <c r="H4426"/>
      <c r="I4426"/>
      <c r="J4426"/>
    </row>
    <row r="4427" spans="6:10">
      <c r="F4427"/>
      <c r="G4427"/>
      <c r="H4427"/>
      <c r="I4427"/>
      <c r="J4427"/>
    </row>
    <row r="4428" spans="6:10">
      <c r="F4428"/>
      <c r="G4428"/>
      <c r="H4428"/>
      <c r="I4428"/>
      <c r="J4428"/>
    </row>
    <row r="4429" spans="6:10">
      <c r="F4429"/>
      <c r="G4429"/>
      <c r="H4429"/>
      <c r="I4429"/>
      <c r="J4429"/>
    </row>
    <row r="4430" spans="6:10">
      <c r="F4430"/>
      <c r="G4430"/>
      <c r="H4430"/>
      <c r="I4430"/>
      <c r="J4430"/>
    </row>
    <row r="4431" spans="6:10">
      <c r="F4431"/>
      <c r="G4431"/>
      <c r="H4431"/>
      <c r="I4431"/>
      <c r="J4431"/>
    </row>
    <row r="4432" spans="6:10">
      <c r="F4432"/>
      <c r="G4432"/>
      <c r="H4432"/>
      <c r="I4432"/>
      <c r="J4432"/>
    </row>
    <row r="4433" spans="6:10">
      <c r="F4433"/>
      <c r="G4433"/>
      <c r="H4433"/>
      <c r="I4433"/>
      <c r="J4433"/>
    </row>
    <row r="4434" spans="6:10">
      <c r="F4434"/>
      <c r="G4434"/>
      <c r="H4434"/>
      <c r="I4434"/>
      <c r="J4434"/>
    </row>
    <row r="4435" spans="6:10">
      <c r="F4435"/>
      <c r="G4435"/>
      <c r="H4435"/>
      <c r="I4435"/>
      <c r="J4435"/>
    </row>
    <row r="4436" spans="6:10">
      <c r="F4436"/>
      <c r="G4436"/>
      <c r="H4436"/>
      <c r="I4436"/>
      <c r="J4436"/>
    </row>
    <row r="4437" spans="6:10">
      <c r="F4437"/>
      <c r="G4437"/>
      <c r="H4437"/>
      <c r="I4437"/>
      <c r="J4437"/>
    </row>
    <row r="4438" spans="6:10">
      <c r="F4438"/>
      <c r="G4438"/>
      <c r="H4438"/>
      <c r="I4438"/>
      <c r="J4438"/>
    </row>
    <row r="4439" spans="6:10">
      <c r="F4439"/>
      <c r="G4439"/>
      <c r="H4439"/>
      <c r="I4439"/>
      <c r="J4439"/>
    </row>
    <row r="4440" spans="6:10">
      <c r="F4440"/>
      <c r="G4440"/>
      <c r="H4440"/>
      <c r="I4440"/>
      <c r="J4440"/>
    </row>
    <row r="4441" spans="6:10">
      <c r="F4441"/>
      <c r="G4441"/>
      <c r="H4441"/>
      <c r="I4441"/>
      <c r="J4441"/>
    </row>
    <row r="4442" spans="6:10">
      <c r="F4442"/>
      <c r="G4442"/>
      <c r="H4442"/>
      <c r="I4442"/>
      <c r="J4442"/>
    </row>
    <row r="4443" spans="6:10">
      <c r="F4443"/>
      <c r="G4443"/>
      <c r="H4443"/>
      <c r="I4443"/>
      <c r="J4443"/>
    </row>
    <row r="4444" spans="6:10">
      <c r="F4444"/>
      <c r="G4444"/>
      <c r="H4444"/>
      <c r="I4444"/>
      <c r="J4444"/>
    </row>
    <row r="4445" spans="6:10">
      <c r="F4445"/>
      <c r="G4445"/>
      <c r="H4445"/>
      <c r="I4445"/>
      <c r="J4445"/>
    </row>
    <row r="4446" spans="6:10">
      <c r="F4446"/>
      <c r="G4446"/>
      <c r="H4446"/>
      <c r="I4446"/>
      <c r="J4446"/>
    </row>
    <row r="4447" spans="6:10">
      <c r="F4447"/>
      <c r="G4447"/>
      <c r="H4447"/>
      <c r="I4447"/>
      <c r="J4447"/>
    </row>
    <row r="4448" spans="6:10">
      <c r="F4448"/>
      <c r="G4448"/>
      <c r="H4448"/>
      <c r="I4448"/>
      <c r="J4448"/>
    </row>
    <row r="4449" spans="6:10">
      <c r="F4449"/>
      <c r="G4449"/>
      <c r="H4449"/>
      <c r="I4449"/>
      <c r="J4449"/>
    </row>
    <row r="4450" spans="6:10">
      <c r="F4450"/>
      <c r="G4450"/>
      <c r="H4450"/>
      <c r="I4450"/>
      <c r="J4450"/>
    </row>
    <row r="4451" spans="6:10">
      <c r="F4451"/>
      <c r="G4451"/>
      <c r="H4451"/>
      <c r="I4451"/>
      <c r="J4451"/>
    </row>
    <row r="4452" spans="6:10">
      <c r="F4452"/>
      <c r="G4452"/>
      <c r="H4452"/>
      <c r="I4452"/>
      <c r="J4452"/>
    </row>
    <row r="4453" spans="6:10">
      <c r="F4453"/>
      <c r="G4453"/>
      <c r="H4453"/>
      <c r="I4453"/>
      <c r="J4453"/>
    </row>
    <row r="4454" spans="6:10">
      <c r="F4454"/>
      <c r="G4454"/>
      <c r="H4454"/>
      <c r="I4454"/>
      <c r="J4454"/>
    </row>
    <row r="4455" spans="6:10">
      <c r="F4455"/>
      <c r="G4455"/>
      <c r="H4455"/>
      <c r="I4455"/>
      <c r="J4455"/>
    </row>
    <row r="4456" spans="6:10">
      <c r="F4456"/>
      <c r="G4456"/>
      <c r="H4456"/>
      <c r="I4456"/>
      <c r="J4456"/>
    </row>
    <row r="4457" spans="6:10">
      <c r="F4457"/>
      <c r="G4457"/>
      <c r="H4457"/>
      <c r="I4457"/>
      <c r="J4457"/>
    </row>
    <row r="4458" spans="6:10">
      <c r="F4458"/>
      <c r="G4458"/>
      <c r="H4458"/>
      <c r="I4458"/>
      <c r="J4458"/>
    </row>
    <row r="4459" spans="6:10">
      <c r="F4459"/>
      <c r="G4459"/>
      <c r="H4459"/>
      <c r="I4459"/>
      <c r="J4459"/>
    </row>
    <row r="4460" spans="6:10">
      <c r="F4460"/>
      <c r="G4460"/>
      <c r="H4460"/>
      <c r="I4460"/>
      <c r="J4460"/>
    </row>
    <row r="4461" spans="6:10">
      <c r="F4461"/>
      <c r="G4461"/>
      <c r="H4461"/>
      <c r="I4461"/>
      <c r="J4461"/>
    </row>
    <row r="4462" spans="6:10">
      <c r="F4462"/>
      <c r="G4462"/>
      <c r="H4462"/>
      <c r="I4462"/>
      <c r="J4462"/>
    </row>
    <row r="4463" spans="6:10">
      <c r="F4463"/>
      <c r="G4463"/>
      <c r="H4463"/>
      <c r="I4463"/>
      <c r="J4463"/>
    </row>
    <row r="4464" spans="6:10">
      <c r="F4464"/>
      <c r="G4464"/>
      <c r="H4464"/>
      <c r="I4464"/>
      <c r="J4464"/>
    </row>
    <row r="4465" spans="6:10">
      <c r="F4465"/>
      <c r="G4465"/>
      <c r="H4465"/>
      <c r="I4465"/>
      <c r="J4465"/>
    </row>
    <row r="4466" spans="6:10">
      <c r="F4466"/>
      <c r="G4466"/>
      <c r="H4466"/>
      <c r="I4466"/>
      <c r="J4466"/>
    </row>
    <row r="4467" spans="6:10">
      <c r="F4467"/>
      <c r="G4467"/>
      <c r="H4467"/>
      <c r="I4467"/>
      <c r="J4467"/>
    </row>
    <row r="4468" spans="6:10">
      <c r="F4468"/>
      <c r="G4468"/>
      <c r="H4468"/>
      <c r="I4468"/>
      <c r="J4468"/>
    </row>
    <row r="4469" spans="6:10">
      <c r="F4469"/>
      <c r="G4469"/>
      <c r="H4469"/>
      <c r="I4469"/>
      <c r="J4469"/>
    </row>
    <row r="4470" spans="6:10">
      <c r="F4470"/>
      <c r="G4470"/>
      <c r="H4470"/>
      <c r="I4470"/>
      <c r="J4470"/>
    </row>
    <row r="4471" spans="6:10">
      <c r="F4471"/>
      <c r="G4471"/>
      <c r="H4471"/>
      <c r="I4471"/>
      <c r="J4471"/>
    </row>
    <row r="4472" spans="6:10">
      <c r="F4472"/>
      <c r="G4472"/>
      <c r="H4472"/>
      <c r="I4472"/>
      <c r="J4472"/>
    </row>
    <row r="4473" spans="6:10">
      <c r="F4473"/>
      <c r="G4473"/>
      <c r="H4473"/>
      <c r="I4473"/>
      <c r="J4473"/>
    </row>
    <row r="4474" spans="6:10">
      <c r="F4474"/>
      <c r="G4474"/>
      <c r="H4474"/>
      <c r="I4474"/>
      <c r="J4474"/>
    </row>
    <row r="4475" spans="6:10">
      <c r="F4475"/>
      <c r="G4475"/>
      <c r="H4475"/>
      <c r="I4475"/>
      <c r="J4475"/>
    </row>
    <row r="4476" spans="6:10">
      <c r="F4476"/>
      <c r="G4476"/>
      <c r="H4476"/>
      <c r="I4476"/>
      <c r="J4476"/>
    </row>
    <row r="4477" spans="6:10">
      <c r="F4477"/>
      <c r="G4477"/>
      <c r="H4477"/>
      <c r="I4477"/>
      <c r="J4477"/>
    </row>
    <row r="4478" spans="6:10">
      <c r="F4478"/>
      <c r="G4478"/>
      <c r="H4478"/>
      <c r="I4478"/>
      <c r="J4478"/>
    </row>
    <row r="4479" spans="6:10">
      <c r="F4479"/>
      <c r="G4479"/>
      <c r="H4479"/>
      <c r="I4479"/>
      <c r="J4479"/>
    </row>
    <row r="4480" spans="6:10">
      <c r="F4480"/>
      <c r="G4480"/>
      <c r="H4480"/>
      <c r="I4480"/>
      <c r="J4480"/>
    </row>
    <row r="4481" spans="6:10">
      <c r="F4481"/>
      <c r="G4481"/>
      <c r="H4481"/>
      <c r="I4481"/>
      <c r="J4481"/>
    </row>
    <row r="4482" spans="6:10">
      <c r="F4482"/>
      <c r="G4482"/>
      <c r="H4482"/>
      <c r="I4482"/>
      <c r="J4482"/>
    </row>
    <row r="4483" spans="6:10">
      <c r="F4483"/>
      <c r="G4483"/>
      <c r="H4483"/>
      <c r="I4483"/>
      <c r="J4483"/>
    </row>
    <row r="4484" spans="6:10">
      <c r="F4484"/>
      <c r="G4484"/>
      <c r="H4484"/>
      <c r="I4484"/>
      <c r="J4484"/>
    </row>
    <row r="4485" spans="6:10">
      <c r="F4485"/>
      <c r="G4485"/>
      <c r="H4485"/>
      <c r="I4485"/>
      <c r="J4485"/>
    </row>
    <row r="4486" spans="6:10">
      <c r="F4486"/>
      <c r="G4486"/>
      <c r="H4486"/>
      <c r="I4486"/>
      <c r="J4486"/>
    </row>
    <row r="4487" spans="6:10">
      <c r="F4487"/>
      <c r="G4487"/>
      <c r="H4487"/>
      <c r="I4487"/>
      <c r="J4487"/>
    </row>
    <row r="4488" spans="6:10">
      <c r="F4488"/>
      <c r="G4488"/>
      <c r="H4488"/>
      <c r="I4488"/>
      <c r="J4488"/>
    </row>
    <row r="4489" spans="6:10">
      <c r="F4489"/>
      <c r="G4489"/>
      <c r="H4489"/>
      <c r="I4489"/>
      <c r="J4489"/>
    </row>
    <row r="4490" spans="6:10">
      <c r="F4490"/>
      <c r="G4490"/>
      <c r="H4490"/>
      <c r="I4490"/>
      <c r="J4490"/>
    </row>
    <row r="4491" spans="6:10">
      <c r="F4491"/>
      <c r="G4491"/>
      <c r="H4491"/>
      <c r="I4491"/>
      <c r="J4491"/>
    </row>
    <row r="4492" spans="6:10">
      <c r="F4492"/>
      <c r="G4492"/>
      <c r="H4492"/>
      <c r="I4492"/>
      <c r="J4492"/>
    </row>
    <row r="4493" spans="6:10">
      <c r="F4493"/>
      <c r="G4493"/>
      <c r="H4493"/>
      <c r="I4493"/>
      <c r="J4493"/>
    </row>
    <row r="4494" spans="6:10">
      <c r="F4494"/>
      <c r="G4494"/>
      <c r="H4494"/>
      <c r="I4494"/>
      <c r="J4494"/>
    </row>
    <row r="4495" spans="6:10">
      <c r="F4495"/>
      <c r="G4495"/>
      <c r="H4495"/>
      <c r="I4495"/>
      <c r="J4495"/>
    </row>
    <row r="4496" spans="6:10">
      <c r="F4496"/>
      <c r="G4496"/>
      <c r="H4496"/>
      <c r="I4496"/>
      <c r="J4496"/>
    </row>
    <row r="4497" spans="6:10">
      <c r="F4497"/>
      <c r="G4497"/>
      <c r="H4497"/>
      <c r="I4497"/>
      <c r="J4497"/>
    </row>
    <row r="4498" spans="6:10">
      <c r="F4498"/>
      <c r="G4498"/>
      <c r="H4498"/>
      <c r="I4498"/>
      <c r="J4498"/>
    </row>
    <row r="4499" spans="6:10">
      <c r="F4499"/>
      <c r="G4499"/>
      <c r="H4499"/>
      <c r="I4499"/>
      <c r="J4499"/>
    </row>
    <row r="4500" spans="6:10">
      <c r="F4500"/>
      <c r="G4500"/>
      <c r="H4500"/>
      <c r="I4500"/>
      <c r="J4500"/>
    </row>
    <row r="4501" spans="6:10">
      <c r="F4501"/>
      <c r="G4501"/>
      <c r="H4501"/>
      <c r="I4501"/>
      <c r="J4501"/>
    </row>
    <row r="4502" spans="6:10">
      <c r="F4502"/>
      <c r="G4502"/>
      <c r="H4502"/>
      <c r="I4502"/>
      <c r="J4502"/>
    </row>
    <row r="4503" spans="6:10">
      <c r="F4503"/>
      <c r="G4503"/>
      <c r="H4503"/>
      <c r="I4503"/>
      <c r="J4503"/>
    </row>
    <row r="4504" spans="6:10">
      <c r="F4504"/>
      <c r="G4504"/>
      <c r="H4504"/>
      <c r="I4504"/>
      <c r="J4504"/>
    </row>
    <row r="4505" spans="6:10">
      <c r="F4505"/>
      <c r="G4505"/>
      <c r="H4505"/>
      <c r="I4505"/>
      <c r="J4505"/>
    </row>
    <row r="4506" spans="6:10">
      <c r="F4506"/>
      <c r="G4506"/>
      <c r="H4506"/>
      <c r="I4506"/>
      <c r="J4506"/>
    </row>
    <row r="4507" spans="6:10">
      <c r="F4507"/>
      <c r="G4507"/>
      <c r="H4507"/>
      <c r="I4507"/>
      <c r="J4507"/>
    </row>
    <row r="4508" spans="6:10">
      <c r="F4508"/>
      <c r="G4508"/>
      <c r="H4508"/>
      <c r="I4508"/>
      <c r="J4508"/>
    </row>
    <row r="4509" spans="6:10">
      <c r="F4509"/>
      <c r="G4509"/>
      <c r="H4509"/>
      <c r="I4509"/>
      <c r="J4509"/>
    </row>
    <row r="4510" spans="6:10">
      <c r="F4510"/>
      <c r="G4510"/>
      <c r="H4510"/>
      <c r="I4510"/>
      <c r="J4510"/>
    </row>
    <row r="4511" spans="6:10">
      <c r="F4511"/>
      <c r="G4511"/>
      <c r="H4511"/>
      <c r="I4511"/>
      <c r="J4511"/>
    </row>
    <row r="4512" spans="6:10">
      <c r="F4512"/>
      <c r="G4512"/>
      <c r="H4512"/>
      <c r="I4512"/>
      <c r="J4512"/>
    </row>
    <row r="4513" spans="6:10">
      <c r="F4513"/>
      <c r="G4513"/>
      <c r="H4513"/>
      <c r="I4513"/>
      <c r="J4513"/>
    </row>
    <row r="4514" spans="6:10">
      <c r="F4514"/>
      <c r="G4514"/>
      <c r="H4514"/>
      <c r="I4514"/>
      <c r="J4514"/>
    </row>
    <row r="4515" spans="6:10">
      <c r="F4515"/>
      <c r="G4515"/>
      <c r="H4515"/>
      <c r="I4515"/>
      <c r="J4515"/>
    </row>
    <row r="4516" spans="6:10">
      <c r="F4516"/>
      <c r="G4516"/>
      <c r="H4516"/>
      <c r="I4516"/>
      <c r="J4516"/>
    </row>
    <row r="4517" spans="6:10">
      <c r="F4517"/>
      <c r="G4517"/>
      <c r="H4517"/>
      <c r="I4517"/>
      <c r="J4517"/>
    </row>
    <row r="4518" spans="6:10">
      <c r="F4518"/>
      <c r="G4518"/>
      <c r="H4518"/>
      <c r="I4518"/>
      <c r="J4518"/>
    </row>
    <row r="4519" spans="6:10">
      <c r="F4519"/>
      <c r="G4519"/>
      <c r="H4519"/>
      <c r="I4519"/>
      <c r="J4519"/>
    </row>
    <row r="4520" spans="6:10">
      <c r="F4520"/>
      <c r="G4520"/>
      <c r="H4520"/>
      <c r="I4520"/>
      <c r="J4520"/>
    </row>
    <row r="4521" spans="6:10">
      <c r="F4521"/>
      <c r="G4521"/>
      <c r="H4521"/>
      <c r="I4521"/>
      <c r="J4521"/>
    </row>
    <row r="4522" spans="6:10">
      <c r="F4522"/>
      <c r="G4522"/>
      <c r="H4522"/>
      <c r="I4522"/>
      <c r="J4522"/>
    </row>
    <row r="4523" spans="6:10">
      <c r="F4523"/>
      <c r="G4523"/>
      <c r="H4523"/>
      <c r="I4523"/>
      <c r="J4523"/>
    </row>
    <row r="4524" spans="6:10">
      <c r="F4524"/>
      <c r="G4524"/>
      <c r="H4524"/>
      <c r="I4524"/>
      <c r="J4524"/>
    </row>
    <row r="4525" spans="6:10">
      <c r="F4525"/>
      <c r="G4525"/>
      <c r="H4525"/>
      <c r="I4525"/>
      <c r="J4525"/>
    </row>
    <row r="4526" spans="6:10">
      <c r="F4526"/>
      <c r="G4526"/>
      <c r="H4526"/>
      <c r="I4526"/>
      <c r="J4526"/>
    </row>
    <row r="4527" spans="6:10">
      <c r="F4527"/>
      <c r="G4527"/>
      <c r="H4527"/>
      <c r="I4527"/>
      <c r="J4527"/>
    </row>
    <row r="4528" spans="6:10">
      <c r="F4528"/>
      <c r="G4528"/>
      <c r="H4528"/>
      <c r="I4528"/>
      <c r="J4528"/>
    </row>
    <row r="4529" spans="6:10">
      <c r="F4529"/>
      <c r="G4529"/>
      <c r="H4529"/>
      <c r="I4529"/>
      <c r="J4529"/>
    </row>
    <row r="4530" spans="6:10">
      <c r="F4530"/>
      <c r="G4530"/>
      <c r="H4530"/>
      <c r="I4530"/>
      <c r="J4530"/>
    </row>
    <row r="4531" spans="6:10">
      <c r="F4531"/>
      <c r="G4531"/>
      <c r="H4531"/>
      <c r="I4531"/>
      <c r="J4531"/>
    </row>
    <row r="4532" spans="6:10">
      <c r="F4532"/>
      <c r="G4532"/>
      <c r="H4532"/>
      <c r="I4532"/>
      <c r="J4532"/>
    </row>
    <row r="4533" spans="6:10">
      <c r="F4533"/>
      <c r="G4533"/>
      <c r="H4533"/>
      <c r="I4533"/>
      <c r="J4533"/>
    </row>
    <row r="4534" spans="6:10">
      <c r="F4534"/>
      <c r="G4534"/>
      <c r="H4534"/>
      <c r="I4534"/>
      <c r="J4534"/>
    </row>
    <row r="4535" spans="6:10">
      <c r="F4535"/>
      <c r="G4535"/>
      <c r="H4535"/>
      <c r="I4535"/>
      <c r="J4535"/>
    </row>
    <row r="4536" spans="6:10">
      <c r="F4536"/>
      <c r="G4536"/>
      <c r="H4536"/>
      <c r="I4536"/>
      <c r="J4536"/>
    </row>
    <row r="4537" spans="6:10">
      <c r="F4537"/>
      <c r="G4537"/>
      <c r="H4537"/>
      <c r="I4537"/>
      <c r="J4537"/>
    </row>
    <row r="4538" spans="6:10">
      <c r="F4538"/>
      <c r="G4538"/>
      <c r="H4538"/>
      <c r="I4538"/>
      <c r="J4538"/>
    </row>
    <row r="4539" spans="6:10">
      <c r="F4539"/>
      <c r="G4539"/>
      <c r="H4539"/>
      <c r="I4539"/>
      <c r="J4539"/>
    </row>
    <row r="4540" spans="6:10">
      <c r="F4540"/>
      <c r="G4540"/>
      <c r="H4540"/>
      <c r="I4540"/>
      <c r="J4540"/>
    </row>
    <row r="4541" spans="6:10">
      <c r="F4541"/>
      <c r="G4541"/>
      <c r="H4541"/>
      <c r="I4541"/>
      <c r="J4541"/>
    </row>
    <row r="4542" spans="6:10">
      <c r="F4542"/>
      <c r="G4542"/>
      <c r="H4542"/>
      <c r="I4542"/>
      <c r="J4542"/>
    </row>
    <row r="4543" spans="6:10">
      <c r="F4543"/>
      <c r="G4543"/>
      <c r="H4543"/>
      <c r="I4543"/>
      <c r="J4543"/>
    </row>
    <row r="4544" spans="6:10">
      <c r="F4544"/>
      <c r="G4544"/>
      <c r="H4544"/>
      <c r="I4544"/>
      <c r="J4544"/>
    </row>
    <row r="4545" spans="6:10">
      <c r="F4545"/>
      <c r="G4545"/>
      <c r="H4545"/>
      <c r="I4545"/>
      <c r="J4545"/>
    </row>
    <row r="4546" spans="6:10">
      <c r="F4546"/>
      <c r="G4546"/>
      <c r="H4546"/>
      <c r="I4546"/>
      <c r="J4546"/>
    </row>
    <row r="4547" spans="6:10">
      <c r="F4547"/>
      <c r="G4547"/>
      <c r="H4547"/>
      <c r="I4547"/>
      <c r="J4547"/>
    </row>
    <row r="4548" spans="6:10">
      <c r="F4548"/>
      <c r="G4548"/>
      <c r="H4548"/>
      <c r="I4548"/>
      <c r="J4548"/>
    </row>
    <row r="4549" spans="6:10">
      <c r="F4549"/>
      <c r="G4549"/>
      <c r="H4549"/>
      <c r="I4549"/>
      <c r="J4549"/>
    </row>
    <row r="4550" spans="6:10">
      <c r="F4550"/>
      <c r="G4550"/>
      <c r="H4550"/>
      <c r="I4550"/>
      <c r="J4550"/>
    </row>
    <row r="4551" spans="6:10">
      <c r="F4551"/>
      <c r="G4551"/>
      <c r="H4551"/>
      <c r="I4551"/>
      <c r="J4551"/>
    </row>
    <row r="4552" spans="6:10">
      <c r="F4552"/>
      <c r="G4552"/>
      <c r="H4552"/>
      <c r="I4552"/>
      <c r="J4552"/>
    </row>
    <row r="4553" spans="6:10">
      <c r="F4553"/>
      <c r="G4553"/>
      <c r="H4553"/>
      <c r="I4553"/>
      <c r="J4553"/>
    </row>
    <row r="4554" spans="6:10">
      <c r="F4554"/>
      <c r="G4554"/>
      <c r="H4554"/>
      <c r="I4554"/>
      <c r="J4554"/>
    </row>
    <row r="4555" spans="6:10">
      <c r="F4555"/>
      <c r="G4555"/>
      <c r="H4555"/>
      <c r="I4555"/>
      <c r="J4555"/>
    </row>
    <row r="4556" spans="6:10">
      <c r="F4556"/>
      <c r="G4556"/>
      <c r="H4556"/>
      <c r="I4556"/>
      <c r="J4556"/>
    </row>
    <row r="4557" spans="6:10">
      <c r="F4557"/>
      <c r="G4557"/>
      <c r="H4557"/>
      <c r="I4557"/>
      <c r="J4557"/>
    </row>
    <row r="4558" spans="6:10">
      <c r="F4558"/>
      <c r="G4558"/>
      <c r="H4558"/>
      <c r="I4558"/>
      <c r="J4558"/>
    </row>
    <row r="4559" spans="6:10">
      <c r="F4559"/>
      <c r="G4559"/>
      <c r="H4559"/>
      <c r="I4559"/>
      <c r="J4559"/>
    </row>
    <row r="4560" spans="6:10">
      <c r="F4560"/>
      <c r="G4560"/>
      <c r="H4560"/>
      <c r="I4560"/>
      <c r="J4560"/>
    </row>
    <row r="4561" spans="6:10">
      <c r="F4561"/>
      <c r="G4561"/>
      <c r="H4561"/>
      <c r="I4561"/>
      <c r="J4561"/>
    </row>
    <row r="4562" spans="6:10">
      <c r="F4562"/>
      <c r="G4562"/>
      <c r="H4562"/>
      <c r="I4562"/>
      <c r="J4562"/>
    </row>
    <row r="4563" spans="6:10">
      <c r="F4563"/>
      <c r="G4563"/>
      <c r="H4563"/>
      <c r="I4563"/>
      <c r="J4563"/>
    </row>
    <row r="4564" spans="6:10">
      <c r="F4564"/>
      <c r="G4564"/>
      <c r="H4564"/>
      <c r="I4564"/>
      <c r="J4564"/>
    </row>
    <row r="4565" spans="6:10">
      <c r="F4565"/>
      <c r="G4565"/>
      <c r="H4565"/>
      <c r="I4565"/>
      <c r="J4565"/>
    </row>
    <row r="4566" spans="6:10">
      <c r="F4566"/>
      <c r="G4566"/>
      <c r="H4566"/>
      <c r="I4566"/>
      <c r="J4566"/>
    </row>
    <row r="4567" spans="6:10">
      <c r="F4567"/>
      <c r="G4567"/>
      <c r="H4567"/>
      <c r="I4567"/>
      <c r="J4567"/>
    </row>
    <row r="4568" spans="6:10">
      <c r="F4568"/>
      <c r="G4568"/>
      <c r="H4568"/>
      <c r="I4568"/>
      <c r="J4568"/>
    </row>
    <row r="4569" spans="6:10">
      <c r="F4569"/>
      <c r="G4569"/>
      <c r="H4569"/>
      <c r="I4569"/>
      <c r="J4569"/>
    </row>
    <row r="4570" spans="6:10">
      <c r="F4570"/>
      <c r="G4570"/>
      <c r="H4570"/>
      <c r="I4570"/>
      <c r="J4570"/>
    </row>
    <row r="4571" spans="6:10">
      <c r="F4571"/>
      <c r="G4571"/>
      <c r="H4571"/>
      <c r="I4571"/>
      <c r="J4571"/>
    </row>
    <row r="4572" spans="6:10">
      <c r="F4572"/>
      <c r="G4572"/>
      <c r="H4572"/>
      <c r="I4572"/>
      <c r="J4572"/>
    </row>
    <row r="4573" spans="6:10">
      <c r="F4573"/>
      <c r="G4573"/>
      <c r="H4573"/>
      <c r="I4573"/>
      <c r="J4573"/>
    </row>
    <row r="4574" spans="6:10">
      <c r="F4574"/>
      <c r="G4574"/>
      <c r="H4574"/>
      <c r="I4574"/>
      <c r="J4574"/>
    </row>
    <row r="4575" spans="6:10">
      <c r="F4575"/>
      <c r="G4575"/>
      <c r="H4575"/>
      <c r="I4575"/>
      <c r="J4575"/>
    </row>
    <row r="4576" spans="6:10">
      <c r="F4576"/>
      <c r="G4576"/>
      <c r="H4576"/>
      <c r="I4576"/>
      <c r="J4576"/>
    </row>
    <row r="4577" spans="6:10">
      <c r="F4577"/>
      <c r="G4577"/>
      <c r="H4577"/>
      <c r="I4577"/>
      <c r="J4577"/>
    </row>
    <row r="4578" spans="6:10">
      <c r="F4578"/>
      <c r="G4578"/>
      <c r="H4578"/>
      <c r="I4578"/>
      <c r="J4578"/>
    </row>
    <row r="4579" spans="6:10">
      <c r="F4579"/>
      <c r="G4579"/>
      <c r="H4579"/>
      <c r="I4579"/>
      <c r="J4579"/>
    </row>
    <row r="4580" spans="6:10">
      <c r="F4580"/>
      <c r="G4580"/>
      <c r="H4580"/>
      <c r="I4580"/>
      <c r="J4580"/>
    </row>
    <row r="4581" spans="6:10">
      <c r="F4581"/>
      <c r="G4581"/>
      <c r="H4581"/>
      <c r="I4581"/>
      <c r="J4581"/>
    </row>
    <row r="4582" spans="6:10">
      <c r="F4582"/>
      <c r="G4582"/>
      <c r="H4582"/>
      <c r="I4582"/>
      <c r="J4582"/>
    </row>
    <row r="4583" spans="6:10">
      <c r="F4583"/>
      <c r="G4583"/>
      <c r="H4583"/>
      <c r="I4583"/>
      <c r="J4583"/>
    </row>
    <row r="4584" spans="6:10">
      <c r="F4584"/>
      <c r="G4584"/>
      <c r="H4584"/>
      <c r="I4584"/>
      <c r="J4584"/>
    </row>
    <row r="4585" spans="6:10">
      <c r="F4585"/>
      <c r="G4585"/>
      <c r="H4585"/>
      <c r="I4585"/>
      <c r="J4585"/>
    </row>
    <row r="4586" spans="6:10">
      <c r="F4586"/>
      <c r="G4586"/>
      <c r="H4586"/>
      <c r="I4586"/>
      <c r="J4586"/>
    </row>
    <row r="4587" spans="6:10">
      <c r="F4587"/>
      <c r="G4587"/>
      <c r="H4587"/>
      <c r="I4587"/>
      <c r="J4587"/>
    </row>
    <row r="4588" spans="6:10">
      <c r="F4588"/>
      <c r="G4588"/>
      <c r="H4588"/>
      <c r="I4588"/>
      <c r="J4588"/>
    </row>
    <row r="4589" spans="6:10">
      <c r="F4589"/>
      <c r="G4589"/>
      <c r="H4589"/>
      <c r="I4589"/>
      <c r="J4589"/>
    </row>
    <row r="4590" spans="6:10">
      <c r="F4590"/>
      <c r="G4590"/>
      <c r="H4590"/>
      <c r="I4590"/>
      <c r="J4590"/>
    </row>
    <row r="4591" spans="6:10">
      <c r="F4591"/>
      <c r="G4591"/>
      <c r="H4591"/>
      <c r="I4591"/>
      <c r="J4591"/>
    </row>
    <row r="4592" spans="6:10">
      <c r="F4592"/>
      <c r="G4592"/>
      <c r="H4592"/>
      <c r="I4592"/>
      <c r="J4592"/>
    </row>
    <row r="4593" spans="6:10">
      <c r="F4593"/>
      <c r="G4593"/>
      <c r="H4593"/>
      <c r="I4593"/>
      <c r="J4593"/>
    </row>
    <row r="4594" spans="6:10">
      <c r="F4594"/>
      <c r="G4594"/>
      <c r="H4594"/>
      <c r="I4594"/>
      <c r="J4594"/>
    </row>
    <row r="4595" spans="6:10">
      <c r="F4595"/>
      <c r="G4595"/>
      <c r="H4595"/>
      <c r="I4595"/>
      <c r="J4595"/>
    </row>
    <row r="4596" spans="6:10">
      <c r="F4596"/>
      <c r="G4596"/>
      <c r="H4596"/>
      <c r="I4596"/>
      <c r="J4596"/>
    </row>
    <row r="4597" spans="6:10">
      <c r="F4597"/>
      <c r="G4597"/>
      <c r="H4597"/>
      <c r="I4597"/>
      <c r="J4597"/>
    </row>
    <row r="4598" spans="6:10">
      <c r="F4598"/>
      <c r="G4598"/>
      <c r="H4598"/>
      <c r="I4598"/>
      <c r="J4598"/>
    </row>
    <row r="4599" spans="6:10">
      <c r="F4599"/>
      <c r="G4599"/>
      <c r="H4599"/>
      <c r="I4599"/>
      <c r="J4599"/>
    </row>
    <row r="4600" spans="6:10">
      <c r="F4600"/>
      <c r="G4600"/>
      <c r="H4600"/>
      <c r="I4600"/>
      <c r="J4600"/>
    </row>
    <row r="4601" spans="6:10">
      <c r="F4601"/>
      <c r="G4601"/>
      <c r="H4601"/>
      <c r="I4601"/>
      <c r="J4601"/>
    </row>
    <row r="4602" spans="6:10">
      <c r="F4602"/>
      <c r="G4602"/>
      <c r="H4602"/>
      <c r="I4602"/>
      <c r="J4602"/>
    </row>
    <row r="4603" spans="6:10">
      <c r="F4603"/>
      <c r="G4603"/>
      <c r="H4603"/>
      <c r="I4603"/>
      <c r="J4603"/>
    </row>
    <row r="4604" spans="6:10">
      <c r="F4604"/>
      <c r="G4604"/>
      <c r="H4604"/>
      <c r="I4604"/>
      <c r="J4604"/>
    </row>
    <row r="4605" spans="6:10">
      <c r="F4605"/>
      <c r="G4605"/>
      <c r="H4605"/>
      <c r="I4605"/>
      <c r="J4605"/>
    </row>
    <row r="4606" spans="6:10">
      <c r="F4606"/>
      <c r="G4606"/>
      <c r="H4606"/>
      <c r="I4606"/>
      <c r="J4606"/>
    </row>
    <row r="4607" spans="6:10">
      <c r="F4607"/>
      <c r="G4607"/>
      <c r="H4607"/>
      <c r="I4607"/>
      <c r="J4607"/>
    </row>
    <row r="4608" spans="6:10">
      <c r="F4608"/>
      <c r="G4608"/>
      <c r="H4608"/>
      <c r="I4608"/>
      <c r="J4608"/>
    </row>
    <row r="4609" spans="6:10">
      <c r="F4609"/>
      <c r="G4609"/>
      <c r="H4609"/>
      <c r="I4609"/>
      <c r="J4609"/>
    </row>
    <row r="4610" spans="6:10">
      <c r="F4610"/>
      <c r="G4610"/>
      <c r="H4610"/>
      <c r="I4610"/>
      <c r="J4610"/>
    </row>
    <row r="4611" spans="6:10">
      <c r="F4611"/>
      <c r="G4611"/>
      <c r="H4611"/>
      <c r="I4611"/>
      <c r="J4611"/>
    </row>
    <row r="4612" spans="6:10">
      <c r="F4612"/>
      <c r="G4612"/>
      <c r="H4612"/>
      <c r="I4612"/>
      <c r="J4612"/>
    </row>
    <row r="4613" spans="6:10">
      <c r="F4613"/>
      <c r="G4613"/>
      <c r="H4613"/>
      <c r="I4613"/>
      <c r="J4613"/>
    </row>
    <row r="4614" spans="6:10">
      <c r="F4614"/>
      <c r="G4614"/>
      <c r="H4614"/>
      <c r="I4614"/>
      <c r="J4614"/>
    </row>
    <row r="4615" spans="6:10">
      <c r="F4615"/>
      <c r="G4615"/>
      <c r="H4615"/>
      <c r="I4615"/>
      <c r="J4615"/>
    </row>
    <row r="4616" spans="6:10">
      <c r="F4616"/>
      <c r="G4616"/>
      <c r="H4616"/>
      <c r="I4616"/>
      <c r="J4616"/>
    </row>
    <row r="4617" spans="6:10">
      <c r="F4617"/>
      <c r="G4617"/>
      <c r="H4617"/>
      <c r="I4617"/>
      <c r="J4617"/>
    </row>
    <row r="4618" spans="6:10">
      <c r="F4618"/>
      <c r="G4618"/>
      <c r="H4618"/>
      <c r="I4618"/>
      <c r="J4618"/>
    </row>
    <row r="4619" spans="6:10">
      <c r="F4619"/>
      <c r="G4619"/>
      <c r="H4619"/>
      <c r="I4619"/>
      <c r="J4619"/>
    </row>
    <row r="4620" spans="6:10">
      <c r="F4620"/>
      <c r="G4620"/>
      <c r="H4620"/>
      <c r="I4620"/>
      <c r="J4620"/>
    </row>
    <row r="4621" spans="6:10">
      <c r="F4621"/>
      <c r="G4621"/>
      <c r="H4621"/>
      <c r="I4621"/>
      <c r="J4621"/>
    </row>
    <row r="4622" spans="6:10">
      <c r="F4622"/>
      <c r="G4622"/>
      <c r="H4622"/>
      <c r="I4622"/>
      <c r="J4622"/>
    </row>
    <row r="4623" spans="6:10">
      <c r="F4623"/>
      <c r="G4623"/>
      <c r="H4623"/>
      <c r="I4623"/>
      <c r="J4623"/>
    </row>
    <row r="4624" spans="6:10">
      <c r="F4624"/>
      <c r="G4624"/>
      <c r="H4624"/>
      <c r="I4624"/>
      <c r="J4624"/>
    </row>
    <row r="4625" spans="6:10">
      <c r="F4625"/>
      <c r="G4625"/>
      <c r="H4625"/>
      <c r="I4625"/>
      <c r="J4625"/>
    </row>
    <row r="4626" spans="6:10">
      <c r="F4626"/>
      <c r="G4626"/>
      <c r="H4626"/>
      <c r="I4626"/>
      <c r="J4626"/>
    </row>
    <row r="4627" spans="6:10">
      <c r="F4627"/>
      <c r="G4627"/>
      <c r="H4627"/>
      <c r="I4627"/>
      <c r="J4627"/>
    </row>
    <row r="4628" spans="6:10">
      <c r="F4628"/>
      <c r="G4628"/>
      <c r="H4628"/>
      <c r="I4628"/>
      <c r="J4628"/>
    </row>
    <row r="4629" spans="6:10">
      <c r="F4629"/>
      <c r="G4629"/>
      <c r="H4629"/>
      <c r="I4629"/>
      <c r="J4629"/>
    </row>
    <row r="4630" spans="6:10">
      <c r="F4630"/>
      <c r="G4630"/>
      <c r="H4630"/>
      <c r="I4630"/>
      <c r="J4630"/>
    </row>
    <row r="4631" spans="6:10">
      <c r="F4631"/>
      <c r="G4631"/>
      <c r="H4631"/>
      <c r="I4631"/>
      <c r="J4631"/>
    </row>
    <row r="4632" spans="6:10">
      <c r="F4632"/>
      <c r="G4632"/>
      <c r="H4632"/>
      <c r="I4632"/>
      <c r="J4632"/>
    </row>
    <row r="4633" spans="6:10">
      <c r="F4633"/>
      <c r="G4633"/>
      <c r="H4633"/>
      <c r="I4633"/>
      <c r="J4633"/>
    </row>
    <row r="4634" spans="6:10">
      <c r="F4634"/>
      <c r="G4634"/>
      <c r="H4634"/>
      <c r="I4634"/>
      <c r="J4634"/>
    </row>
    <row r="4635" spans="6:10">
      <c r="F4635"/>
      <c r="G4635"/>
      <c r="H4635"/>
      <c r="I4635"/>
      <c r="J4635"/>
    </row>
    <row r="4636" spans="6:10">
      <c r="F4636"/>
      <c r="G4636"/>
      <c r="H4636"/>
      <c r="I4636"/>
      <c r="J4636"/>
    </row>
    <row r="4637" spans="6:10">
      <c r="F4637"/>
      <c r="G4637"/>
      <c r="H4637"/>
      <c r="I4637"/>
      <c r="J4637"/>
    </row>
    <row r="4638" spans="6:10">
      <c r="F4638"/>
      <c r="G4638"/>
      <c r="H4638"/>
      <c r="I4638"/>
      <c r="J4638"/>
    </row>
    <row r="4639" spans="6:10">
      <c r="F4639"/>
      <c r="G4639"/>
      <c r="H4639"/>
      <c r="I4639"/>
      <c r="J4639"/>
    </row>
    <row r="4640" spans="6:10">
      <c r="F4640"/>
      <c r="G4640"/>
      <c r="H4640"/>
      <c r="I4640"/>
      <c r="J4640"/>
    </row>
    <row r="4641" spans="6:10">
      <c r="F4641"/>
      <c r="G4641"/>
      <c r="H4641"/>
      <c r="I4641"/>
      <c r="J4641"/>
    </row>
    <row r="4642" spans="6:10">
      <c r="F4642"/>
      <c r="G4642"/>
      <c r="H4642"/>
      <c r="I4642"/>
      <c r="J4642"/>
    </row>
    <row r="4643" spans="6:10">
      <c r="F4643"/>
      <c r="G4643"/>
      <c r="H4643"/>
      <c r="I4643"/>
      <c r="J4643"/>
    </row>
    <row r="4644" spans="6:10">
      <c r="F4644"/>
      <c r="G4644"/>
      <c r="H4644"/>
      <c r="I4644"/>
      <c r="J4644"/>
    </row>
    <row r="4645" spans="6:10">
      <c r="F4645"/>
      <c r="G4645"/>
      <c r="H4645"/>
      <c r="I4645"/>
      <c r="J4645"/>
    </row>
    <row r="4646" spans="6:10">
      <c r="F4646"/>
      <c r="G4646"/>
      <c r="H4646"/>
      <c r="I4646"/>
      <c r="J4646"/>
    </row>
    <row r="4647" spans="6:10">
      <c r="F4647"/>
      <c r="G4647"/>
      <c r="H4647"/>
      <c r="I4647"/>
      <c r="J4647"/>
    </row>
    <row r="4648" spans="6:10">
      <c r="F4648"/>
      <c r="G4648"/>
      <c r="H4648"/>
      <c r="I4648"/>
      <c r="J4648"/>
    </row>
    <row r="4649" spans="6:10">
      <c r="F4649"/>
      <c r="G4649"/>
      <c r="H4649"/>
      <c r="I4649"/>
      <c r="J4649"/>
    </row>
    <row r="4650" spans="6:10">
      <c r="F4650"/>
      <c r="G4650"/>
      <c r="H4650"/>
      <c r="I4650"/>
      <c r="J4650"/>
    </row>
    <row r="4651" spans="6:10">
      <c r="F4651"/>
      <c r="G4651"/>
      <c r="H4651"/>
      <c r="I4651"/>
      <c r="J4651"/>
    </row>
    <row r="4652" spans="6:10">
      <c r="F4652"/>
      <c r="G4652"/>
      <c r="H4652"/>
      <c r="I4652"/>
      <c r="J4652"/>
    </row>
    <row r="4653" spans="6:10">
      <c r="F4653"/>
      <c r="G4653"/>
      <c r="H4653"/>
      <c r="I4653"/>
      <c r="J4653"/>
    </row>
    <row r="4654" spans="6:10">
      <c r="F4654"/>
      <c r="G4654"/>
      <c r="H4654"/>
      <c r="I4654"/>
      <c r="J4654"/>
    </row>
    <row r="4655" spans="6:10">
      <c r="F4655"/>
      <c r="G4655"/>
      <c r="H4655"/>
      <c r="I4655"/>
      <c r="J4655"/>
    </row>
    <row r="4656" spans="6:10">
      <c r="F4656"/>
      <c r="G4656"/>
      <c r="H4656"/>
      <c r="I4656"/>
      <c r="J4656"/>
    </row>
    <row r="4657" spans="6:10">
      <c r="F4657"/>
      <c r="G4657"/>
      <c r="H4657"/>
      <c r="I4657"/>
      <c r="J4657"/>
    </row>
    <row r="4658" spans="6:10">
      <c r="F4658"/>
      <c r="G4658"/>
      <c r="H4658"/>
      <c r="I4658"/>
      <c r="J4658"/>
    </row>
    <row r="4659" spans="6:10">
      <c r="F4659"/>
      <c r="G4659"/>
      <c r="H4659"/>
      <c r="I4659"/>
      <c r="J4659"/>
    </row>
    <row r="4660" spans="6:10">
      <c r="F4660"/>
      <c r="G4660"/>
      <c r="H4660"/>
      <c r="I4660"/>
      <c r="J4660"/>
    </row>
    <row r="4661" spans="6:10">
      <c r="F4661"/>
      <c r="G4661"/>
      <c r="H4661"/>
      <c r="I4661"/>
      <c r="J4661"/>
    </row>
    <row r="4662" spans="6:10">
      <c r="F4662"/>
      <c r="G4662"/>
      <c r="H4662"/>
      <c r="I4662"/>
      <c r="J4662"/>
    </row>
    <row r="4663" spans="6:10">
      <c r="F4663"/>
      <c r="G4663"/>
      <c r="H4663"/>
      <c r="I4663"/>
      <c r="J4663"/>
    </row>
    <row r="4664" spans="6:10">
      <c r="F4664"/>
      <c r="G4664"/>
      <c r="H4664"/>
      <c r="I4664"/>
      <c r="J4664"/>
    </row>
    <row r="4665" spans="6:10">
      <c r="F4665"/>
      <c r="G4665"/>
      <c r="H4665"/>
      <c r="I4665"/>
      <c r="J4665"/>
    </row>
    <row r="4666" spans="6:10">
      <c r="F4666"/>
      <c r="G4666"/>
      <c r="H4666"/>
      <c r="I4666"/>
      <c r="J4666"/>
    </row>
    <row r="4667" spans="6:10">
      <c r="F4667"/>
      <c r="G4667"/>
      <c r="H4667"/>
      <c r="I4667"/>
      <c r="J4667"/>
    </row>
    <row r="4668" spans="6:10">
      <c r="F4668"/>
      <c r="G4668"/>
      <c r="H4668"/>
      <c r="I4668"/>
      <c r="J4668"/>
    </row>
    <row r="4669" spans="6:10">
      <c r="F4669"/>
      <c r="G4669"/>
      <c r="H4669"/>
      <c r="I4669"/>
      <c r="J4669"/>
    </row>
    <row r="4670" spans="6:10">
      <c r="F4670"/>
      <c r="G4670"/>
      <c r="H4670"/>
      <c r="I4670"/>
      <c r="J4670"/>
    </row>
    <row r="4671" spans="6:10">
      <c r="F4671"/>
      <c r="G4671"/>
      <c r="H4671"/>
      <c r="I4671"/>
      <c r="J4671"/>
    </row>
    <row r="4672" spans="6:10">
      <c r="F4672"/>
      <c r="G4672"/>
      <c r="H4672"/>
      <c r="I4672"/>
      <c r="J4672"/>
    </row>
    <row r="4673" spans="6:10">
      <c r="F4673"/>
      <c r="G4673"/>
      <c r="H4673"/>
      <c r="I4673"/>
      <c r="J4673"/>
    </row>
    <row r="4674" spans="6:10">
      <c r="F4674"/>
      <c r="G4674"/>
      <c r="H4674"/>
      <c r="I4674"/>
      <c r="J4674"/>
    </row>
    <row r="4675" spans="6:10">
      <c r="F4675"/>
      <c r="G4675"/>
      <c r="H4675"/>
      <c r="I4675"/>
      <c r="J4675"/>
    </row>
    <row r="4676" spans="6:10">
      <c r="F4676"/>
      <c r="G4676"/>
      <c r="H4676"/>
      <c r="I4676"/>
      <c r="J4676"/>
    </row>
    <row r="4677" spans="6:10">
      <c r="F4677"/>
      <c r="G4677"/>
      <c r="H4677"/>
      <c r="I4677"/>
      <c r="J4677"/>
    </row>
    <row r="4678" spans="6:10">
      <c r="F4678"/>
      <c r="G4678"/>
      <c r="H4678"/>
      <c r="I4678"/>
      <c r="J4678"/>
    </row>
    <row r="4679" spans="6:10">
      <c r="F4679"/>
      <c r="G4679"/>
      <c r="H4679"/>
      <c r="I4679"/>
      <c r="J4679"/>
    </row>
    <row r="4680" spans="6:10">
      <c r="F4680"/>
      <c r="G4680"/>
      <c r="H4680"/>
      <c r="I4680"/>
      <c r="J4680"/>
    </row>
    <row r="4681" spans="6:10">
      <c r="F4681"/>
      <c r="G4681"/>
      <c r="H4681"/>
      <c r="I4681"/>
      <c r="J4681"/>
    </row>
    <row r="4682" spans="6:10">
      <c r="F4682"/>
      <c r="G4682"/>
      <c r="H4682"/>
      <c r="I4682"/>
      <c r="J4682"/>
    </row>
    <row r="4683" spans="6:10">
      <c r="F4683"/>
      <c r="G4683"/>
      <c r="H4683"/>
      <c r="I4683"/>
      <c r="J4683"/>
    </row>
    <row r="4684" spans="6:10">
      <c r="F4684"/>
      <c r="G4684"/>
      <c r="H4684"/>
      <c r="I4684"/>
      <c r="J4684"/>
    </row>
    <row r="4685" spans="6:10">
      <c r="F4685"/>
      <c r="G4685"/>
      <c r="H4685"/>
      <c r="I4685"/>
      <c r="J4685"/>
    </row>
    <row r="4686" spans="6:10">
      <c r="F4686"/>
      <c r="G4686"/>
      <c r="H4686"/>
      <c r="I4686"/>
      <c r="J4686"/>
    </row>
    <row r="4687" spans="6:10">
      <c r="F4687"/>
      <c r="G4687"/>
      <c r="H4687"/>
      <c r="I4687"/>
      <c r="J4687"/>
    </row>
    <row r="4688" spans="6:10">
      <c r="F4688"/>
      <c r="G4688"/>
      <c r="H4688"/>
      <c r="I4688"/>
      <c r="J4688"/>
    </row>
    <row r="4689" spans="6:10">
      <c r="F4689"/>
      <c r="G4689"/>
      <c r="H4689"/>
      <c r="I4689"/>
      <c r="J4689"/>
    </row>
    <row r="4690" spans="6:10">
      <c r="F4690"/>
      <c r="G4690"/>
      <c r="H4690"/>
      <c r="I4690"/>
      <c r="J4690"/>
    </row>
    <row r="4691" spans="6:10">
      <c r="F4691"/>
      <c r="G4691"/>
      <c r="H4691"/>
      <c r="I4691"/>
      <c r="J4691"/>
    </row>
    <row r="4692" spans="6:10">
      <c r="F4692"/>
      <c r="G4692"/>
      <c r="H4692"/>
      <c r="I4692"/>
      <c r="J4692"/>
    </row>
    <row r="4693" spans="6:10">
      <c r="F4693"/>
      <c r="G4693"/>
      <c r="H4693"/>
      <c r="I4693"/>
      <c r="J4693"/>
    </row>
    <row r="4694" spans="6:10">
      <c r="F4694"/>
      <c r="G4694"/>
      <c r="H4694"/>
      <c r="I4694"/>
      <c r="J4694"/>
    </row>
    <row r="4695" spans="6:10">
      <c r="F4695"/>
      <c r="G4695"/>
      <c r="H4695"/>
      <c r="I4695"/>
      <c r="J4695"/>
    </row>
    <row r="4696" spans="6:10">
      <c r="F4696"/>
      <c r="G4696"/>
      <c r="H4696"/>
      <c r="I4696"/>
      <c r="J4696"/>
    </row>
    <row r="4697" spans="6:10">
      <c r="F4697"/>
      <c r="G4697"/>
      <c r="H4697"/>
      <c r="I4697"/>
      <c r="J4697"/>
    </row>
    <row r="4698" spans="6:10">
      <c r="F4698"/>
      <c r="G4698"/>
      <c r="H4698"/>
      <c r="I4698"/>
      <c r="J4698"/>
    </row>
    <row r="4699" spans="6:10">
      <c r="F4699"/>
      <c r="G4699"/>
      <c r="H4699"/>
      <c r="I4699"/>
      <c r="J4699"/>
    </row>
    <row r="4700" spans="6:10">
      <c r="F4700"/>
      <c r="G4700"/>
      <c r="H4700"/>
      <c r="I4700"/>
      <c r="J4700"/>
    </row>
    <row r="4701" spans="6:10">
      <c r="F4701"/>
      <c r="G4701"/>
      <c r="H4701"/>
      <c r="I4701"/>
      <c r="J4701"/>
    </row>
    <row r="4702" spans="6:10">
      <c r="F4702"/>
      <c r="G4702"/>
      <c r="H4702"/>
      <c r="I4702"/>
      <c r="J4702"/>
    </row>
    <row r="4703" spans="6:10">
      <c r="F4703"/>
      <c r="G4703"/>
      <c r="H4703"/>
      <c r="I4703"/>
      <c r="J4703"/>
    </row>
    <row r="4704" spans="6:10">
      <c r="F4704"/>
      <c r="G4704"/>
      <c r="H4704"/>
      <c r="I4704"/>
      <c r="J4704"/>
    </row>
    <row r="4705" spans="6:10">
      <c r="F4705"/>
      <c r="G4705"/>
      <c r="H4705"/>
      <c r="I4705"/>
      <c r="J4705"/>
    </row>
    <row r="4706" spans="6:10">
      <c r="F4706"/>
      <c r="G4706"/>
      <c r="H4706"/>
      <c r="I4706"/>
      <c r="J4706"/>
    </row>
    <row r="4707" spans="6:10">
      <c r="F4707"/>
      <c r="G4707"/>
      <c r="H4707"/>
      <c r="I4707"/>
      <c r="J4707"/>
    </row>
    <row r="4708" spans="6:10">
      <c r="F4708"/>
      <c r="G4708"/>
      <c r="H4708"/>
      <c r="I4708"/>
      <c r="J4708"/>
    </row>
    <row r="4709" spans="6:10">
      <c r="F4709"/>
      <c r="G4709"/>
      <c r="H4709"/>
      <c r="I4709"/>
      <c r="J4709"/>
    </row>
    <row r="4710" spans="6:10">
      <c r="F4710"/>
      <c r="G4710"/>
      <c r="H4710"/>
      <c r="I4710"/>
      <c r="J4710"/>
    </row>
    <row r="4711" spans="6:10">
      <c r="F4711"/>
      <c r="G4711"/>
      <c r="H4711"/>
      <c r="I4711"/>
      <c r="J4711"/>
    </row>
    <row r="4712" spans="6:10">
      <c r="F4712"/>
      <c r="G4712"/>
      <c r="H4712"/>
      <c r="I4712"/>
      <c r="J4712"/>
    </row>
    <row r="4713" spans="6:10">
      <c r="F4713"/>
      <c r="G4713"/>
      <c r="H4713"/>
      <c r="I4713"/>
      <c r="J4713"/>
    </row>
    <row r="4714" spans="6:10">
      <c r="F4714"/>
      <c r="G4714"/>
      <c r="H4714"/>
      <c r="I4714"/>
      <c r="J4714"/>
    </row>
    <row r="4715" spans="6:10">
      <c r="F4715"/>
      <c r="G4715"/>
      <c r="H4715"/>
      <c r="I4715"/>
      <c r="J4715"/>
    </row>
    <row r="4716" spans="6:10">
      <c r="F4716"/>
      <c r="G4716"/>
      <c r="H4716"/>
      <c r="I4716"/>
      <c r="J4716"/>
    </row>
    <row r="4717" spans="6:10">
      <c r="F4717"/>
      <c r="G4717"/>
      <c r="H4717"/>
      <c r="I4717"/>
      <c r="J4717"/>
    </row>
    <row r="4718" spans="6:10">
      <c r="F4718"/>
      <c r="G4718"/>
      <c r="H4718"/>
      <c r="I4718"/>
      <c r="J4718"/>
    </row>
    <row r="4719" spans="6:10">
      <c r="F4719"/>
      <c r="G4719"/>
      <c r="H4719"/>
      <c r="I4719"/>
      <c r="J4719"/>
    </row>
    <row r="4720" spans="6:10">
      <c r="F4720"/>
      <c r="G4720"/>
      <c r="H4720"/>
      <c r="I4720"/>
      <c r="J4720"/>
    </row>
    <row r="4721" spans="6:10">
      <c r="F4721"/>
      <c r="G4721"/>
      <c r="H4721"/>
      <c r="I4721"/>
      <c r="J4721"/>
    </row>
    <row r="4722" spans="6:10">
      <c r="F4722"/>
      <c r="G4722"/>
      <c r="H4722"/>
      <c r="I4722"/>
      <c r="J4722"/>
    </row>
    <row r="4723" spans="6:10">
      <c r="F4723"/>
      <c r="G4723"/>
      <c r="H4723"/>
      <c r="I4723"/>
      <c r="J4723"/>
    </row>
    <row r="4724" spans="6:10">
      <c r="F4724"/>
      <c r="G4724"/>
      <c r="H4724"/>
      <c r="I4724"/>
      <c r="J4724"/>
    </row>
    <row r="4725" spans="6:10">
      <c r="F4725"/>
      <c r="G4725"/>
      <c r="H4725"/>
      <c r="I4725"/>
      <c r="J4725"/>
    </row>
    <row r="4726" spans="6:10">
      <c r="F4726"/>
      <c r="G4726"/>
      <c r="H4726"/>
      <c r="I4726"/>
      <c r="J4726"/>
    </row>
    <row r="4727" spans="6:10">
      <c r="F4727"/>
      <c r="G4727"/>
      <c r="H4727"/>
      <c r="I4727"/>
      <c r="J4727"/>
    </row>
    <row r="4728" spans="6:10">
      <c r="F4728"/>
      <c r="G4728"/>
      <c r="H4728"/>
      <c r="I4728"/>
      <c r="J4728"/>
    </row>
    <row r="4729" spans="6:10">
      <c r="F4729"/>
      <c r="G4729"/>
      <c r="H4729"/>
      <c r="I4729"/>
      <c r="J4729"/>
    </row>
    <row r="4730" spans="6:10">
      <c r="F4730"/>
      <c r="G4730"/>
      <c r="H4730"/>
      <c r="I4730"/>
      <c r="J4730"/>
    </row>
    <row r="4731" spans="6:10">
      <c r="F4731"/>
      <c r="G4731"/>
      <c r="H4731"/>
      <c r="I4731"/>
      <c r="J4731"/>
    </row>
    <row r="4732" spans="6:10">
      <c r="F4732"/>
      <c r="G4732"/>
      <c r="H4732"/>
      <c r="I4732"/>
      <c r="J4732"/>
    </row>
    <row r="4733" spans="6:10">
      <c r="F4733"/>
      <c r="G4733"/>
      <c r="H4733"/>
      <c r="I4733"/>
      <c r="J4733"/>
    </row>
    <row r="4734" spans="6:10">
      <c r="F4734"/>
      <c r="G4734"/>
      <c r="H4734"/>
      <c r="I4734"/>
      <c r="J4734"/>
    </row>
    <row r="4735" spans="6:10">
      <c r="F4735"/>
      <c r="G4735"/>
      <c r="H4735"/>
      <c r="I4735"/>
      <c r="J4735"/>
    </row>
    <row r="4736" spans="6:10">
      <c r="F4736"/>
      <c r="G4736"/>
      <c r="H4736"/>
      <c r="I4736"/>
      <c r="J4736"/>
    </row>
    <row r="4737" spans="6:10">
      <c r="F4737"/>
      <c r="G4737"/>
      <c r="H4737"/>
      <c r="I4737"/>
      <c r="J4737"/>
    </row>
    <row r="4738" spans="6:10">
      <c r="F4738"/>
      <c r="G4738"/>
      <c r="H4738"/>
      <c r="I4738"/>
      <c r="J4738"/>
    </row>
    <row r="4739" spans="6:10">
      <c r="F4739"/>
      <c r="G4739"/>
      <c r="H4739"/>
      <c r="I4739"/>
      <c r="J4739"/>
    </row>
    <row r="4740" spans="6:10">
      <c r="F4740"/>
      <c r="G4740"/>
      <c r="H4740"/>
      <c r="I4740"/>
      <c r="J4740"/>
    </row>
    <row r="4741" spans="6:10">
      <c r="F4741"/>
      <c r="G4741"/>
      <c r="H4741"/>
      <c r="I4741"/>
      <c r="J4741"/>
    </row>
    <row r="4742" spans="6:10">
      <c r="F4742"/>
      <c r="G4742"/>
      <c r="H4742"/>
      <c r="I4742"/>
      <c r="J4742"/>
    </row>
    <row r="4743" spans="6:10">
      <c r="F4743"/>
      <c r="G4743"/>
      <c r="H4743"/>
      <c r="I4743"/>
      <c r="J4743"/>
    </row>
    <row r="4744" spans="6:10">
      <c r="F4744"/>
      <c r="G4744"/>
      <c r="H4744"/>
      <c r="I4744"/>
      <c r="J4744"/>
    </row>
    <row r="4745" spans="6:10">
      <c r="F4745"/>
      <c r="G4745"/>
      <c r="H4745"/>
      <c r="I4745"/>
      <c r="J4745"/>
    </row>
    <row r="4746" spans="6:10">
      <c r="F4746"/>
      <c r="G4746"/>
      <c r="H4746"/>
      <c r="I4746"/>
      <c r="J4746"/>
    </row>
    <row r="4747" spans="6:10">
      <c r="F4747"/>
      <c r="G4747"/>
      <c r="H4747"/>
      <c r="I4747"/>
      <c r="J4747"/>
    </row>
    <row r="4748" spans="6:10">
      <c r="F4748"/>
      <c r="G4748"/>
      <c r="H4748"/>
      <c r="I4748"/>
      <c r="J4748"/>
    </row>
    <row r="4749" spans="6:10">
      <c r="F4749"/>
      <c r="G4749"/>
      <c r="H4749"/>
      <c r="I4749"/>
      <c r="J4749"/>
    </row>
    <row r="4750" spans="6:10">
      <c r="F4750"/>
      <c r="G4750"/>
      <c r="H4750"/>
      <c r="I4750"/>
      <c r="J4750"/>
    </row>
    <row r="4751" spans="6:10">
      <c r="F4751"/>
      <c r="G4751"/>
      <c r="H4751"/>
      <c r="I4751"/>
      <c r="J4751"/>
    </row>
    <row r="4752" spans="6:10">
      <c r="F4752"/>
      <c r="G4752"/>
      <c r="H4752"/>
      <c r="I4752"/>
      <c r="J4752"/>
    </row>
    <row r="4753" spans="6:10">
      <c r="F4753"/>
      <c r="G4753"/>
      <c r="H4753"/>
      <c r="I4753"/>
      <c r="J4753"/>
    </row>
    <row r="4754" spans="6:10">
      <c r="F4754"/>
      <c r="G4754"/>
      <c r="H4754"/>
      <c r="I4754"/>
      <c r="J4754"/>
    </row>
    <row r="4755" spans="6:10">
      <c r="F4755"/>
      <c r="G4755"/>
      <c r="H4755"/>
      <c r="I4755"/>
      <c r="J4755"/>
    </row>
    <row r="4756" spans="6:10">
      <c r="F4756"/>
      <c r="G4756"/>
      <c r="H4756"/>
      <c r="I4756"/>
      <c r="J4756"/>
    </row>
    <row r="4757" spans="6:10">
      <c r="F4757"/>
      <c r="G4757"/>
      <c r="H4757"/>
      <c r="I4757"/>
      <c r="J4757"/>
    </row>
    <row r="4758" spans="6:10">
      <c r="F4758"/>
      <c r="G4758"/>
      <c r="H4758"/>
      <c r="I4758"/>
      <c r="J4758"/>
    </row>
    <row r="4759" spans="6:10">
      <c r="F4759"/>
      <c r="G4759"/>
      <c r="H4759"/>
      <c r="I4759"/>
      <c r="J4759"/>
    </row>
    <row r="4760" spans="6:10">
      <c r="F4760"/>
      <c r="G4760"/>
      <c r="H4760"/>
      <c r="I4760"/>
      <c r="J4760"/>
    </row>
    <row r="4761" spans="6:10">
      <c r="F4761"/>
      <c r="G4761"/>
      <c r="H4761"/>
      <c r="I4761"/>
      <c r="J4761"/>
    </row>
    <row r="4762" spans="6:10">
      <c r="F4762"/>
      <c r="G4762"/>
      <c r="H4762"/>
      <c r="I4762"/>
      <c r="J4762"/>
    </row>
    <row r="4763" spans="6:10">
      <c r="F4763"/>
      <c r="G4763"/>
      <c r="H4763"/>
      <c r="I4763"/>
      <c r="J4763"/>
    </row>
    <row r="4764" spans="6:10">
      <c r="F4764"/>
      <c r="G4764"/>
      <c r="H4764"/>
      <c r="I4764"/>
      <c r="J4764"/>
    </row>
    <row r="4765" spans="6:10">
      <c r="F4765"/>
      <c r="G4765"/>
      <c r="H4765"/>
      <c r="I4765"/>
      <c r="J4765"/>
    </row>
    <row r="4766" spans="6:10">
      <c r="F4766"/>
      <c r="G4766"/>
      <c r="H4766"/>
      <c r="I4766"/>
      <c r="J4766"/>
    </row>
    <row r="4767" spans="6:10">
      <c r="F4767"/>
      <c r="G4767"/>
      <c r="H4767"/>
      <c r="I4767"/>
      <c r="J4767"/>
    </row>
    <row r="4768" spans="6:10">
      <c r="F4768"/>
      <c r="G4768"/>
      <c r="H4768"/>
      <c r="I4768"/>
      <c r="J4768"/>
    </row>
    <row r="4769" spans="6:10">
      <c r="F4769"/>
      <c r="G4769"/>
      <c r="H4769"/>
      <c r="I4769"/>
      <c r="J4769"/>
    </row>
    <row r="4770" spans="6:10">
      <c r="F4770"/>
      <c r="G4770"/>
      <c r="H4770"/>
      <c r="I4770"/>
      <c r="J4770"/>
    </row>
    <row r="4771" spans="6:10">
      <c r="F4771"/>
      <c r="G4771"/>
      <c r="H4771"/>
      <c r="I4771"/>
      <c r="J4771"/>
    </row>
    <row r="4772" spans="6:10">
      <c r="F4772"/>
      <c r="G4772"/>
      <c r="H4772"/>
      <c r="I4772"/>
      <c r="J4772"/>
    </row>
    <row r="4773" spans="6:10">
      <c r="F4773"/>
      <c r="G4773"/>
      <c r="H4773"/>
      <c r="I4773"/>
      <c r="J4773"/>
    </row>
    <row r="4774" spans="6:10">
      <c r="F4774"/>
      <c r="G4774"/>
      <c r="H4774"/>
      <c r="I4774"/>
      <c r="J4774"/>
    </row>
    <row r="4775" spans="6:10">
      <c r="F4775"/>
      <c r="G4775"/>
      <c r="H4775"/>
      <c r="I4775"/>
      <c r="J4775"/>
    </row>
    <row r="4776" spans="6:10">
      <c r="F4776"/>
      <c r="G4776"/>
      <c r="H4776"/>
      <c r="I4776"/>
      <c r="J4776"/>
    </row>
    <row r="4777" spans="6:10">
      <c r="F4777"/>
      <c r="G4777"/>
      <c r="H4777"/>
      <c r="I4777"/>
      <c r="J4777"/>
    </row>
    <row r="4778" spans="6:10">
      <c r="F4778"/>
      <c r="G4778"/>
      <c r="H4778"/>
      <c r="I4778"/>
      <c r="J4778"/>
    </row>
    <row r="4779" spans="6:10">
      <c r="F4779"/>
      <c r="G4779"/>
      <c r="H4779"/>
      <c r="I4779"/>
      <c r="J4779"/>
    </row>
    <row r="4780" spans="6:10">
      <c r="F4780"/>
      <c r="G4780"/>
      <c r="H4780"/>
      <c r="I4780"/>
      <c r="J4780"/>
    </row>
    <row r="4781" spans="6:10">
      <c r="F4781"/>
      <c r="G4781"/>
      <c r="H4781"/>
      <c r="I4781"/>
      <c r="J4781"/>
    </row>
    <row r="4782" spans="6:10">
      <c r="F4782"/>
      <c r="G4782"/>
      <c r="H4782"/>
      <c r="I4782"/>
      <c r="J4782"/>
    </row>
    <row r="4783" spans="6:10">
      <c r="F4783"/>
      <c r="G4783"/>
      <c r="H4783"/>
      <c r="I4783"/>
      <c r="J4783"/>
    </row>
    <row r="4784" spans="6:10">
      <c r="F4784"/>
      <c r="G4784"/>
      <c r="H4784"/>
      <c r="I4784"/>
      <c r="J4784"/>
    </row>
    <row r="4785" spans="6:10">
      <c r="F4785"/>
      <c r="G4785"/>
      <c r="H4785"/>
      <c r="I4785"/>
      <c r="J4785"/>
    </row>
    <row r="4786" spans="6:10">
      <c r="F4786"/>
      <c r="G4786"/>
      <c r="H4786"/>
      <c r="I4786"/>
      <c r="J4786"/>
    </row>
    <row r="4787" spans="6:10">
      <c r="F4787"/>
      <c r="G4787"/>
      <c r="H4787"/>
      <c r="I4787"/>
      <c r="J4787"/>
    </row>
    <row r="4788" spans="6:10">
      <c r="F4788"/>
      <c r="G4788"/>
      <c r="H4788"/>
      <c r="I4788"/>
      <c r="J4788"/>
    </row>
    <row r="4789" spans="6:10">
      <c r="F4789"/>
      <c r="G4789"/>
      <c r="H4789"/>
      <c r="I4789"/>
      <c r="J4789"/>
    </row>
    <row r="4790" spans="6:10">
      <c r="F4790"/>
      <c r="G4790"/>
      <c r="H4790"/>
      <c r="I4790"/>
      <c r="J4790"/>
    </row>
    <row r="4791" spans="6:10">
      <c r="F4791"/>
      <c r="G4791"/>
      <c r="H4791"/>
      <c r="I4791"/>
      <c r="J4791"/>
    </row>
    <row r="4792" spans="6:10">
      <c r="F4792"/>
      <c r="G4792"/>
      <c r="H4792"/>
      <c r="I4792"/>
      <c r="J4792"/>
    </row>
    <row r="4793" spans="6:10">
      <c r="F4793"/>
      <c r="G4793"/>
      <c r="H4793"/>
      <c r="I4793"/>
      <c r="J4793"/>
    </row>
    <row r="4794" spans="6:10">
      <c r="F4794"/>
      <c r="G4794"/>
      <c r="H4794"/>
      <c r="I4794"/>
      <c r="J4794"/>
    </row>
    <row r="4795" spans="6:10">
      <c r="F4795"/>
      <c r="G4795"/>
      <c r="H4795"/>
      <c r="I4795"/>
      <c r="J4795"/>
    </row>
    <row r="4796" spans="6:10">
      <c r="F4796"/>
      <c r="G4796"/>
      <c r="H4796"/>
      <c r="I4796"/>
      <c r="J4796"/>
    </row>
    <row r="4797" spans="6:10">
      <c r="F4797"/>
      <c r="G4797"/>
      <c r="H4797"/>
      <c r="I4797"/>
      <c r="J4797"/>
    </row>
    <row r="4798" spans="6:10">
      <c r="F4798"/>
      <c r="G4798"/>
      <c r="H4798"/>
      <c r="I4798"/>
      <c r="J4798"/>
    </row>
    <row r="4799" spans="6:10">
      <c r="F4799"/>
      <c r="G4799"/>
      <c r="H4799"/>
      <c r="I4799"/>
      <c r="J4799"/>
    </row>
    <row r="4800" spans="6:10">
      <c r="F4800"/>
      <c r="G4800"/>
      <c r="H4800"/>
      <c r="I4800"/>
      <c r="J4800"/>
    </row>
    <row r="4801" spans="6:10">
      <c r="F4801"/>
      <c r="G4801"/>
      <c r="H4801"/>
      <c r="I4801"/>
      <c r="J4801"/>
    </row>
    <row r="4802" spans="6:10">
      <c r="F4802"/>
      <c r="G4802"/>
      <c r="H4802"/>
      <c r="I4802"/>
      <c r="J4802"/>
    </row>
    <row r="4803" spans="6:10">
      <c r="F4803"/>
      <c r="G4803"/>
      <c r="H4803"/>
      <c r="I4803"/>
      <c r="J4803"/>
    </row>
    <row r="4804" spans="6:10">
      <c r="F4804"/>
      <c r="G4804"/>
      <c r="H4804"/>
      <c r="I4804"/>
      <c r="J4804"/>
    </row>
    <row r="4805" spans="6:10">
      <c r="F4805"/>
      <c r="G4805"/>
      <c r="H4805"/>
      <c r="I4805"/>
      <c r="J4805"/>
    </row>
    <row r="4806" spans="6:10">
      <c r="F4806"/>
      <c r="G4806"/>
      <c r="H4806"/>
      <c r="I4806"/>
      <c r="J4806"/>
    </row>
    <row r="4807" spans="6:10">
      <c r="F4807"/>
      <c r="G4807"/>
      <c r="H4807"/>
      <c r="I4807"/>
      <c r="J4807"/>
    </row>
    <row r="4808" spans="6:10">
      <c r="F4808"/>
      <c r="G4808"/>
      <c r="H4808"/>
      <c r="I4808"/>
      <c r="J4808"/>
    </row>
    <row r="4809" spans="6:10">
      <c r="F4809"/>
      <c r="G4809"/>
      <c r="H4809"/>
      <c r="I4809"/>
      <c r="J4809"/>
    </row>
    <row r="4810" spans="6:10">
      <c r="F4810"/>
      <c r="G4810"/>
      <c r="H4810"/>
      <c r="I4810"/>
      <c r="J4810"/>
    </row>
    <row r="4811" spans="6:10">
      <c r="F4811"/>
      <c r="G4811"/>
      <c r="H4811"/>
      <c r="I4811"/>
      <c r="J4811"/>
    </row>
    <row r="4812" spans="6:10">
      <c r="F4812"/>
      <c r="G4812"/>
      <c r="H4812"/>
      <c r="I4812"/>
      <c r="J4812"/>
    </row>
    <row r="4813" spans="6:10">
      <c r="F4813"/>
      <c r="G4813"/>
      <c r="H4813"/>
      <c r="I4813"/>
      <c r="J4813"/>
    </row>
    <row r="4814" spans="6:10">
      <c r="F4814"/>
      <c r="G4814"/>
      <c r="H4814"/>
      <c r="I4814"/>
      <c r="J4814"/>
    </row>
    <row r="4815" spans="6:10">
      <c r="F4815"/>
      <c r="G4815"/>
      <c r="H4815"/>
      <c r="I4815"/>
      <c r="J4815"/>
    </row>
    <row r="4816" spans="6:10">
      <c r="F4816"/>
      <c r="G4816"/>
      <c r="H4816"/>
      <c r="I4816"/>
      <c r="J4816"/>
    </row>
    <row r="4817" spans="6:10">
      <c r="F4817"/>
      <c r="G4817"/>
      <c r="H4817"/>
      <c r="I4817"/>
      <c r="J4817"/>
    </row>
    <row r="4818" spans="6:10">
      <c r="F4818"/>
      <c r="G4818"/>
      <c r="H4818"/>
      <c r="I4818"/>
      <c r="J4818"/>
    </row>
    <row r="4819" spans="6:10">
      <c r="F4819"/>
      <c r="G4819"/>
      <c r="H4819"/>
      <c r="I4819"/>
      <c r="J4819"/>
    </row>
    <row r="4820" spans="6:10">
      <c r="F4820"/>
      <c r="G4820"/>
      <c r="H4820"/>
      <c r="I4820"/>
      <c r="J4820"/>
    </row>
    <row r="4821" spans="6:10">
      <c r="F4821"/>
      <c r="G4821"/>
      <c r="H4821"/>
      <c r="I4821"/>
      <c r="J4821"/>
    </row>
    <row r="4822" spans="6:10">
      <c r="F4822"/>
      <c r="G4822"/>
      <c r="H4822"/>
      <c r="I4822"/>
      <c r="J4822"/>
    </row>
    <row r="4823" spans="6:10">
      <c r="F4823"/>
      <c r="G4823"/>
      <c r="H4823"/>
      <c r="I4823"/>
      <c r="J4823"/>
    </row>
    <row r="4824" spans="6:10">
      <c r="F4824"/>
      <c r="G4824"/>
      <c r="H4824"/>
      <c r="I4824"/>
      <c r="J4824"/>
    </row>
    <row r="4825" spans="6:10">
      <c r="F4825"/>
      <c r="G4825"/>
      <c r="H4825"/>
      <c r="I4825"/>
      <c r="J4825"/>
    </row>
    <row r="4826" spans="6:10">
      <c r="F4826"/>
      <c r="G4826"/>
      <c r="H4826"/>
      <c r="I4826"/>
      <c r="J4826"/>
    </row>
    <row r="4827" spans="6:10">
      <c r="F4827"/>
      <c r="G4827"/>
      <c r="H4827"/>
      <c r="I4827"/>
      <c r="J4827"/>
    </row>
    <row r="4828" spans="6:10">
      <c r="F4828"/>
      <c r="G4828"/>
      <c r="H4828"/>
      <c r="I4828"/>
      <c r="J4828"/>
    </row>
    <row r="4829" spans="6:10">
      <c r="F4829"/>
      <c r="G4829"/>
      <c r="H4829"/>
      <c r="I4829"/>
      <c r="J4829"/>
    </row>
    <row r="4830" spans="6:10">
      <c r="F4830"/>
      <c r="G4830"/>
      <c r="H4830"/>
      <c r="I4830"/>
      <c r="J4830"/>
    </row>
    <row r="4831" spans="6:10">
      <c r="F4831"/>
      <c r="G4831"/>
      <c r="H4831"/>
      <c r="I4831"/>
      <c r="J4831"/>
    </row>
    <row r="4832" spans="6:10">
      <c r="F4832"/>
      <c r="G4832"/>
      <c r="H4832"/>
      <c r="I4832"/>
      <c r="J4832"/>
    </row>
    <row r="4833" spans="6:10">
      <c r="F4833"/>
      <c r="G4833"/>
      <c r="H4833"/>
      <c r="I4833"/>
      <c r="J4833"/>
    </row>
    <row r="4834" spans="6:10">
      <c r="F4834"/>
      <c r="G4834"/>
      <c r="H4834"/>
      <c r="I4834"/>
      <c r="J4834"/>
    </row>
    <row r="4835" spans="6:10">
      <c r="F4835"/>
      <c r="G4835"/>
      <c r="H4835"/>
      <c r="I4835"/>
      <c r="J4835"/>
    </row>
    <row r="4836" spans="6:10">
      <c r="F4836"/>
      <c r="G4836"/>
      <c r="H4836"/>
      <c r="I4836"/>
      <c r="J4836"/>
    </row>
    <row r="4837" spans="6:10">
      <c r="F4837"/>
      <c r="G4837"/>
      <c r="H4837"/>
      <c r="I4837"/>
      <c r="J4837"/>
    </row>
    <row r="4838" spans="6:10">
      <c r="F4838"/>
      <c r="G4838"/>
      <c r="H4838"/>
      <c r="I4838"/>
      <c r="J4838"/>
    </row>
    <row r="4839" spans="6:10">
      <c r="F4839"/>
      <c r="G4839"/>
      <c r="H4839"/>
      <c r="I4839"/>
      <c r="J4839"/>
    </row>
    <row r="4840" spans="6:10">
      <c r="F4840"/>
      <c r="G4840"/>
      <c r="H4840"/>
      <c r="I4840"/>
      <c r="J4840"/>
    </row>
    <row r="4841" spans="6:10">
      <c r="F4841"/>
      <c r="G4841"/>
      <c r="H4841"/>
      <c r="I4841"/>
      <c r="J4841"/>
    </row>
    <row r="4842" spans="6:10">
      <c r="F4842"/>
      <c r="G4842"/>
      <c r="H4842"/>
      <c r="I4842"/>
      <c r="J4842"/>
    </row>
    <row r="4843" spans="6:10">
      <c r="F4843"/>
      <c r="G4843"/>
      <c r="H4843"/>
      <c r="I4843"/>
      <c r="J4843"/>
    </row>
    <row r="4844" spans="6:10">
      <c r="F4844"/>
      <c r="G4844"/>
      <c r="H4844"/>
      <c r="I4844"/>
      <c r="J4844"/>
    </row>
    <row r="4845" spans="6:10">
      <c r="F4845"/>
      <c r="G4845"/>
      <c r="H4845"/>
      <c r="I4845"/>
      <c r="J4845"/>
    </row>
    <row r="4846" spans="6:10">
      <c r="F4846"/>
      <c r="G4846"/>
      <c r="H4846"/>
      <c r="I4846"/>
      <c r="J4846"/>
    </row>
    <row r="4847" spans="6:10">
      <c r="F4847"/>
      <c r="G4847"/>
      <c r="H4847"/>
      <c r="I4847"/>
      <c r="J4847"/>
    </row>
    <row r="4848" spans="6:10">
      <c r="F4848"/>
      <c r="G4848"/>
      <c r="H4848"/>
      <c r="I4848"/>
      <c r="J4848"/>
    </row>
    <row r="4849" spans="6:10">
      <c r="F4849"/>
      <c r="G4849"/>
      <c r="H4849"/>
      <c r="I4849"/>
      <c r="J4849"/>
    </row>
    <row r="4850" spans="6:10">
      <c r="F4850"/>
      <c r="G4850"/>
      <c r="H4850"/>
      <c r="I4850"/>
      <c r="J4850"/>
    </row>
    <row r="4851" spans="6:10">
      <c r="F4851"/>
      <c r="G4851"/>
      <c r="H4851"/>
      <c r="I4851"/>
      <c r="J4851"/>
    </row>
    <row r="4852" spans="6:10">
      <c r="F4852"/>
      <c r="G4852"/>
      <c r="H4852"/>
      <c r="I4852"/>
      <c r="J4852"/>
    </row>
    <row r="4853" spans="6:10">
      <c r="F4853"/>
      <c r="G4853"/>
      <c r="H4853"/>
      <c r="I4853"/>
      <c r="J4853"/>
    </row>
    <row r="4854" spans="6:10">
      <c r="F4854"/>
      <c r="G4854"/>
      <c r="H4854"/>
      <c r="I4854"/>
      <c r="J4854"/>
    </row>
    <row r="4855" spans="6:10">
      <c r="F4855"/>
      <c r="G4855"/>
      <c r="H4855"/>
      <c r="I4855"/>
      <c r="J4855"/>
    </row>
    <row r="4856" spans="6:10">
      <c r="F4856"/>
      <c r="G4856"/>
      <c r="H4856"/>
      <c r="I4856"/>
      <c r="J4856"/>
    </row>
    <row r="4857" spans="6:10">
      <c r="F4857"/>
      <c r="G4857"/>
      <c r="H4857"/>
      <c r="I4857"/>
      <c r="J4857"/>
    </row>
    <row r="4858" spans="6:10">
      <c r="F4858"/>
      <c r="G4858"/>
      <c r="H4858"/>
      <c r="I4858"/>
      <c r="J4858"/>
    </row>
    <row r="4859" spans="6:10">
      <c r="F4859"/>
      <c r="G4859"/>
      <c r="H4859"/>
      <c r="I4859"/>
      <c r="J4859"/>
    </row>
    <row r="4860" spans="6:10">
      <c r="F4860"/>
      <c r="G4860"/>
      <c r="H4860"/>
      <c r="I4860"/>
      <c r="J4860"/>
    </row>
    <row r="4861" spans="6:10">
      <c r="F4861"/>
      <c r="G4861"/>
      <c r="H4861"/>
      <c r="I4861"/>
      <c r="J4861"/>
    </row>
    <row r="4862" spans="6:10">
      <c r="F4862"/>
      <c r="G4862"/>
      <c r="H4862"/>
      <c r="I4862"/>
      <c r="J4862"/>
    </row>
    <row r="4863" spans="6:10">
      <c r="F4863"/>
      <c r="G4863"/>
      <c r="H4863"/>
      <c r="I4863"/>
      <c r="J4863"/>
    </row>
    <row r="4864" spans="6:10">
      <c r="F4864"/>
      <c r="G4864"/>
      <c r="H4864"/>
      <c r="I4864"/>
      <c r="J4864"/>
    </row>
    <row r="4865" spans="6:10">
      <c r="F4865"/>
      <c r="G4865"/>
      <c r="H4865"/>
      <c r="I4865"/>
      <c r="J4865"/>
    </row>
    <row r="4866" spans="6:10">
      <c r="F4866"/>
      <c r="G4866"/>
      <c r="H4866"/>
      <c r="I4866"/>
      <c r="J4866"/>
    </row>
    <row r="4867" spans="6:10">
      <c r="F4867"/>
      <c r="G4867"/>
      <c r="H4867"/>
      <c r="I4867"/>
      <c r="J4867"/>
    </row>
    <row r="4868" spans="6:10">
      <c r="F4868"/>
      <c r="G4868"/>
      <c r="H4868"/>
      <c r="I4868"/>
      <c r="J4868"/>
    </row>
    <row r="4869" spans="6:10">
      <c r="F4869"/>
      <c r="G4869"/>
      <c r="H4869"/>
      <c r="I4869"/>
      <c r="J4869"/>
    </row>
    <row r="4870" spans="6:10">
      <c r="F4870"/>
      <c r="G4870"/>
      <c r="H4870"/>
      <c r="I4870"/>
      <c r="J4870"/>
    </row>
    <row r="4871" spans="6:10">
      <c r="F4871"/>
      <c r="G4871"/>
      <c r="H4871"/>
      <c r="I4871"/>
      <c r="J4871"/>
    </row>
    <row r="4872" spans="6:10">
      <c r="F4872"/>
      <c r="G4872"/>
      <c r="H4872"/>
      <c r="I4872"/>
      <c r="J4872"/>
    </row>
    <row r="4873" spans="6:10">
      <c r="F4873"/>
      <c r="G4873"/>
      <c r="H4873"/>
      <c r="I4873"/>
      <c r="J4873"/>
    </row>
    <row r="4874" spans="6:10">
      <c r="F4874"/>
      <c r="G4874"/>
      <c r="H4874"/>
      <c r="I4874"/>
      <c r="J4874"/>
    </row>
    <row r="4875" spans="6:10">
      <c r="F4875"/>
      <c r="G4875"/>
      <c r="H4875"/>
      <c r="I4875"/>
      <c r="J4875"/>
    </row>
    <row r="4876" spans="6:10">
      <c r="F4876"/>
      <c r="G4876"/>
      <c r="H4876"/>
      <c r="I4876"/>
      <c r="J4876"/>
    </row>
    <row r="4877" spans="6:10">
      <c r="F4877"/>
      <c r="G4877"/>
      <c r="H4877"/>
      <c r="I4877"/>
      <c r="J4877"/>
    </row>
    <row r="4878" spans="6:10">
      <c r="F4878"/>
      <c r="G4878"/>
      <c r="H4878"/>
      <c r="I4878"/>
      <c r="J4878"/>
    </row>
    <row r="4879" spans="6:10">
      <c r="F4879"/>
      <c r="G4879"/>
      <c r="H4879"/>
      <c r="I4879"/>
      <c r="J4879"/>
    </row>
    <row r="4880" spans="6:10">
      <c r="F4880"/>
      <c r="G4880"/>
      <c r="H4880"/>
      <c r="I4880"/>
      <c r="J4880"/>
    </row>
    <row r="4881" spans="6:10">
      <c r="F4881"/>
      <c r="G4881"/>
      <c r="H4881"/>
      <c r="I4881"/>
      <c r="J4881"/>
    </row>
    <row r="4882" spans="6:10">
      <c r="F4882"/>
      <c r="G4882"/>
      <c r="H4882"/>
      <c r="I4882"/>
      <c r="J4882"/>
    </row>
    <row r="4883" spans="6:10">
      <c r="F4883"/>
      <c r="G4883"/>
      <c r="H4883"/>
      <c r="I4883"/>
      <c r="J4883"/>
    </row>
    <row r="4884" spans="6:10">
      <c r="F4884"/>
      <c r="G4884"/>
      <c r="H4884"/>
      <c r="I4884"/>
      <c r="J4884"/>
    </row>
    <row r="4885" spans="6:10">
      <c r="F4885"/>
      <c r="G4885"/>
      <c r="H4885"/>
      <c r="I4885"/>
      <c r="J4885"/>
    </row>
    <row r="4886" spans="6:10">
      <c r="F4886"/>
      <c r="G4886"/>
      <c r="H4886"/>
      <c r="I4886"/>
      <c r="J4886"/>
    </row>
    <row r="4887" spans="6:10">
      <c r="F4887"/>
      <c r="G4887"/>
      <c r="H4887"/>
      <c r="I4887"/>
      <c r="J4887"/>
    </row>
    <row r="4888" spans="6:10">
      <c r="F4888"/>
      <c r="G4888"/>
      <c r="H4888"/>
      <c r="I4888"/>
      <c r="J4888"/>
    </row>
    <row r="4889" spans="6:10">
      <c r="F4889"/>
      <c r="G4889"/>
      <c r="H4889"/>
      <c r="I4889"/>
      <c r="J4889"/>
    </row>
    <row r="4890" spans="6:10">
      <c r="F4890"/>
      <c r="G4890"/>
      <c r="H4890"/>
      <c r="I4890"/>
      <c r="J4890"/>
    </row>
    <row r="4891" spans="6:10">
      <c r="F4891"/>
      <c r="G4891"/>
      <c r="H4891"/>
      <c r="I4891"/>
      <c r="J4891"/>
    </row>
    <row r="4892" spans="6:10">
      <c r="F4892"/>
      <c r="G4892"/>
      <c r="H4892"/>
      <c r="I4892"/>
      <c r="J4892"/>
    </row>
    <row r="4893" spans="6:10">
      <c r="F4893"/>
      <c r="G4893"/>
      <c r="H4893"/>
      <c r="I4893"/>
      <c r="J4893"/>
    </row>
    <row r="4894" spans="6:10">
      <c r="F4894"/>
      <c r="G4894"/>
      <c r="H4894"/>
      <c r="I4894"/>
      <c r="J4894"/>
    </row>
    <row r="4895" spans="6:10">
      <c r="F4895"/>
      <c r="G4895"/>
      <c r="H4895"/>
      <c r="I4895"/>
      <c r="J4895"/>
    </row>
    <row r="4896" spans="6:10">
      <c r="F4896"/>
      <c r="G4896"/>
      <c r="H4896"/>
      <c r="I4896"/>
      <c r="J4896"/>
    </row>
    <row r="4897" spans="6:10">
      <c r="F4897"/>
      <c r="G4897"/>
      <c r="H4897"/>
      <c r="I4897"/>
      <c r="J4897"/>
    </row>
    <row r="4898" spans="6:10">
      <c r="F4898"/>
      <c r="G4898"/>
      <c r="H4898"/>
      <c r="I4898"/>
      <c r="J4898"/>
    </row>
    <row r="4899" spans="6:10">
      <c r="F4899"/>
      <c r="G4899"/>
      <c r="H4899"/>
      <c r="I4899"/>
      <c r="J4899"/>
    </row>
    <row r="4900" spans="6:10">
      <c r="F4900"/>
      <c r="G4900"/>
      <c r="H4900"/>
      <c r="I4900"/>
      <c r="J4900"/>
    </row>
    <row r="4901" spans="6:10">
      <c r="F4901"/>
      <c r="G4901"/>
      <c r="H4901"/>
      <c r="I4901"/>
      <c r="J4901"/>
    </row>
    <row r="4902" spans="6:10">
      <c r="F4902"/>
      <c r="G4902"/>
      <c r="H4902"/>
      <c r="I4902"/>
      <c r="J4902"/>
    </row>
    <row r="4903" spans="6:10">
      <c r="F4903"/>
      <c r="G4903"/>
      <c r="H4903"/>
      <c r="I4903"/>
      <c r="J4903"/>
    </row>
    <row r="4904" spans="6:10">
      <c r="F4904"/>
      <c r="G4904"/>
      <c r="H4904"/>
      <c r="I4904"/>
      <c r="J4904"/>
    </row>
    <row r="4905" spans="6:10">
      <c r="F4905"/>
      <c r="G4905"/>
      <c r="H4905"/>
      <c r="I4905"/>
      <c r="J4905"/>
    </row>
    <row r="4906" spans="6:10">
      <c r="F4906"/>
      <c r="G4906"/>
      <c r="H4906"/>
      <c r="I4906"/>
      <c r="J4906"/>
    </row>
    <row r="4907" spans="6:10">
      <c r="F4907"/>
      <c r="G4907"/>
      <c r="H4907"/>
      <c r="I4907"/>
      <c r="J4907"/>
    </row>
    <row r="4908" spans="6:10">
      <c r="F4908"/>
      <c r="G4908"/>
      <c r="H4908"/>
      <c r="I4908"/>
      <c r="J4908"/>
    </row>
    <row r="4909" spans="6:10">
      <c r="F4909"/>
      <c r="G4909"/>
      <c r="H4909"/>
      <c r="I4909"/>
      <c r="J4909"/>
    </row>
    <row r="4910" spans="6:10">
      <c r="F4910"/>
      <c r="G4910"/>
      <c r="H4910"/>
      <c r="I4910"/>
      <c r="J4910"/>
    </row>
    <row r="4911" spans="6:10">
      <c r="F4911"/>
      <c r="G4911"/>
      <c r="H4911"/>
      <c r="I4911"/>
      <c r="J4911"/>
    </row>
    <row r="4912" spans="6:10">
      <c r="F4912"/>
      <c r="G4912"/>
      <c r="H4912"/>
      <c r="I4912"/>
      <c r="J4912"/>
    </row>
    <row r="4913" spans="6:10">
      <c r="F4913"/>
      <c r="G4913"/>
      <c r="H4913"/>
      <c r="I4913"/>
      <c r="J4913"/>
    </row>
    <row r="4914" spans="6:10">
      <c r="F4914"/>
      <c r="G4914"/>
      <c r="H4914"/>
      <c r="I4914"/>
      <c r="J4914"/>
    </row>
    <row r="4915" spans="6:10">
      <c r="F4915"/>
      <c r="G4915"/>
      <c r="H4915"/>
      <c r="I4915"/>
      <c r="J4915"/>
    </row>
    <row r="4916" spans="6:10">
      <c r="F4916"/>
      <c r="G4916"/>
      <c r="H4916"/>
      <c r="I4916"/>
      <c r="J4916"/>
    </row>
    <row r="4917" spans="6:10">
      <c r="F4917"/>
      <c r="G4917"/>
      <c r="H4917"/>
      <c r="I4917"/>
      <c r="J4917"/>
    </row>
    <row r="4918" spans="6:10">
      <c r="F4918"/>
      <c r="G4918"/>
      <c r="H4918"/>
      <c r="I4918"/>
      <c r="J4918"/>
    </row>
    <row r="4919" spans="6:10">
      <c r="F4919"/>
      <c r="G4919"/>
      <c r="H4919"/>
      <c r="I4919"/>
      <c r="J4919"/>
    </row>
    <row r="4920" spans="6:10">
      <c r="F4920"/>
      <c r="G4920"/>
      <c r="H4920"/>
      <c r="I4920"/>
      <c r="J4920"/>
    </row>
    <row r="4921" spans="6:10">
      <c r="F4921"/>
      <c r="G4921"/>
      <c r="H4921"/>
      <c r="I4921"/>
      <c r="J4921"/>
    </row>
    <row r="4922" spans="6:10">
      <c r="F4922"/>
      <c r="G4922"/>
      <c r="H4922"/>
      <c r="I4922"/>
      <c r="J4922"/>
    </row>
    <row r="4923" spans="6:10">
      <c r="F4923"/>
      <c r="G4923"/>
      <c r="H4923"/>
      <c r="I4923"/>
      <c r="J4923"/>
    </row>
    <row r="4924" spans="6:10">
      <c r="F4924"/>
      <c r="G4924"/>
      <c r="H4924"/>
      <c r="I4924"/>
      <c r="J4924"/>
    </row>
    <row r="4925" spans="6:10">
      <c r="F4925"/>
      <c r="G4925"/>
      <c r="H4925"/>
      <c r="I4925"/>
      <c r="J4925"/>
    </row>
    <row r="4926" spans="6:10">
      <c r="F4926"/>
      <c r="G4926"/>
      <c r="H4926"/>
      <c r="I4926"/>
      <c r="J4926"/>
    </row>
    <row r="4927" spans="6:10">
      <c r="F4927"/>
      <c r="G4927"/>
      <c r="H4927"/>
      <c r="I4927"/>
      <c r="J4927"/>
    </row>
    <row r="4928" spans="6:10">
      <c r="F4928"/>
      <c r="G4928"/>
      <c r="H4928"/>
      <c r="I4928"/>
      <c r="J4928"/>
    </row>
    <row r="4929" spans="6:10">
      <c r="F4929"/>
      <c r="G4929"/>
      <c r="H4929"/>
      <c r="I4929"/>
      <c r="J4929"/>
    </row>
    <row r="4930" spans="6:10">
      <c r="F4930"/>
      <c r="G4930"/>
      <c r="H4930"/>
      <c r="I4930"/>
      <c r="J4930"/>
    </row>
    <row r="4931" spans="6:10">
      <c r="F4931"/>
      <c r="G4931"/>
      <c r="H4931"/>
      <c r="I4931"/>
      <c r="J4931"/>
    </row>
    <row r="4932" spans="6:10">
      <c r="F4932"/>
      <c r="G4932"/>
      <c r="H4932"/>
      <c r="I4932"/>
      <c r="J4932"/>
    </row>
    <row r="4933" spans="6:10">
      <c r="F4933"/>
      <c r="G4933"/>
      <c r="H4933"/>
      <c r="I4933"/>
      <c r="J4933"/>
    </row>
    <row r="4934" spans="6:10">
      <c r="F4934"/>
      <c r="G4934"/>
      <c r="H4934"/>
      <c r="I4934"/>
      <c r="J4934"/>
    </row>
    <row r="4935" spans="6:10">
      <c r="F4935"/>
      <c r="G4935"/>
      <c r="H4935"/>
      <c r="I4935"/>
      <c r="J4935"/>
    </row>
    <row r="4936" spans="6:10">
      <c r="F4936"/>
      <c r="G4936"/>
      <c r="H4936"/>
      <c r="I4936"/>
      <c r="J4936"/>
    </row>
    <row r="4937" spans="6:10">
      <c r="F4937"/>
      <c r="G4937"/>
      <c r="H4937"/>
      <c r="I4937"/>
      <c r="J4937"/>
    </row>
    <row r="4938" spans="6:10">
      <c r="F4938"/>
      <c r="G4938"/>
      <c r="H4938"/>
      <c r="I4938"/>
      <c r="J4938"/>
    </row>
    <row r="4939" spans="6:10">
      <c r="F4939"/>
      <c r="G4939"/>
      <c r="H4939"/>
      <c r="I4939"/>
      <c r="J4939"/>
    </row>
    <row r="4940" spans="6:10">
      <c r="F4940"/>
      <c r="G4940"/>
      <c r="H4940"/>
      <c r="I4940"/>
      <c r="J4940"/>
    </row>
    <row r="4941" spans="6:10">
      <c r="F4941"/>
      <c r="G4941"/>
      <c r="H4941"/>
      <c r="I4941"/>
      <c r="J4941"/>
    </row>
    <row r="4942" spans="6:10">
      <c r="F4942"/>
      <c r="G4942"/>
      <c r="H4942"/>
      <c r="I4942"/>
      <c r="J4942"/>
    </row>
    <row r="4943" spans="6:10">
      <c r="F4943"/>
      <c r="G4943"/>
      <c r="H4943"/>
      <c r="I4943"/>
      <c r="J4943"/>
    </row>
    <row r="4944" spans="6:10">
      <c r="F4944"/>
      <c r="G4944"/>
      <c r="H4944"/>
      <c r="I4944"/>
      <c r="J4944"/>
    </row>
    <row r="4945" spans="6:10">
      <c r="F4945"/>
      <c r="G4945"/>
      <c r="H4945"/>
      <c r="I4945"/>
      <c r="J4945"/>
    </row>
    <row r="4946" spans="6:10">
      <c r="F4946"/>
      <c r="G4946"/>
      <c r="H4946"/>
      <c r="I4946"/>
      <c r="J4946"/>
    </row>
    <row r="4947" spans="6:10">
      <c r="F4947"/>
      <c r="G4947"/>
      <c r="H4947"/>
      <c r="I4947"/>
      <c r="J4947"/>
    </row>
    <row r="4948" spans="6:10">
      <c r="F4948"/>
      <c r="G4948"/>
      <c r="H4948"/>
      <c r="I4948"/>
      <c r="J4948"/>
    </row>
    <row r="4949" spans="6:10">
      <c r="F4949"/>
      <c r="G4949"/>
      <c r="H4949"/>
      <c r="I4949"/>
      <c r="J4949"/>
    </row>
    <row r="4950" spans="6:10">
      <c r="F4950"/>
      <c r="G4950"/>
      <c r="H4950"/>
      <c r="I4950"/>
      <c r="J4950"/>
    </row>
    <row r="4951" spans="6:10">
      <c r="F4951"/>
      <c r="G4951"/>
      <c r="H4951"/>
      <c r="I4951"/>
      <c r="J4951"/>
    </row>
    <row r="4952" spans="6:10">
      <c r="F4952"/>
      <c r="G4952"/>
      <c r="H4952"/>
      <c r="I4952"/>
      <c r="J4952"/>
    </row>
    <row r="4953" spans="6:10">
      <c r="F4953"/>
      <c r="G4953"/>
      <c r="H4953"/>
      <c r="I4953"/>
      <c r="J4953"/>
    </row>
    <row r="4954" spans="6:10">
      <c r="F4954"/>
      <c r="G4954"/>
      <c r="H4954"/>
      <c r="I4954"/>
      <c r="J4954"/>
    </row>
    <row r="4955" spans="6:10">
      <c r="F4955"/>
      <c r="G4955"/>
      <c r="H4955"/>
      <c r="I4955"/>
      <c r="J4955"/>
    </row>
    <row r="4956" spans="6:10">
      <c r="F4956"/>
      <c r="G4956"/>
      <c r="H4956"/>
      <c r="I4956"/>
      <c r="J4956"/>
    </row>
    <row r="4957" spans="6:10">
      <c r="F4957"/>
      <c r="G4957"/>
      <c r="H4957"/>
      <c r="I4957"/>
      <c r="J4957"/>
    </row>
    <row r="4958" spans="6:10">
      <c r="F4958"/>
      <c r="G4958"/>
      <c r="H4958"/>
      <c r="I4958"/>
      <c r="J4958"/>
    </row>
    <row r="4959" spans="6:10">
      <c r="F4959"/>
      <c r="G4959"/>
      <c r="H4959"/>
      <c r="I4959"/>
      <c r="J4959"/>
    </row>
    <row r="4960" spans="6:10">
      <c r="F4960"/>
      <c r="G4960"/>
      <c r="H4960"/>
      <c r="I4960"/>
      <c r="J4960"/>
    </row>
    <row r="4961" spans="6:10">
      <c r="F4961"/>
      <c r="G4961"/>
      <c r="H4961"/>
      <c r="I4961"/>
      <c r="J4961"/>
    </row>
    <row r="4962" spans="6:10">
      <c r="F4962"/>
      <c r="G4962"/>
      <c r="H4962"/>
      <c r="I4962"/>
      <c r="J4962"/>
    </row>
    <row r="4963" spans="6:10">
      <c r="F4963"/>
      <c r="G4963"/>
      <c r="H4963"/>
      <c r="I4963"/>
      <c r="J4963"/>
    </row>
    <row r="4964" spans="6:10">
      <c r="F4964"/>
      <c r="G4964"/>
      <c r="H4964"/>
      <c r="I4964"/>
      <c r="J4964"/>
    </row>
    <row r="4965" spans="6:10">
      <c r="F4965"/>
      <c r="G4965"/>
      <c r="H4965"/>
      <c r="I4965"/>
      <c r="J4965"/>
    </row>
    <row r="4966" spans="6:10">
      <c r="F4966"/>
      <c r="G4966"/>
      <c r="H4966"/>
      <c r="I4966"/>
      <c r="J4966"/>
    </row>
    <row r="4967" spans="6:10">
      <c r="F4967"/>
      <c r="G4967"/>
      <c r="H4967"/>
      <c r="I4967"/>
      <c r="J4967"/>
    </row>
    <row r="4968" spans="6:10">
      <c r="F4968"/>
      <c r="G4968"/>
      <c r="H4968"/>
      <c r="I4968"/>
      <c r="J4968"/>
    </row>
    <row r="4969" spans="6:10">
      <c r="F4969"/>
      <c r="G4969"/>
      <c r="H4969"/>
      <c r="I4969"/>
      <c r="J4969"/>
    </row>
    <row r="4970" spans="6:10">
      <c r="F4970"/>
      <c r="G4970"/>
      <c r="H4970"/>
      <c r="I4970"/>
      <c r="J4970"/>
    </row>
    <row r="4971" spans="6:10">
      <c r="F4971"/>
      <c r="G4971"/>
      <c r="H4971"/>
      <c r="I4971"/>
      <c r="J4971"/>
    </row>
    <row r="4972" spans="6:10">
      <c r="F4972"/>
      <c r="G4972"/>
      <c r="H4972"/>
      <c r="I4972"/>
      <c r="J4972"/>
    </row>
    <row r="4973" spans="6:10">
      <c r="F4973"/>
      <c r="G4973"/>
      <c r="H4973"/>
      <c r="I4973"/>
      <c r="J4973"/>
    </row>
    <row r="4974" spans="6:10">
      <c r="F4974"/>
      <c r="G4974"/>
      <c r="H4974"/>
      <c r="I4974"/>
      <c r="J4974"/>
    </row>
    <row r="4975" spans="6:10">
      <c r="F4975"/>
      <c r="G4975"/>
      <c r="H4975"/>
      <c r="I4975"/>
      <c r="J4975"/>
    </row>
    <row r="4976" spans="6:10">
      <c r="F4976"/>
      <c r="G4976"/>
      <c r="H4976"/>
      <c r="I4976"/>
      <c r="J4976"/>
    </row>
    <row r="4977" spans="6:10">
      <c r="F4977"/>
      <c r="G4977"/>
      <c r="H4977"/>
      <c r="I4977"/>
      <c r="J4977"/>
    </row>
    <row r="4978" spans="6:10">
      <c r="F4978"/>
      <c r="G4978"/>
      <c r="H4978"/>
      <c r="I4978"/>
      <c r="J4978"/>
    </row>
    <row r="4979" spans="6:10">
      <c r="F4979"/>
      <c r="G4979"/>
      <c r="H4979"/>
      <c r="I4979"/>
      <c r="J4979"/>
    </row>
    <row r="4980" spans="6:10">
      <c r="F4980"/>
      <c r="G4980"/>
      <c r="H4980"/>
      <c r="I4980"/>
      <c r="J4980"/>
    </row>
    <row r="4981" spans="6:10">
      <c r="F4981"/>
      <c r="G4981"/>
      <c r="H4981"/>
      <c r="I4981"/>
      <c r="J4981"/>
    </row>
    <row r="4982" spans="6:10">
      <c r="F4982"/>
      <c r="G4982"/>
      <c r="H4982"/>
      <c r="I4982"/>
      <c r="J4982"/>
    </row>
    <row r="4983" spans="6:10">
      <c r="F4983"/>
      <c r="G4983"/>
      <c r="H4983"/>
      <c r="I4983"/>
      <c r="J4983"/>
    </row>
    <row r="4984" spans="6:10">
      <c r="F4984"/>
      <c r="G4984"/>
      <c r="H4984"/>
      <c r="I4984"/>
      <c r="J4984"/>
    </row>
    <row r="4985" spans="6:10">
      <c r="F4985"/>
      <c r="G4985"/>
      <c r="H4985"/>
      <c r="I4985"/>
      <c r="J4985"/>
    </row>
    <row r="4986" spans="6:10">
      <c r="F4986"/>
      <c r="G4986"/>
      <c r="H4986"/>
      <c r="I4986"/>
      <c r="J4986"/>
    </row>
    <row r="4987" spans="6:10">
      <c r="F4987"/>
      <c r="G4987"/>
      <c r="H4987"/>
      <c r="I4987"/>
      <c r="J4987"/>
    </row>
    <row r="4988" spans="6:10">
      <c r="F4988"/>
      <c r="G4988"/>
      <c r="H4988"/>
      <c r="I4988"/>
      <c r="J4988"/>
    </row>
    <row r="4989" spans="6:10">
      <c r="F4989"/>
      <c r="G4989"/>
      <c r="H4989"/>
      <c r="I4989"/>
      <c r="J4989"/>
    </row>
    <row r="4990" spans="6:10">
      <c r="F4990"/>
      <c r="G4990"/>
      <c r="H4990"/>
      <c r="I4990"/>
      <c r="J4990"/>
    </row>
    <row r="4991" spans="6:10">
      <c r="F4991"/>
      <c r="G4991"/>
      <c r="H4991"/>
      <c r="I4991"/>
      <c r="J4991"/>
    </row>
    <row r="4992" spans="6:10">
      <c r="F4992"/>
      <c r="G4992"/>
      <c r="H4992"/>
      <c r="I4992"/>
      <c r="J4992"/>
    </row>
    <row r="4993" spans="6:10">
      <c r="F4993"/>
      <c r="G4993"/>
      <c r="H4993"/>
      <c r="I4993"/>
      <c r="J4993"/>
    </row>
    <row r="4994" spans="6:10">
      <c r="F4994"/>
      <c r="G4994"/>
      <c r="H4994"/>
      <c r="I4994"/>
      <c r="J4994"/>
    </row>
    <row r="4995" spans="6:10">
      <c r="F4995"/>
      <c r="G4995"/>
      <c r="H4995"/>
      <c r="I4995"/>
      <c r="J4995"/>
    </row>
    <row r="4996" spans="6:10">
      <c r="F4996"/>
      <c r="G4996"/>
      <c r="H4996"/>
      <c r="I4996"/>
      <c r="J4996"/>
    </row>
    <row r="4997" spans="6:10">
      <c r="F4997"/>
      <c r="G4997"/>
      <c r="H4997"/>
      <c r="I4997"/>
      <c r="J4997"/>
    </row>
    <row r="4998" spans="6:10">
      <c r="F4998"/>
      <c r="G4998"/>
      <c r="H4998"/>
      <c r="I4998"/>
      <c r="J4998"/>
    </row>
    <row r="4999" spans="6:10">
      <c r="F4999"/>
      <c r="G4999"/>
      <c r="H4999"/>
      <c r="I4999"/>
      <c r="J4999"/>
    </row>
    <row r="5000" spans="6:10">
      <c r="F5000"/>
      <c r="G5000"/>
      <c r="H5000"/>
      <c r="I5000"/>
      <c r="J5000"/>
    </row>
    <row r="5001" spans="6:10">
      <c r="F5001"/>
      <c r="G5001"/>
      <c r="H5001"/>
      <c r="I5001"/>
      <c r="J5001"/>
    </row>
    <row r="5002" spans="6:10">
      <c r="F5002"/>
      <c r="G5002"/>
      <c r="H5002"/>
      <c r="I5002"/>
      <c r="J5002"/>
    </row>
    <row r="5003" spans="6:10">
      <c r="F5003"/>
      <c r="G5003"/>
      <c r="H5003"/>
      <c r="I5003"/>
      <c r="J5003"/>
    </row>
    <row r="5004" spans="6:10">
      <c r="F5004"/>
      <c r="G5004"/>
      <c r="H5004"/>
      <c r="I5004"/>
      <c r="J5004"/>
    </row>
    <row r="5005" spans="6:10">
      <c r="F5005"/>
      <c r="G5005"/>
      <c r="H5005"/>
      <c r="I5005"/>
      <c r="J5005"/>
    </row>
    <row r="5006" spans="6:10">
      <c r="F5006"/>
      <c r="G5006"/>
      <c r="H5006"/>
      <c r="I5006"/>
      <c r="J5006"/>
    </row>
    <row r="5007" spans="6:10">
      <c r="F5007"/>
      <c r="G5007"/>
      <c r="H5007"/>
      <c r="I5007"/>
      <c r="J5007"/>
    </row>
    <row r="5008" spans="6:10">
      <c r="F5008"/>
      <c r="G5008"/>
      <c r="H5008"/>
      <c r="I5008"/>
      <c r="J5008"/>
    </row>
    <row r="5009" spans="6:10">
      <c r="F5009"/>
      <c r="G5009"/>
      <c r="H5009"/>
      <c r="I5009"/>
      <c r="J5009"/>
    </row>
    <row r="5010" spans="6:10">
      <c r="F5010"/>
      <c r="G5010"/>
      <c r="H5010"/>
      <c r="I5010"/>
      <c r="J5010"/>
    </row>
    <row r="5011" spans="6:10">
      <c r="F5011"/>
      <c r="G5011"/>
      <c r="H5011"/>
      <c r="I5011"/>
      <c r="J5011"/>
    </row>
    <row r="5012" spans="6:10">
      <c r="F5012"/>
      <c r="G5012"/>
      <c r="H5012"/>
      <c r="I5012"/>
      <c r="J5012"/>
    </row>
    <row r="5013" spans="6:10">
      <c r="F5013"/>
      <c r="G5013"/>
      <c r="H5013"/>
      <c r="I5013"/>
      <c r="J5013"/>
    </row>
    <row r="5014" spans="6:10">
      <c r="F5014"/>
      <c r="G5014"/>
      <c r="H5014"/>
      <c r="I5014"/>
      <c r="J5014"/>
    </row>
    <row r="5015" spans="6:10">
      <c r="F5015"/>
      <c r="G5015"/>
      <c r="H5015"/>
      <c r="I5015"/>
      <c r="J5015"/>
    </row>
    <row r="5016" spans="6:10">
      <c r="F5016"/>
      <c r="G5016"/>
      <c r="H5016"/>
      <c r="I5016"/>
      <c r="J5016"/>
    </row>
    <row r="5017" spans="6:10">
      <c r="F5017"/>
      <c r="G5017"/>
      <c r="H5017"/>
      <c r="I5017"/>
      <c r="J5017"/>
    </row>
    <row r="5018" spans="6:10">
      <c r="F5018"/>
      <c r="G5018"/>
      <c r="H5018"/>
      <c r="I5018"/>
      <c r="J5018"/>
    </row>
    <row r="5019" spans="6:10">
      <c r="F5019"/>
      <c r="G5019"/>
      <c r="H5019"/>
      <c r="I5019"/>
      <c r="J5019"/>
    </row>
    <row r="5020" spans="6:10">
      <c r="F5020"/>
      <c r="G5020"/>
      <c r="H5020"/>
      <c r="I5020"/>
      <c r="J5020"/>
    </row>
    <row r="5021" spans="6:10">
      <c r="F5021"/>
      <c r="G5021"/>
      <c r="H5021"/>
      <c r="I5021"/>
      <c r="J5021"/>
    </row>
    <row r="5022" spans="6:10">
      <c r="F5022"/>
      <c r="G5022"/>
      <c r="H5022"/>
      <c r="I5022"/>
      <c r="J5022"/>
    </row>
    <row r="5023" spans="6:10">
      <c r="F5023"/>
      <c r="G5023"/>
      <c r="H5023"/>
      <c r="I5023"/>
      <c r="J5023"/>
    </row>
    <row r="5024" spans="6:10">
      <c r="F5024"/>
      <c r="G5024"/>
      <c r="H5024"/>
      <c r="I5024"/>
      <c r="J5024"/>
    </row>
    <row r="5025" spans="6:10">
      <c r="F5025"/>
      <c r="G5025"/>
      <c r="H5025"/>
      <c r="I5025"/>
      <c r="J5025"/>
    </row>
    <row r="5026" spans="6:10">
      <c r="F5026"/>
      <c r="G5026"/>
      <c r="H5026"/>
      <c r="I5026"/>
      <c r="J5026"/>
    </row>
    <row r="5027" spans="6:10">
      <c r="F5027"/>
      <c r="G5027"/>
      <c r="H5027"/>
      <c r="I5027"/>
      <c r="J5027"/>
    </row>
    <row r="5028" spans="6:10">
      <c r="F5028"/>
      <c r="G5028"/>
      <c r="H5028"/>
      <c r="I5028"/>
      <c r="J5028"/>
    </row>
    <row r="5029" spans="6:10">
      <c r="F5029"/>
      <c r="G5029"/>
      <c r="H5029"/>
      <c r="I5029"/>
      <c r="J5029"/>
    </row>
    <row r="5030" spans="6:10">
      <c r="F5030"/>
      <c r="G5030"/>
      <c r="H5030"/>
      <c r="I5030"/>
      <c r="J5030"/>
    </row>
    <row r="5031" spans="6:10">
      <c r="F5031"/>
      <c r="G5031"/>
      <c r="H5031"/>
      <c r="I5031"/>
      <c r="J5031"/>
    </row>
    <row r="5032" spans="6:10">
      <c r="F5032"/>
      <c r="G5032"/>
      <c r="H5032"/>
      <c r="I5032"/>
      <c r="J5032"/>
    </row>
    <row r="5033" spans="6:10">
      <c r="F5033"/>
      <c r="G5033"/>
      <c r="H5033"/>
      <c r="I5033"/>
      <c r="J5033"/>
    </row>
    <row r="5034" spans="6:10">
      <c r="F5034"/>
      <c r="G5034"/>
      <c r="H5034"/>
      <c r="I5034"/>
      <c r="J5034"/>
    </row>
    <row r="5035" spans="6:10">
      <c r="F5035"/>
      <c r="G5035"/>
      <c r="H5035"/>
      <c r="I5035"/>
      <c r="J5035"/>
    </row>
    <row r="5036" spans="6:10">
      <c r="F5036"/>
      <c r="G5036"/>
      <c r="H5036"/>
      <c r="I5036"/>
      <c r="J5036"/>
    </row>
    <row r="5037" spans="6:10">
      <c r="F5037"/>
      <c r="G5037"/>
      <c r="H5037"/>
      <c r="I5037"/>
      <c r="J5037"/>
    </row>
    <row r="5038" spans="6:10">
      <c r="F5038"/>
      <c r="G5038"/>
      <c r="H5038"/>
      <c r="I5038"/>
      <c r="J5038"/>
    </row>
    <row r="5039" spans="6:10">
      <c r="F5039"/>
      <c r="G5039"/>
      <c r="H5039"/>
      <c r="I5039"/>
      <c r="J5039"/>
    </row>
    <row r="5040" spans="6:10">
      <c r="F5040"/>
      <c r="G5040"/>
      <c r="H5040"/>
      <c r="I5040"/>
      <c r="J5040"/>
    </row>
    <row r="5041" spans="6:10">
      <c r="F5041"/>
      <c r="G5041"/>
      <c r="H5041"/>
      <c r="I5041"/>
      <c r="J5041"/>
    </row>
    <row r="5042" spans="6:10">
      <c r="F5042"/>
      <c r="G5042"/>
      <c r="H5042"/>
      <c r="I5042"/>
      <c r="J5042"/>
    </row>
    <row r="5043" spans="6:10">
      <c r="F5043"/>
      <c r="G5043"/>
      <c r="H5043"/>
      <c r="I5043"/>
      <c r="J5043"/>
    </row>
    <row r="5044" spans="6:10">
      <c r="F5044"/>
      <c r="G5044"/>
      <c r="H5044"/>
      <c r="I5044"/>
      <c r="J5044"/>
    </row>
    <row r="5045" spans="6:10">
      <c r="F5045"/>
      <c r="G5045"/>
      <c r="H5045"/>
      <c r="I5045"/>
      <c r="J5045"/>
    </row>
    <row r="5046" spans="6:10">
      <c r="F5046"/>
      <c r="G5046"/>
      <c r="H5046"/>
      <c r="I5046"/>
      <c r="J5046"/>
    </row>
    <row r="5047" spans="6:10">
      <c r="F5047"/>
      <c r="G5047"/>
      <c r="H5047"/>
      <c r="I5047"/>
      <c r="J5047"/>
    </row>
    <row r="5048" spans="6:10">
      <c r="F5048"/>
      <c r="G5048"/>
      <c r="H5048"/>
      <c r="I5048"/>
      <c r="J5048"/>
    </row>
    <row r="5049" spans="6:10">
      <c r="F5049"/>
      <c r="G5049"/>
      <c r="H5049"/>
      <c r="I5049"/>
      <c r="J5049"/>
    </row>
    <row r="5050" spans="6:10">
      <c r="F5050"/>
      <c r="G5050"/>
      <c r="H5050"/>
      <c r="I5050"/>
      <c r="J5050"/>
    </row>
    <row r="5051" spans="6:10">
      <c r="F5051"/>
      <c r="G5051"/>
      <c r="H5051"/>
      <c r="I5051"/>
      <c r="J5051"/>
    </row>
    <row r="5052" spans="6:10">
      <c r="F5052"/>
      <c r="G5052"/>
      <c r="H5052"/>
      <c r="I5052"/>
      <c r="J5052"/>
    </row>
    <row r="5053" spans="6:10">
      <c r="F5053"/>
      <c r="G5053"/>
      <c r="H5053"/>
      <c r="I5053"/>
      <c r="J5053"/>
    </row>
    <row r="5054" spans="6:10">
      <c r="F5054"/>
      <c r="G5054"/>
      <c r="H5054"/>
      <c r="I5054"/>
      <c r="J5054"/>
    </row>
    <row r="5055" spans="6:10">
      <c r="F5055"/>
      <c r="G5055"/>
      <c r="H5055"/>
      <c r="I5055"/>
      <c r="J5055"/>
    </row>
    <row r="5056" spans="6:10">
      <c r="F5056"/>
      <c r="G5056"/>
      <c r="H5056"/>
      <c r="I5056"/>
      <c r="J5056"/>
    </row>
    <row r="5057" spans="6:10">
      <c r="F5057"/>
      <c r="G5057"/>
      <c r="H5057"/>
      <c r="I5057"/>
      <c r="J5057"/>
    </row>
    <row r="5058" spans="6:10">
      <c r="F5058"/>
      <c r="G5058"/>
      <c r="H5058"/>
      <c r="I5058"/>
      <c r="J5058"/>
    </row>
    <row r="5059" spans="6:10">
      <c r="F5059"/>
      <c r="G5059"/>
      <c r="H5059"/>
      <c r="I5059"/>
      <c r="J5059"/>
    </row>
    <row r="5060" spans="6:10">
      <c r="F5060"/>
      <c r="G5060"/>
      <c r="H5060"/>
      <c r="I5060"/>
      <c r="J5060"/>
    </row>
    <row r="5061" spans="6:10">
      <c r="F5061"/>
      <c r="G5061"/>
      <c r="H5061"/>
      <c r="I5061"/>
      <c r="J5061"/>
    </row>
    <row r="5062" spans="6:10">
      <c r="F5062"/>
      <c r="G5062"/>
      <c r="H5062"/>
      <c r="I5062"/>
      <c r="J5062"/>
    </row>
    <row r="5063" spans="6:10">
      <c r="F5063"/>
      <c r="G5063"/>
      <c r="H5063"/>
      <c r="I5063"/>
      <c r="J5063"/>
    </row>
    <row r="5064" spans="6:10">
      <c r="F5064"/>
      <c r="G5064"/>
      <c r="H5064"/>
      <c r="I5064"/>
      <c r="J5064"/>
    </row>
    <row r="5065" spans="6:10">
      <c r="F5065"/>
      <c r="G5065"/>
      <c r="H5065"/>
      <c r="I5065"/>
      <c r="J5065"/>
    </row>
    <row r="5066" spans="6:10">
      <c r="F5066"/>
      <c r="G5066"/>
      <c r="H5066"/>
      <c r="I5066"/>
      <c r="J5066"/>
    </row>
    <row r="5067" spans="6:10">
      <c r="F5067"/>
      <c r="G5067"/>
      <c r="H5067"/>
      <c r="I5067"/>
      <c r="J5067"/>
    </row>
    <row r="5068" spans="6:10">
      <c r="F5068"/>
      <c r="G5068"/>
      <c r="H5068"/>
      <c r="I5068"/>
      <c r="J5068"/>
    </row>
    <row r="5069" spans="6:10">
      <c r="F5069"/>
      <c r="G5069"/>
      <c r="H5069"/>
      <c r="I5069"/>
      <c r="J5069"/>
    </row>
    <row r="5070" spans="6:10">
      <c r="F5070"/>
      <c r="G5070"/>
      <c r="H5070"/>
      <c r="I5070"/>
      <c r="J5070"/>
    </row>
    <row r="5071" spans="6:10">
      <c r="F5071"/>
      <c r="G5071"/>
      <c r="H5071"/>
      <c r="I5071"/>
      <c r="J5071"/>
    </row>
    <row r="5072" spans="6:10">
      <c r="F5072"/>
      <c r="G5072"/>
      <c r="H5072"/>
      <c r="I5072"/>
      <c r="J5072"/>
    </row>
    <row r="5073" spans="6:10">
      <c r="F5073"/>
      <c r="G5073"/>
      <c r="H5073"/>
      <c r="I5073"/>
      <c r="J5073"/>
    </row>
    <row r="5074" spans="6:10">
      <c r="F5074"/>
      <c r="G5074"/>
      <c r="H5074"/>
      <c r="I5074"/>
      <c r="J5074"/>
    </row>
    <row r="5075" spans="6:10">
      <c r="F5075"/>
      <c r="G5075"/>
      <c r="H5075"/>
      <c r="I5075"/>
      <c r="J5075"/>
    </row>
    <row r="5076" spans="6:10">
      <c r="F5076"/>
      <c r="G5076"/>
      <c r="H5076"/>
      <c r="I5076"/>
      <c r="J5076"/>
    </row>
    <row r="5077" spans="6:10">
      <c r="F5077"/>
      <c r="G5077"/>
      <c r="H5077"/>
      <c r="I5077"/>
      <c r="J5077"/>
    </row>
    <row r="5078" spans="6:10">
      <c r="F5078"/>
      <c r="G5078"/>
      <c r="H5078"/>
      <c r="I5078"/>
      <c r="J5078"/>
    </row>
    <row r="5079" spans="6:10">
      <c r="F5079"/>
      <c r="G5079"/>
      <c r="H5079"/>
      <c r="I5079"/>
      <c r="J5079"/>
    </row>
    <row r="5080" spans="6:10">
      <c r="F5080"/>
      <c r="G5080"/>
      <c r="H5080"/>
      <c r="I5080"/>
      <c r="J5080"/>
    </row>
    <row r="5081" spans="6:10">
      <c r="F5081"/>
      <c r="G5081"/>
      <c r="H5081"/>
      <c r="I5081"/>
      <c r="J5081"/>
    </row>
    <row r="5082" spans="6:10">
      <c r="F5082"/>
      <c r="G5082"/>
      <c r="H5082"/>
      <c r="I5082"/>
      <c r="J5082"/>
    </row>
    <row r="5083" spans="6:10">
      <c r="F5083"/>
      <c r="G5083"/>
      <c r="H5083"/>
      <c r="I5083"/>
      <c r="J5083"/>
    </row>
    <row r="5084" spans="6:10">
      <c r="F5084"/>
      <c r="G5084"/>
      <c r="H5084"/>
      <c r="I5084"/>
      <c r="J5084"/>
    </row>
    <row r="5085" spans="6:10">
      <c r="F5085"/>
      <c r="G5085"/>
      <c r="H5085"/>
      <c r="I5085"/>
      <c r="J5085"/>
    </row>
    <row r="5086" spans="6:10">
      <c r="F5086"/>
      <c r="G5086"/>
      <c r="H5086"/>
      <c r="I5086"/>
      <c r="J5086"/>
    </row>
    <row r="5087" spans="6:10">
      <c r="F5087"/>
      <c r="G5087"/>
      <c r="H5087"/>
      <c r="I5087"/>
      <c r="J5087"/>
    </row>
    <row r="5088" spans="6:10">
      <c r="F5088"/>
      <c r="G5088"/>
      <c r="H5088"/>
      <c r="I5088"/>
      <c r="J5088"/>
    </row>
    <row r="5089" spans="6:10">
      <c r="F5089"/>
      <c r="G5089"/>
      <c r="H5089"/>
      <c r="I5089"/>
      <c r="J5089"/>
    </row>
    <row r="5090" spans="6:10">
      <c r="F5090"/>
      <c r="G5090"/>
      <c r="H5090"/>
      <c r="I5090"/>
      <c r="J5090"/>
    </row>
    <row r="5091" spans="6:10">
      <c r="F5091"/>
      <c r="G5091"/>
      <c r="H5091"/>
      <c r="I5091"/>
      <c r="J5091"/>
    </row>
    <row r="5092" spans="6:10">
      <c r="F5092"/>
      <c r="G5092"/>
      <c r="H5092"/>
      <c r="I5092"/>
      <c r="J5092"/>
    </row>
    <row r="5093" spans="6:10">
      <c r="F5093"/>
      <c r="G5093"/>
      <c r="H5093"/>
      <c r="I5093"/>
      <c r="J5093"/>
    </row>
    <row r="5094" spans="6:10">
      <c r="F5094"/>
      <c r="G5094"/>
      <c r="H5094"/>
      <c r="I5094"/>
      <c r="J5094"/>
    </row>
    <row r="5095" spans="6:10">
      <c r="F5095"/>
      <c r="G5095"/>
      <c r="H5095"/>
      <c r="I5095"/>
      <c r="J5095"/>
    </row>
    <row r="5096" spans="6:10">
      <c r="F5096"/>
      <c r="G5096"/>
      <c r="H5096"/>
      <c r="I5096"/>
      <c r="J5096"/>
    </row>
    <row r="5097" spans="6:10">
      <c r="F5097"/>
      <c r="G5097"/>
      <c r="H5097"/>
      <c r="I5097"/>
      <c r="J5097"/>
    </row>
    <row r="5098" spans="6:10">
      <c r="F5098"/>
      <c r="G5098"/>
      <c r="H5098"/>
      <c r="I5098"/>
      <c r="J5098"/>
    </row>
    <row r="5099" spans="6:10">
      <c r="F5099"/>
      <c r="G5099"/>
      <c r="H5099"/>
      <c r="I5099"/>
      <c r="J5099"/>
    </row>
    <row r="5100" spans="6:10">
      <c r="F5100"/>
      <c r="G5100"/>
      <c r="H5100"/>
      <c r="I5100"/>
      <c r="J5100"/>
    </row>
    <row r="5101" spans="6:10">
      <c r="F5101"/>
      <c r="G5101"/>
      <c r="H5101"/>
      <c r="I5101"/>
      <c r="J5101"/>
    </row>
    <row r="5102" spans="6:10">
      <c r="F5102"/>
      <c r="G5102"/>
      <c r="H5102"/>
      <c r="I5102"/>
      <c r="J5102"/>
    </row>
    <row r="5103" spans="6:10">
      <c r="F5103"/>
      <c r="G5103"/>
      <c r="H5103"/>
      <c r="I5103"/>
      <c r="J5103"/>
    </row>
    <row r="5104" spans="6:10">
      <c r="F5104"/>
      <c r="G5104"/>
      <c r="H5104"/>
      <c r="I5104"/>
      <c r="J5104"/>
    </row>
    <row r="5105" spans="6:10">
      <c r="F5105"/>
      <c r="G5105"/>
      <c r="H5105"/>
      <c r="I5105"/>
      <c r="J5105"/>
    </row>
    <row r="5106" spans="6:10">
      <c r="F5106"/>
      <c r="G5106"/>
      <c r="H5106"/>
      <c r="I5106"/>
      <c r="J5106"/>
    </row>
    <row r="5107" spans="6:10">
      <c r="F5107"/>
      <c r="G5107"/>
      <c r="H5107"/>
      <c r="I5107"/>
      <c r="J5107"/>
    </row>
    <row r="5108" spans="6:10">
      <c r="F5108"/>
      <c r="G5108"/>
      <c r="H5108"/>
      <c r="I5108"/>
      <c r="J5108"/>
    </row>
    <row r="5109" spans="6:10">
      <c r="F5109"/>
      <c r="G5109"/>
      <c r="H5109"/>
      <c r="I5109"/>
      <c r="J5109"/>
    </row>
    <row r="5110" spans="6:10">
      <c r="F5110"/>
      <c r="G5110"/>
      <c r="H5110"/>
      <c r="I5110"/>
      <c r="J5110"/>
    </row>
    <row r="5111" spans="6:10">
      <c r="F5111"/>
      <c r="G5111"/>
      <c r="H5111"/>
      <c r="I5111"/>
      <c r="J5111"/>
    </row>
    <row r="5112" spans="6:10">
      <c r="F5112"/>
      <c r="G5112"/>
      <c r="H5112"/>
      <c r="I5112"/>
      <c r="J5112"/>
    </row>
    <row r="5113" spans="6:10">
      <c r="F5113"/>
      <c r="G5113"/>
      <c r="H5113"/>
      <c r="I5113"/>
      <c r="J5113"/>
    </row>
    <row r="5114" spans="6:10">
      <c r="F5114"/>
      <c r="G5114"/>
      <c r="H5114"/>
      <c r="I5114"/>
      <c r="J5114"/>
    </row>
    <row r="5115" spans="6:10">
      <c r="F5115"/>
      <c r="G5115"/>
      <c r="H5115"/>
      <c r="I5115"/>
      <c r="J5115"/>
    </row>
    <row r="5116" spans="6:10">
      <c r="F5116"/>
      <c r="G5116"/>
      <c r="H5116"/>
      <c r="I5116"/>
      <c r="J5116"/>
    </row>
    <row r="5117" spans="6:10">
      <c r="F5117"/>
      <c r="G5117"/>
      <c r="H5117"/>
      <c r="I5117"/>
      <c r="J5117"/>
    </row>
    <row r="5118" spans="6:10">
      <c r="F5118"/>
      <c r="G5118"/>
      <c r="H5118"/>
      <c r="I5118"/>
      <c r="J5118"/>
    </row>
    <row r="5119" spans="6:10">
      <c r="F5119"/>
      <c r="G5119"/>
      <c r="H5119"/>
      <c r="I5119"/>
      <c r="J5119"/>
    </row>
    <row r="5120" spans="6:10">
      <c r="F5120"/>
      <c r="G5120"/>
      <c r="H5120"/>
      <c r="I5120"/>
      <c r="J5120"/>
    </row>
    <row r="5121" spans="6:10">
      <c r="F5121"/>
      <c r="G5121"/>
      <c r="H5121"/>
      <c r="I5121"/>
      <c r="J5121"/>
    </row>
    <row r="5122" spans="6:10">
      <c r="F5122"/>
      <c r="G5122"/>
      <c r="H5122"/>
      <c r="I5122"/>
      <c r="J5122"/>
    </row>
    <row r="5123" spans="6:10">
      <c r="F5123"/>
      <c r="G5123"/>
      <c r="H5123"/>
      <c r="I5123"/>
      <c r="J5123"/>
    </row>
    <row r="5124" spans="6:10">
      <c r="F5124"/>
      <c r="G5124"/>
      <c r="H5124"/>
      <c r="I5124"/>
      <c r="J5124"/>
    </row>
    <row r="5125" spans="6:10">
      <c r="F5125"/>
      <c r="G5125"/>
      <c r="H5125"/>
      <c r="I5125"/>
      <c r="J5125"/>
    </row>
    <row r="5126" spans="6:10">
      <c r="F5126"/>
      <c r="G5126"/>
      <c r="H5126"/>
      <c r="I5126"/>
      <c r="J5126"/>
    </row>
    <row r="5127" spans="6:10">
      <c r="F5127"/>
      <c r="G5127"/>
      <c r="H5127"/>
      <c r="I5127"/>
      <c r="J5127"/>
    </row>
    <row r="5128" spans="6:10">
      <c r="F5128"/>
      <c r="G5128"/>
      <c r="H5128"/>
      <c r="I5128"/>
      <c r="J5128"/>
    </row>
    <row r="5129" spans="6:10">
      <c r="F5129"/>
      <c r="G5129"/>
      <c r="H5129"/>
      <c r="I5129"/>
      <c r="J5129"/>
    </row>
    <row r="5130" spans="6:10">
      <c r="F5130"/>
      <c r="G5130"/>
      <c r="H5130"/>
      <c r="I5130"/>
      <c r="J5130"/>
    </row>
    <row r="5131" spans="6:10">
      <c r="F5131"/>
      <c r="G5131"/>
      <c r="H5131"/>
      <c r="I5131"/>
      <c r="J5131"/>
    </row>
    <row r="5132" spans="6:10">
      <c r="F5132"/>
      <c r="G5132"/>
      <c r="H5132"/>
      <c r="I5132"/>
      <c r="J5132"/>
    </row>
    <row r="5133" spans="6:10">
      <c r="F5133"/>
      <c r="G5133"/>
      <c r="H5133"/>
      <c r="I5133"/>
      <c r="J5133"/>
    </row>
    <row r="5134" spans="6:10">
      <c r="F5134"/>
      <c r="G5134"/>
      <c r="H5134"/>
      <c r="I5134"/>
      <c r="J5134"/>
    </row>
    <row r="5135" spans="6:10">
      <c r="F5135"/>
      <c r="G5135"/>
      <c r="H5135"/>
      <c r="I5135"/>
      <c r="J5135"/>
    </row>
    <row r="5136" spans="6:10">
      <c r="F5136"/>
      <c r="G5136"/>
      <c r="H5136"/>
      <c r="I5136"/>
      <c r="J5136"/>
    </row>
    <row r="5137" spans="6:10">
      <c r="F5137"/>
      <c r="G5137"/>
      <c r="H5137"/>
      <c r="I5137"/>
      <c r="J5137"/>
    </row>
    <row r="5138" spans="6:10">
      <c r="F5138"/>
      <c r="G5138"/>
      <c r="H5138"/>
      <c r="I5138"/>
      <c r="J5138"/>
    </row>
    <row r="5139" spans="6:10">
      <c r="F5139"/>
      <c r="G5139"/>
      <c r="H5139"/>
      <c r="I5139"/>
      <c r="J5139"/>
    </row>
    <row r="5140" spans="6:10">
      <c r="F5140"/>
      <c r="G5140"/>
      <c r="H5140"/>
      <c r="I5140"/>
      <c r="J5140"/>
    </row>
    <row r="5141" spans="6:10">
      <c r="F5141"/>
      <c r="G5141"/>
      <c r="H5141"/>
      <c r="I5141"/>
      <c r="J5141"/>
    </row>
    <row r="5142" spans="6:10">
      <c r="F5142"/>
      <c r="G5142"/>
      <c r="H5142"/>
      <c r="I5142"/>
      <c r="J5142"/>
    </row>
    <row r="5143" spans="6:10">
      <c r="F5143"/>
      <c r="G5143"/>
      <c r="H5143"/>
      <c r="I5143"/>
      <c r="J5143"/>
    </row>
    <row r="5144" spans="6:10">
      <c r="F5144"/>
      <c r="G5144"/>
      <c r="H5144"/>
      <c r="I5144"/>
      <c r="J5144"/>
    </row>
    <row r="5145" spans="6:10">
      <c r="F5145"/>
      <c r="G5145"/>
      <c r="H5145"/>
      <c r="I5145"/>
      <c r="J5145"/>
    </row>
    <row r="5146" spans="6:10">
      <c r="F5146"/>
      <c r="G5146"/>
      <c r="H5146"/>
      <c r="I5146"/>
      <c r="J5146"/>
    </row>
    <row r="5147" spans="6:10">
      <c r="F5147"/>
      <c r="G5147"/>
      <c r="H5147"/>
      <c r="I5147"/>
      <c r="J5147"/>
    </row>
    <row r="5148" spans="6:10">
      <c r="F5148"/>
      <c r="G5148"/>
      <c r="H5148"/>
      <c r="I5148"/>
      <c r="J5148"/>
    </row>
    <row r="5149" spans="6:10">
      <c r="F5149"/>
      <c r="G5149"/>
      <c r="H5149"/>
      <c r="I5149"/>
      <c r="J5149"/>
    </row>
    <row r="5150" spans="6:10">
      <c r="F5150"/>
      <c r="G5150"/>
      <c r="H5150"/>
      <c r="I5150"/>
      <c r="J5150"/>
    </row>
    <row r="5151" spans="6:10">
      <c r="F5151"/>
      <c r="G5151"/>
      <c r="H5151"/>
      <c r="I5151"/>
      <c r="J5151"/>
    </row>
    <row r="5152" spans="6:10">
      <c r="F5152"/>
      <c r="G5152"/>
      <c r="H5152"/>
      <c r="I5152"/>
      <c r="J5152"/>
    </row>
    <row r="5153" spans="6:10">
      <c r="F5153"/>
      <c r="G5153"/>
      <c r="H5153"/>
      <c r="I5153"/>
      <c r="J5153"/>
    </row>
    <row r="5154" spans="6:10">
      <c r="F5154"/>
      <c r="G5154"/>
      <c r="H5154"/>
      <c r="I5154"/>
      <c r="J5154"/>
    </row>
    <row r="5155" spans="6:10">
      <c r="F5155"/>
      <c r="G5155"/>
      <c r="H5155"/>
      <c r="I5155"/>
      <c r="J5155"/>
    </row>
    <row r="5156" spans="6:10">
      <c r="F5156"/>
      <c r="G5156"/>
      <c r="H5156"/>
      <c r="I5156"/>
      <c r="J5156"/>
    </row>
    <row r="5157" spans="6:10">
      <c r="F5157"/>
      <c r="G5157"/>
      <c r="H5157"/>
      <c r="I5157"/>
      <c r="J5157"/>
    </row>
    <row r="5158" spans="6:10">
      <c r="F5158"/>
      <c r="G5158"/>
      <c r="H5158"/>
      <c r="I5158"/>
      <c r="J5158"/>
    </row>
    <row r="5159" spans="6:10">
      <c r="F5159"/>
      <c r="G5159"/>
      <c r="H5159"/>
      <c r="I5159"/>
      <c r="J5159"/>
    </row>
    <row r="5160" spans="6:10">
      <c r="F5160"/>
      <c r="G5160"/>
      <c r="H5160"/>
      <c r="I5160"/>
      <c r="J5160"/>
    </row>
    <row r="5161" spans="6:10">
      <c r="F5161"/>
      <c r="G5161"/>
      <c r="H5161"/>
      <c r="I5161"/>
      <c r="J5161"/>
    </row>
    <row r="5162" spans="6:10">
      <c r="F5162"/>
      <c r="G5162"/>
      <c r="H5162"/>
      <c r="I5162"/>
      <c r="J5162"/>
    </row>
    <row r="5163" spans="6:10">
      <c r="F5163"/>
      <c r="G5163"/>
      <c r="H5163"/>
      <c r="I5163"/>
      <c r="J5163"/>
    </row>
    <row r="5164" spans="6:10">
      <c r="F5164"/>
      <c r="G5164"/>
      <c r="H5164"/>
      <c r="I5164"/>
      <c r="J5164"/>
    </row>
    <row r="5165" spans="6:10">
      <c r="F5165"/>
      <c r="G5165"/>
      <c r="H5165"/>
      <c r="I5165"/>
      <c r="J5165"/>
    </row>
    <row r="5166" spans="6:10">
      <c r="F5166"/>
      <c r="G5166"/>
      <c r="H5166"/>
      <c r="I5166"/>
      <c r="J5166"/>
    </row>
    <row r="5167" spans="6:10">
      <c r="F5167"/>
      <c r="G5167"/>
      <c r="H5167"/>
      <c r="I5167"/>
      <c r="J5167"/>
    </row>
    <row r="5168" spans="6:10">
      <c r="F5168"/>
      <c r="G5168"/>
      <c r="H5168"/>
      <c r="I5168"/>
      <c r="J5168"/>
    </row>
    <row r="5169" spans="6:10">
      <c r="F5169"/>
      <c r="G5169"/>
      <c r="H5169"/>
      <c r="I5169"/>
      <c r="J5169"/>
    </row>
    <row r="5170" spans="6:10">
      <c r="F5170"/>
      <c r="G5170"/>
      <c r="H5170"/>
      <c r="I5170"/>
      <c r="J5170"/>
    </row>
    <row r="5171" spans="6:10">
      <c r="F5171"/>
      <c r="G5171"/>
      <c r="H5171"/>
      <c r="I5171"/>
      <c r="J5171"/>
    </row>
    <row r="5172" spans="6:10">
      <c r="F5172"/>
      <c r="G5172"/>
      <c r="H5172"/>
      <c r="I5172"/>
      <c r="J5172"/>
    </row>
    <row r="5173" spans="6:10">
      <c r="F5173"/>
      <c r="G5173"/>
      <c r="H5173"/>
      <c r="I5173"/>
      <c r="J5173"/>
    </row>
    <row r="5174" spans="6:10">
      <c r="F5174"/>
      <c r="G5174"/>
      <c r="H5174"/>
      <c r="I5174"/>
      <c r="J5174"/>
    </row>
    <row r="5175" spans="6:10">
      <c r="F5175"/>
      <c r="G5175"/>
      <c r="H5175"/>
      <c r="I5175"/>
      <c r="J5175"/>
    </row>
    <row r="5176" spans="6:10">
      <c r="F5176"/>
      <c r="G5176"/>
      <c r="H5176"/>
      <c r="I5176"/>
      <c r="J5176"/>
    </row>
    <row r="5177" spans="6:10">
      <c r="F5177"/>
      <c r="G5177"/>
      <c r="H5177"/>
      <c r="I5177"/>
      <c r="J5177"/>
    </row>
    <row r="5178" spans="6:10">
      <c r="F5178"/>
      <c r="G5178"/>
      <c r="H5178"/>
      <c r="I5178"/>
      <c r="J5178"/>
    </row>
    <row r="5179" spans="6:10">
      <c r="F5179"/>
      <c r="G5179"/>
      <c r="H5179"/>
      <c r="I5179"/>
      <c r="J5179"/>
    </row>
    <row r="5180" spans="6:10">
      <c r="F5180"/>
      <c r="G5180"/>
      <c r="H5180"/>
      <c r="I5180"/>
      <c r="J5180"/>
    </row>
    <row r="5181" spans="6:10">
      <c r="F5181"/>
      <c r="G5181"/>
      <c r="H5181"/>
      <c r="I5181"/>
      <c r="J5181"/>
    </row>
    <row r="5182" spans="6:10">
      <c r="F5182"/>
      <c r="G5182"/>
      <c r="H5182"/>
      <c r="I5182"/>
      <c r="J5182"/>
    </row>
    <row r="5183" spans="6:10">
      <c r="F5183"/>
      <c r="G5183"/>
      <c r="H5183"/>
      <c r="I5183"/>
      <c r="J5183"/>
    </row>
    <row r="5184" spans="6:10">
      <c r="F5184"/>
      <c r="G5184"/>
      <c r="H5184"/>
      <c r="I5184"/>
      <c r="J5184"/>
    </row>
    <row r="5185" spans="6:10">
      <c r="F5185"/>
      <c r="G5185"/>
      <c r="H5185"/>
      <c r="I5185"/>
      <c r="J5185"/>
    </row>
    <row r="5186" spans="6:10">
      <c r="F5186"/>
      <c r="G5186"/>
      <c r="H5186"/>
      <c r="I5186"/>
      <c r="J5186"/>
    </row>
    <row r="5187" spans="6:10">
      <c r="F5187"/>
      <c r="G5187"/>
      <c r="H5187"/>
      <c r="I5187"/>
      <c r="J5187"/>
    </row>
    <row r="5188" spans="6:10">
      <c r="F5188"/>
      <c r="G5188"/>
      <c r="H5188"/>
      <c r="I5188"/>
      <c r="J5188"/>
    </row>
    <row r="5189" spans="6:10">
      <c r="F5189"/>
      <c r="G5189"/>
      <c r="H5189"/>
      <c r="I5189"/>
      <c r="J5189"/>
    </row>
    <row r="5190" spans="6:10">
      <c r="F5190"/>
      <c r="G5190"/>
      <c r="H5190"/>
      <c r="I5190"/>
      <c r="J5190"/>
    </row>
    <row r="5191" spans="6:10">
      <c r="F5191"/>
      <c r="G5191"/>
      <c r="H5191"/>
      <c r="I5191"/>
      <c r="J5191"/>
    </row>
    <row r="5192" spans="6:10">
      <c r="F5192"/>
      <c r="G5192"/>
      <c r="H5192"/>
      <c r="I5192"/>
      <c r="J5192"/>
    </row>
    <row r="5193" spans="6:10">
      <c r="F5193"/>
      <c r="G5193"/>
      <c r="H5193"/>
      <c r="I5193"/>
      <c r="J5193"/>
    </row>
    <row r="5194" spans="6:10">
      <c r="F5194"/>
      <c r="G5194"/>
      <c r="H5194"/>
      <c r="I5194"/>
      <c r="J5194"/>
    </row>
    <row r="5195" spans="6:10">
      <c r="F5195"/>
      <c r="G5195"/>
      <c r="H5195"/>
      <c r="I5195"/>
      <c r="J5195"/>
    </row>
    <row r="5196" spans="6:10">
      <c r="F5196"/>
      <c r="G5196"/>
      <c r="H5196"/>
      <c r="I5196"/>
      <c r="J5196"/>
    </row>
    <row r="5197" spans="6:10">
      <c r="F5197"/>
      <c r="G5197"/>
      <c r="H5197"/>
      <c r="I5197"/>
      <c r="J5197"/>
    </row>
    <row r="5198" spans="6:10">
      <c r="F5198"/>
      <c r="G5198"/>
      <c r="H5198"/>
      <c r="I5198"/>
      <c r="J5198"/>
    </row>
    <row r="5199" spans="6:10">
      <c r="F5199"/>
      <c r="G5199"/>
      <c r="H5199"/>
      <c r="I5199"/>
      <c r="J5199"/>
    </row>
    <row r="5200" spans="6:10">
      <c r="F5200"/>
      <c r="G5200"/>
      <c r="H5200"/>
      <c r="I5200"/>
      <c r="J5200"/>
    </row>
    <row r="5201" spans="6:10">
      <c r="F5201"/>
      <c r="G5201"/>
      <c r="H5201"/>
      <c r="I5201"/>
      <c r="J5201"/>
    </row>
    <row r="5202" spans="6:10">
      <c r="F5202"/>
      <c r="G5202"/>
      <c r="H5202"/>
      <c r="I5202"/>
      <c r="J5202"/>
    </row>
    <row r="5203" spans="6:10">
      <c r="F5203"/>
      <c r="G5203"/>
      <c r="H5203"/>
      <c r="I5203"/>
      <c r="J5203"/>
    </row>
    <row r="5204" spans="6:10">
      <c r="F5204"/>
      <c r="G5204"/>
      <c r="H5204"/>
      <c r="I5204"/>
      <c r="J5204"/>
    </row>
    <row r="5205" spans="6:10">
      <c r="F5205"/>
      <c r="G5205"/>
      <c r="H5205"/>
      <c r="I5205"/>
      <c r="J5205"/>
    </row>
    <row r="5206" spans="6:10">
      <c r="F5206"/>
      <c r="G5206"/>
      <c r="H5206"/>
      <c r="I5206"/>
      <c r="J5206"/>
    </row>
    <row r="5207" spans="6:10">
      <c r="F5207"/>
      <c r="G5207"/>
      <c r="H5207"/>
      <c r="I5207"/>
      <c r="J5207"/>
    </row>
    <row r="5208" spans="6:10">
      <c r="F5208"/>
      <c r="G5208"/>
      <c r="H5208"/>
      <c r="I5208"/>
      <c r="J5208"/>
    </row>
    <row r="5209" spans="6:10">
      <c r="F5209"/>
      <c r="G5209"/>
      <c r="H5209"/>
      <c r="I5209"/>
      <c r="J5209"/>
    </row>
    <row r="5210" spans="6:10">
      <c r="F5210"/>
      <c r="G5210"/>
      <c r="H5210"/>
      <c r="I5210"/>
      <c r="J5210"/>
    </row>
    <row r="5211" spans="6:10">
      <c r="F5211"/>
      <c r="G5211"/>
      <c r="H5211"/>
      <c r="I5211"/>
      <c r="J5211"/>
    </row>
    <row r="5212" spans="6:10">
      <c r="F5212"/>
      <c r="G5212"/>
      <c r="H5212"/>
      <c r="I5212"/>
      <c r="J5212"/>
    </row>
    <row r="5213" spans="6:10">
      <c r="F5213"/>
      <c r="G5213"/>
      <c r="H5213"/>
      <c r="I5213"/>
      <c r="J5213"/>
    </row>
    <row r="5214" spans="6:10">
      <c r="F5214"/>
      <c r="G5214"/>
      <c r="H5214"/>
      <c r="I5214"/>
      <c r="J5214"/>
    </row>
    <row r="5215" spans="6:10">
      <c r="F5215"/>
      <c r="G5215"/>
      <c r="H5215"/>
      <c r="I5215"/>
      <c r="J5215"/>
    </row>
    <row r="5216" spans="6:10">
      <c r="F5216"/>
      <c r="G5216"/>
      <c r="H5216"/>
      <c r="I5216"/>
      <c r="J5216"/>
    </row>
    <row r="5217" spans="6:10">
      <c r="F5217"/>
      <c r="G5217"/>
      <c r="H5217"/>
      <c r="I5217"/>
      <c r="J5217"/>
    </row>
    <row r="5218" spans="6:10">
      <c r="F5218"/>
      <c r="G5218"/>
      <c r="H5218"/>
      <c r="I5218"/>
      <c r="J5218"/>
    </row>
    <row r="5219" spans="6:10">
      <c r="F5219"/>
      <c r="G5219"/>
      <c r="H5219"/>
      <c r="I5219"/>
      <c r="J5219"/>
    </row>
    <row r="5220" spans="6:10">
      <c r="F5220"/>
      <c r="G5220"/>
      <c r="H5220"/>
      <c r="I5220"/>
      <c r="J5220"/>
    </row>
    <row r="5221" spans="6:10">
      <c r="F5221"/>
      <c r="G5221"/>
      <c r="H5221"/>
      <c r="I5221"/>
      <c r="J5221"/>
    </row>
    <row r="5222" spans="6:10">
      <c r="F5222"/>
      <c r="G5222"/>
      <c r="H5222"/>
      <c r="I5222"/>
      <c r="J5222"/>
    </row>
    <row r="5223" spans="6:10">
      <c r="F5223"/>
      <c r="G5223"/>
      <c r="H5223"/>
      <c r="I5223"/>
      <c r="J5223"/>
    </row>
    <row r="5224" spans="6:10">
      <c r="F5224"/>
      <c r="G5224"/>
      <c r="H5224"/>
      <c r="I5224"/>
      <c r="J5224"/>
    </row>
    <row r="5225" spans="6:10">
      <c r="F5225"/>
      <c r="G5225"/>
      <c r="H5225"/>
      <c r="I5225"/>
      <c r="J5225"/>
    </row>
    <row r="5226" spans="6:10">
      <c r="F5226"/>
      <c r="G5226"/>
      <c r="H5226"/>
      <c r="I5226"/>
      <c r="J5226"/>
    </row>
    <row r="5227" spans="6:10">
      <c r="F5227"/>
      <c r="G5227"/>
      <c r="H5227"/>
      <c r="I5227"/>
      <c r="J5227"/>
    </row>
    <row r="5228" spans="6:10">
      <c r="F5228"/>
      <c r="G5228"/>
      <c r="H5228"/>
      <c r="I5228"/>
      <c r="J5228"/>
    </row>
    <row r="5229" spans="6:10">
      <c r="F5229"/>
      <c r="G5229"/>
      <c r="H5229"/>
      <c r="I5229"/>
      <c r="J5229"/>
    </row>
    <row r="5230" spans="6:10">
      <c r="F5230"/>
      <c r="G5230"/>
      <c r="H5230"/>
      <c r="I5230"/>
      <c r="J5230"/>
    </row>
    <row r="5231" spans="6:10">
      <c r="F5231"/>
      <c r="G5231"/>
      <c r="H5231"/>
      <c r="I5231"/>
      <c r="J5231"/>
    </row>
    <row r="5232" spans="6:10">
      <c r="F5232"/>
      <c r="G5232"/>
      <c r="H5232"/>
      <c r="I5232"/>
      <c r="J5232"/>
    </row>
    <row r="5233" spans="6:10">
      <c r="F5233"/>
      <c r="G5233"/>
      <c r="H5233"/>
      <c r="I5233"/>
      <c r="J5233"/>
    </row>
    <row r="5234" spans="6:10">
      <c r="F5234"/>
      <c r="G5234"/>
      <c r="H5234"/>
      <c r="I5234"/>
      <c r="J5234"/>
    </row>
    <row r="5235" spans="6:10">
      <c r="F5235"/>
      <c r="G5235"/>
      <c r="H5235"/>
      <c r="I5235"/>
      <c r="J5235"/>
    </row>
    <row r="5236" spans="6:10">
      <c r="F5236"/>
      <c r="G5236"/>
      <c r="H5236"/>
      <c r="I5236"/>
      <c r="J5236"/>
    </row>
    <row r="5237" spans="6:10">
      <c r="F5237"/>
      <c r="G5237"/>
      <c r="H5237"/>
      <c r="I5237"/>
      <c r="J5237"/>
    </row>
    <row r="5238" spans="6:10">
      <c r="F5238"/>
      <c r="G5238"/>
      <c r="H5238"/>
      <c r="I5238"/>
      <c r="J5238"/>
    </row>
    <row r="5239" spans="6:10">
      <c r="F5239"/>
      <c r="G5239"/>
      <c r="H5239"/>
      <c r="I5239"/>
      <c r="J5239"/>
    </row>
    <row r="5240" spans="6:10">
      <c r="F5240"/>
      <c r="G5240"/>
      <c r="H5240"/>
      <c r="I5240"/>
      <c r="J5240"/>
    </row>
    <row r="5241" spans="6:10">
      <c r="F5241"/>
      <c r="G5241"/>
      <c r="H5241"/>
      <c r="I5241"/>
      <c r="J5241"/>
    </row>
    <row r="5242" spans="6:10">
      <c r="F5242"/>
      <c r="G5242"/>
      <c r="H5242"/>
      <c r="I5242"/>
      <c r="J5242"/>
    </row>
    <row r="5243" spans="6:10">
      <c r="F5243"/>
      <c r="G5243"/>
      <c r="H5243"/>
      <c r="I5243"/>
      <c r="J5243"/>
    </row>
    <row r="5244" spans="6:10">
      <c r="F5244"/>
      <c r="G5244"/>
      <c r="H5244"/>
      <c r="I5244"/>
      <c r="J5244"/>
    </row>
    <row r="5245" spans="6:10">
      <c r="F5245"/>
      <c r="G5245"/>
      <c r="H5245"/>
      <c r="I5245"/>
      <c r="J5245"/>
    </row>
    <row r="5246" spans="6:10">
      <c r="F5246"/>
      <c r="G5246"/>
      <c r="H5246"/>
      <c r="I5246"/>
      <c r="J5246"/>
    </row>
    <row r="5247" spans="6:10">
      <c r="F5247"/>
      <c r="G5247"/>
      <c r="H5247"/>
      <c r="I5247"/>
      <c r="J5247"/>
    </row>
    <row r="5248" spans="6:10">
      <c r="F5248"/>
      <c r="G5248"/>
      <c r="H5248"/>
      <c r="I5248"/>
      <c r="J5248"/>
    </row>
    <row r="5249" spans="6:10">
      <c r="F5249"/>
      <c r="G5249"/>
      <c r="H5249"/>
      <c r="I5249"/>
      <c r="J5249"/>
    </row>
    <row r="5250" spans="6:10">
      <c r="F5250"/>
      <c r="G5250"/>
      <c r="H5250"/>
      <c r="I5250"/>
      <c r="J5250"/>
    </row>
    <row r="5251" spans="6:10">
      <c r="F5251"/>
      <c r="G5251"/>
      <c r="H5251"/>
      <c r="I5251"/>
      <c r="J5251"/>
    </row>
    <row r="5252" spans="6:10">
      <c r="F5252"/>
      <c r="G5252"/>
      <c r="H5252"/>
      <c r="I5252"/>
      <c r="J5252"/>
    </row>
    <row r="5253" spans="6:10">
      <c r="F5253"/>
      <c r="G5253"/>
      <c r="H5253"/>
      <c r="I5253"/>
      <c r="J5253"/>
    </row>
    <row r="5254" spans="6:10">
      <c r="F5254"/>
      <c r="G5254"/>
      <c r="H5254"/>
      <c r="I5254"/>
      <c r="J5254"/>
    </row>
    <row r="5255" spans="6:10">
      <c r="F5255"/>
      <c r="G5255"/>
      <c r="H5255"/>
      <c r="I5255"/>
      <c r="J5255"/>
    </row>
    <row r="5256" spans="6:10">
      <c r="F5256"/>
      <c r="G5256"/>
      <c r="H5256"/>
      <c r="I5256"/>
      <c r="J5256"/>
    </row>
    <row r="5257" spans="6:10">
      <c r="F5257"/>
      <c r="G5257"/>
      <c r="H5257"/>
      <c r="I5257"/>
      <c r="J5257"/>
    </row>
    <row r="5258" spans="6:10">
      <c r="F5258"/>
      <c r="G5258"/>
      <c r="H5258"/>
      <c r="I5258"/>
      <c r="J5258"/>
    </row>
    <row r="5259" spans="6:10">
      <c r="F5259"/>
      <c r="G5259"/>
      <c r="H5259"/>
      <c r="I5259"/>
      <c r="J5259"/>
    </row>
    <row r="5260" spans="6:10">
      <c r="F5260"/>
      <c r="G5260"/>
      <c r="H5260"/>
      <c r="I5260"/>
      <c r="J5260"/>
    </row>
    <row r="5261" spans="6:10">
      <c r="F5261"/>
      <c r="G5261"/>
      <c r="H5261"/>
      <c r="I5261"/>
      <c r="J5261"/>
    </row>
    <row r="5262" spans="6:10">
      <c r="F5262"/>
      <c r="G5262"/>
      <c r="H5262"/>
      <c r="I5262"/>
      <c r="J5262"/>
    </row>
    <row r="5263" spans="6:10">
      <c r="F5263"/>
      <c r="G5263"/>
      <c r="H5263"/>
      <c r="I5263"/>
      <c r="J5263"/>
    </row>
    <row r="5264" spans="6:10">
      <c r="F5264"/>
      <c r="G5264"/>
      <c r="H5264"/>
      <c r="I5264"/>
      <c r="J5264"/>
    </row>
    <row r="5265" spans="6:10">
      <c r="F5265"/>
      <c r="G5265"/>
      <c r="H5265"/>
      <c r="I5265"/>
      <c r="J5265"/>
    </row>
    <row r="5266" spans="6:10">
      <c r="F5266"/>
      <c r="G5266"/>
      <c r="H5266"/>
      <c r="I5266"/>
      <c r="J5266"/>
    </row>
    <row r="5267" spans="6:10">
      <c r="F5267"/>
      <c r="G5267"/>
      <c r="H5267"/>
      <c r="I5267"/>
      <c r="J5267"/>
    </row>
    <row r="5268" spans="6:10">
      <c r="F5268"/>
      <c r="G5268"/>
      <c r="H5268"/>
      <c r="I5268"/>
      <c r="J5268"/>
    </row>
    <row r="5269" spans="6:10">
      <c r="F5269"/>
      <c r="G5269"/>
      <c r="H5269"/>
      <c r="I5269"/>
      <c r="J5269"/>
    </row>
    <row r="5270" spans="6:10">
      <c r="F5270"/>
      <c r="G5270"/>
      <c r="H5270"/>
      <c r="I5270"/>
      <c r="J5270"/>
    </row>
    <row r="5271" spans="6:10">
      <c r="F5271"/>
      <c r="G5271"/>
      <c r="H5271"/>
      <c r="I5271"/>
      <c r="J5271"/>
    </row>
    <row r="5272" spans="6:10">
      <c r="F5272"/>
      <c r="G5272"/>
      <c r="H5272"/>
      <c r="I5272"/>
      <c r="J5272"/>
    </row>
    <row r="5273" spans="6:10">
      <c r="F5273"/>
      <c r="G5273"/>
      <c r="H5273"/>
      <c r="I5273"/>
      <c r="J5273"/>
    </row>
    <row r="5274" spans="6:10">
      <c r="F5274"/>
      <c r="G5274"/>
      <c r="H5274"/>
      <c r="I5274"/>
      <c r="J5274"/>
    </row>
    <row r="5275" spans="6:10">
      <c r="F5275"/>
      <c r="G5275"/>
      <c r="H5275"/>
      <c r="I5275"/>
      <c r="J5275"/>
    </row>
    <row r="5276" spans="6:10">
      <c r="F5276"/>
      <c r="G5276"/>
      <c r="H5276"/>
      <c r="I5276"/>
      <c r="J5276"/>
    </row>
    <row r="5277" spans="6:10">
      <c r="F5277"/>
      <c r="G5277"/>
      <c r="H5277"/>
      <c r="I5277"/>
      <c r="J5277"/>
    </row>
    <row r="5278" spans="6:10">
      <c r="F5278"/>
      <c r="G5278"/>
      <c r="H5278"/>
      <c r="I5278"/>
      <c r="J5278"/>
    </row>
    <row r="5279" spans="6:10">
      <c r="F5279"/>
      <c r="G5279"/>
      <c r="H5279"/>
      <c r="I5279"/>
      <c r="J5279"/>
    </row>
    <row r="5280" spans="6:10">
      <c r="F5280"/>
      <c r="G5280"/>
      <c r="H5280"/>
      <c r="I5280"/>
      <c r="J5280"/>
    </row>
    <row r="5281" spans="6:10">
      <c r="F5281"/>
      <c r="G5281"/>
      <c r="H5281"/>
      <c r="I5281"/>
      <c r="J5281"/>
    </row>
    <row r="5282" spans="6:10">
      <c r="F5282"/>
      <c r="G5282"/>
      <c r="H5282"/>
      <c r="I5282"/>
      <c r="J5282"/>
    </row>
    <row r="5283" spans="6:10">
      <c r="F5283"/>
      <c r="G5283"/>
      <c r="H5283"/>
      <c r="I5283"/>
      <c r="J5283"/>
    </row>
    <row r="5284" spans="6:10">
      <c r="F5284"/>
      <c r="G5284"/>
      <c r="H5284"/>
      <c r="I5284"/>
      <c r="J5284"/>
    </row>
    <row r="5285" spans="6:10">
      <c r="F5285"/>
      <c r="G5285"/>
      <c r="H5285"/>
      <c r="I5285"/>
      <c r="J5285"/>
    </row>
    <row r="5286" spans="6:10">
      <c r="F5286"/>
      <c r="G5286"/>
      <c r="H5286"/>
      <c r="I5286"/>
      <c r="J5286"/>
    </row>
    <row r="5287" spans="6:10">
      <c r="F5287"/>
      <c r="G5287"/>
      <c r="H5287"/>
      <c r="I5287"/>
      <c r="J5287"/>
    </row>
    <row r="5288" spans="6:10">
      <c r="F5288"/>
      <c r="G5288"/>
      <c r="H5288"/>
      <c r="I5288"/>
      <c r="J5288"/>
    </row>
    <row r="5289" spans="6:10">
      <c r="F5289"/>
      <c r="G5289"/>
      <c r="H5289"/>
      <c r="I5289"/>
      <c r="J5289"/>
    </row>
    <row r="5290" spans="6:10">
      <c r="F5290"/>
      <c r="G5290"/>
      <c r="H5290"/>
      <c r="I5290"/>
      <c r="J5290"/>
    </row>
    <row r="5291" spans="6:10">
      <c r="F5291"/>
      <c r="G5291"/>
      <c r="H5291"/>
      <c r="I5291"/>
      <c r="J5291"/>
    </row>
    <row r="5292" spans="6:10">
      <c r="F5292"/>
      <c r="G5292"/>
      <c r="H5292"/>
      <c r="I5292"/>
      <c r="J5292"/>
    </row>
    <row r="5293" spans="6:10">
      <c r="F5293"/>
      <c r="G5293"/>
      <c r="H5293"/>
      <c r="I5293"/>
      <c r="J5293"/>
    </row>
    <row r="5294" spans="6:10">
      <c r="F5294"/>
      <c r="G5294"/>
      <c r="H5294"/>
      <c r="I5294"/>
      <c r="J5294"/>
    </row>
    <row r="5295" spans="6:10">
      <c r="F5295"/>
      <c r="G5295"/>
      <c r="H5295"/>
      <c r="I5295"/>
      <c r="J5295"/>
    </row>
    <row r="5296" spans="6:10">
      <c r="F5296"/>
      <c r="G5296"/>
      <c r="H5296"/>
      <c r="I5296"/>
      <c r="J5296"/>
    </row>
    <row r="5297" spans="6:10">
      <c r="F5297"/>
      <c r="G5297"/>
      <c r="H5297"/>
      <c r="I5297"/>
      <c r="J5297"/>
    </row>
    <row r="5298" spans="6:10">
      <c r="F5298"/>
      <c r="G5298"/>
      <c r="H5298"/>
      <c r="I5298"/>
      <c r="J5298"/>
    </row>
    <row r="5299" spans="6:10">
      <c r="F5299"/>
      <c r="G5299"/>
      <c r="H5299"/>
      <c r="I5299"/>
      <c r="J5299"/>
    </row>
    <row r="5300" spans="6:10">
      <c r="F5300"/>
      <c r="G5300"/>
      <c r="H5300"/>
      <c r="I5300"/>
      <c r="J5300"/>
    </row>
    <row r="5301" spans="6:10">
      <c r="F5301"/>
      <c r="G5301"/>
      <c r="H5301"/>
      <c r="I5301"/>
      <c r="J5301"/>
    </row>
    <row r="5302" spans="6:10">
      <c r="F5302"/>
      <c r="G5302"/>
      <c r="H5302"/>
      <c r="I5302"/>
      <c r="J5302"/>
    </row>
    <row r="5303" spans="6:10">
      <c r="F5303"/>
      <c r="G5303"/>
      <c r="H5303"/>
      <c r="I5303"/>
      <c r="J5303"/>
    </row>
    <row r="5304" spans="6:10">
      <c r="F5304"/>
      <c r="G5304"/>
      <c r="H5304"/>
      <c r="I5304"/>
      <c r="J5304"/>
    </row>
    <row r="5305" spans="6:10">
      <c r="F5305"/>
      <c r="G5305"/>
      <c r="H5305"/>
      <c r="I5305"/>
      <c r="J5305"/>
    </row>
    <row r="5306" spans="6:10">
      <c r="F5306"/>
      <c r="G5306"/>
      <c r="H5306"/>
      <c r="I5306"/>
      <c r="J5306"/>
    </row>
    <row r="5307" spans="6:10">
      <c r="F5307"/>
      <c r="G5307"/>
      <c r="H5307"/>
      <c r="I5307"/>
      <c r="J5307"/>
    </row>
    <row r="5308" spans="6:10">
      <c r="F5308"/>
      <c r="G5308"/>
      <c r="H5308"/>
      <c r="I5308"/>
      <c r="J5308"/>
    </row>
    <row r="5309" spans="6:10">
      <c r="F5309"/>
      <c r="G5309"/>
      <c r="H5309"/>
      <c r="I5309"/>
      <c r="J5309"/>
    </row>
    <row r="5310" spans="6:10">
      <c r="F5310"/>
      <c r="G5310"/>
      <c r="H5310"/>
      <c r="I5310"/>
      <c r="J5310"/>
    </row>
    <row r="5311" spans="6:10">
      <c r="F5311"/>
      <c r="G5311"/>
      <c r="H5311"/>
      <c r="I5311"/>
      <c r="J5311"/>
    </row>
    <row r="5312" spans="6:10">
      <c r="F5312"/>
      <c r="G5312"/>
      <c r="H5312"/>
      <c r="I5312"/>
      <c r="J5312"/>
    </row>
    <row r="5313" spans="6:10">
      <c r="F5313"/>
      <c r="G5313"/>
      <c r="H5313"/>
      <c r="I5313"/>
      <c r="J5313"/>
    </row>
    <row r="5314" spans="6:10">
      <c r="F5314"/>
      <c r="G5314"/>
      <c r="H5314"/>
      <c r="I5314"/>
      <c r="J5314"/>
    </row>
    <row r="5315" spans="6:10">
      <c r="F5315"/>
      <c r="G5315"/>
      <c r="H5315"/>
      <c r="I5315"/>
      <c r="J5315"/>
    </row>
    <row r="5316" spans="6:10">
      <c r="F5316"/>
      <c r="G5316"/>
      <c r="H5316"/>
      <c r="I5316"/>
      <c r="J5316"/>
    </row>
    <row r="5317" spans="6:10">
      <c r="F5317"/>
      <c r="G5317"/>
      <c r="H5317"/>
      <c r="I5317"/>
      <c r="J5317"/>
    </row>
    <row r="5318" spans="6:10">
      <c r="F5318"/>
      <c r="G5318"/>
      <c r="H5318"/>
      <c r="I5318"/>
      <c r="J5318"/>
    </row>
    <row r="5319" spans="6:10">
      <c r="F5319"/>
      <c r="G5319"/>
      <c r="H5319"/>
      <c r="I5319"/>
      <c r="J5319"/>
    </row>
    <row r="5320" spans="6:10">
      <c r="F5320"/>
      <c r="G5320"/>
      <c r="H5320"/>
      <c r="I5320"/>
      <c r="J5320"/>
    </row>
    <row r="5321" spans="6:10">
      <c r="F5321"/>
      <c r="G5321"/>
      <c r="H5321"/>
      <c r="I5321"/>
      <c r="J5321"/>
    </row>
    <row r="5322" spans="6:10">
      <c r="F5322"/>
      <c r="G5322"/>
      <c r="H5322"/>
      <c r="I5322"/>
      <c r="J5322"/>
    </row>
    <row r="5323" spans="6:10">
      <c r="F5323"/>
      <c r="G5323"/>
      <c r="H5323"/>
      <c r="I5323"/>
      <c r="J5323"/>
    </row>
    <row r="5324" spans="6:10">
      <c r="F5324"/>
      <c r="G5324"/>
      <c r="H5324"/>
      <c r="I5324"/>
      <c r="J5324"/>
    </row>
    <row r="5325" spans="6:10">
      <c r="F5325"/>
      <c r="G5325"/>
      <c r="H5325"/>
      <c r="I5325"/>
      <c r="J5325"/>
    </row>
    <row r="5326" spans="6:10">
      <c r="F5326"/>
      <c r="G5326"/>
      <c r="H5326"/>
      <c r="I5326"/>
      <c r="J5326"/>
    </row>
    <row r="5327" spans="6:10">
      <c r="F5327"/>
      <c r="G5327"/>
      <c r="H5327"/>
      <c r="I5327"/>
      <c r="J5327"/>
    </row>
    <row r="5328" spans="6:10">
      <c r="F5328"/>
      <c r="G5328"/>
      <c r="H5328"/>
      <c r="I5328"/>
      <c r="J5328"/>
    </row>
    <row r="5329" spans="6:10">
      <c r="F5329"/>
      <c r="G5329"/>
      <c r="H5329"/>
      <c r="I5329"/>
      <c r="J5329"/>
    </row>
    <row r="5330" spans="6:10">
      <c r="F5330"/>
      <c r="G5330"/>
      <c r="H5330"/>
      <c r="I5330"/>
      <c r="J5330"/>
    </row>
    <row r="5331" spans="6:10">
      <c r="F5331"/>
      <c r="G5331"/>
      <c r="H5331"/>
      <c r="I5331"/>
      <c r="J5331"/>
    </row>
    <row r="5332" spans="6:10">
      <c r="F5332"/>
      <c r="G5332"/>
      <c r="H5332"/>
      <c r="I5332"/>
      <c r="J5332"/>
    </row>
    <row r="5333" spans="6:10">
      <c r="F5333"/>
      <c r="G5333"/>
      <c r="H5333"/>
      <c r="I5333"/>
      <c r="J5333"/>
    </row>
    <row r="5334" spans="6:10">
      <c r="F5334"/>
      <c r="G5334"/>
      <c r="H5334"/>
      <c r="I5334"/>
      <c r="J5334"/>
    </row>
    <row r="5335" spans="6:10">
      <c r="F5335"/>
      <c r="G5335"/>
      <c r="H5335"/>
      <c r="I5335"/>
      <c r="J5335"/>
    </row>
    <row r="5336" spans="6:10">
      <c r="F5336"/>
      <c r="G5336"/>
      <c r="H5336"/>
      <c r="I5336"/>
      <c r="J5336"/>
    </row>
    <row r="5337" spans="6:10">
      <c r="F5337"/>
      <c r="G5337"/>
      <c r="H5337"/>
      <c r="I5337"/>
      <c r="J5337"/>
    </row>
    <row r="5338" spans="6:10">
      <c r="F5338"/>
      <c r="G5338"/>
      <c r="H5338"/>
      <c r="I5338"/>
      <c r="J5338"/>
    </row>
    <row r="5339" spans="6:10">
      <c r="F5339"/>
      <c r="G5339"/>
      <c r="H5339"/>
      <c r="I5339"/>
      <c r="J5339"/>
    </row>
    <row r="5340" spans="6:10">
      <c r="F5340"/>
      <c r="G5340"/>
      <c r="H5340"/>
      <c r="I5340"/>
      <c r="J5340"/>
    </row>
    <row r="5341" spans="6:10">
      <c r="F5341"/>
      <c r="G5341"/>
      <c r="H5341"/>
      <c r="I5341"/>
      <c r="J5341"/>
    </row>
    <row r="5342" spans="6:10">
      <c r="F5342"/>
      <c r="G5342"/>
      <c r="H5342"/>
      <c r="I5342"/>
      <c r="J5342"/>
    </row>
    <row r="5343" spans="6:10">
      <c r="F5343"/>
      <c r="G5343"/>
      <c r="H5343"/>
      <c r="I5343"/>
      <c r="J5343"/>
    </row>
    <row r="5344" spans="6:10">
      <c r="F5344"/>
      <c r="G5344"/>
      <c r="H5344"/>
      <c r="I5344"/>
      <c r="J5344"/>
    </row>
    <row r="5345" spans="6:10">
      <c r="F5345"/>
      <c r="G5345"/>
      <c r="H5345"/>
      <c r="I5345"/>
      <c r="J5345"/>
    </row>
    <row r="5346" spans="6:10">
      <c r="F5346"/>
      <c r="G5346"/>
      <c r="H5346"/>
      <c r="I5346"/>
      <c r="J5346"/>
    </row>
    <row r="5347" spans="6:10">
      <c r="F5347"/>
      <c r="G5347"/>
      <c r="H5347"/>
      <c r="I5347"/>
      <c r="J5347"/>
    </row>
    <row r="5348" spans="6:10">
      <c r="F5348"/>
      <c r="G5348"/>
      <c r="H5348"/>
      <c r="I5348"/>
      <c r="J5348"/>
    </row>
    <row r="5349" spans="6:10">
      <c r="F5349"/>
      <c r="G5349"/>
      <c r="H5349"/>
      <c r="I5349"/>
      <c r="J5349"/>
    </row>
    <row r="5350" spans="6:10">
      <c r="F5350"/>
      <c r="G5350"/>
      <c r="H5350"/>
      <c r="I5350"/>
      <c r="J5350"/>
    </row>
    <row r="5351" spans="6:10">
      <c r="F5351"/>
      <c r="G5351"/>
      <c r="H5351"/>
      <c r="I5351"/>
      <c r="J5351"/>
    </row>
    <row r="5352" spans="6:10">
      <c r="F5352"/>
      <c r="G5352"/>
      <c r="H5352"/>
      <c r="I5352"/>
      <c r="J5352"/>
    </row>
    <row r="5353" spans="6:10">
      <c r="F5353"/>
      <c r="G5353"/>
      <c r="H5353"/>
      <c r="I5353"/>
      <c r="J5353"/>
    </row>
    <row r="5354" spans="6:10">
      <c r="F5354"/>
      <c r="G5354"/>
      <c r="H5354"/>
      <c r="I5354"/>
      <c r="J5354"/>
    </row>
    <row r="5355" spans="6:10">
      <c r="F5355"/>
      <c r="G5355"/>
      <c r="H5355"/>
      <c r="I5355"/>
      <c r="J5355"/>
    </row>
    <row r="5356" spans="6:10">
      <c r="F5356"/>
      <c r="G5356"/>
      <c r="H5356"/>
      <c r="I5356"/>
      <c r="J5356"/>
    </row>
    <row r="5357" spans="6:10">
      <c r="F5357"/>
      <c r="G5357"/>
      <c r="H5357"/>
      <c r="I5357"/>
      <c r="J5357"/>
    </row>
    <row r="5358" spans="6:10">
      <c r="F5358"/>
      <c r="G5358"/>
      <c r="H5358"/>
      <c r="I5358"/>
      <c r="J5358"/>
    </row>
    <row r="5359" spans="6:10">
      <c r="F5359"/>
      <c r="G5359"/>
      <c r="H5359"/>
      <c r="I5359"/>
      <c r="J5359"/>
    </row>
    <row r="5360" spans="6:10">
      <c r="F5360"/>
      <c r="G5360"/>
      <c r="H5360"/>
      <c r="I5360"/>
      <c r="J5360"/>
    </row>
    <row r="5361" spans="6:10">
      <c r="F5361"/>
      <c r="G5361"/>
      <c r="H5361"/>
      <c r="I5361"/>
      <c r="J5361"/>
    </row>
    <row r="5362" spans="6:10">
      <c r="F5362"/>
      <c r="G5362"/>
      <c r="H5362"/>
      <c r="I5362"/>
      <c r="J5362"/>
    </row>
    <row r="5363" spans="6:10">
      <c r="F5363"/>
      <c r="G5363"/>
      <c r="H5363"/>
      <c r="I5363"/>
      <c r="J5363"/>
    </row>
    <row r="5364" spans="6:10">
      <c r="F5364"/>
      <c r="G5364"/>
      <c r="H5364"/>
      <c r="I5364"/>
      <c r="J5364"/>
    </row>
    <row r="5365" spans="6:10">
      <c r="F5365"/>
      <c r="G5365"/>
      <c r="H5365"/>
      <c r="I5365"/>
      <c r="J5365"/>
    </row>
    <row r="5366" spans="6:10">
      <c r="F5366"/>
      <c r="G5366"/>
      <c r="H5366"/>
      <c r="I5366"/>
      <c r="J5366"/>
    </row>
    <row r="5367" spans="6:10">
      <c r="F5367"/>
      <c r="G5367"/>
      <c r="H5367"/>
      <c r="I5367"/>
      <c r="J5367"/>
    </row>
    <row r="5368" spans="6:10">
      <c r="F5368"/>
      <c r="G5368"/>
      <c r="H5368"/>
      <c r="I5368"/>
      <c r="J5368"/>
    </row>
    <row r="5369" spans="6:10">
      <c r="F5369"/>
      <c r="G5369"/>
      <c r="H5369"/>
      <c r="I5369"/>
      <c r="J5369"/>
    </row>
    <row r="5370" spans="6:10">
      <c r="F5370"/>
      <c r="G5370"/>
      <c r="H5370"/>
      <c r="I5370"/>
      <c r="J5370"/>
    </row>
    <row r="5371" spans="6:10">
      <c r="F5371"/>
      <c r="G5371"/>
      <c r="H5371"/>
      <c r="I5371"/>
      <c r="J5371"/>
    </row>
    <row r="5372" spans="6:10">
      <c r="F5372"/>
      <c r="G5372"/>
      <c r="H5372"/>
      <c r="I5372"/>
      <c r="J5372"/>
    </row>
    <row r="5373" spans="6:10">
      <c r="F5373"/>
      <c r="G5373"/>
      <c r="H5373"/>
      <c r="I5373"/>
      <c r="J5373"/>
    </row>
    <row r="5374" spans="6:10">
      <c r="F5374"/>
      <c r="G5374"/>
      <c r="H5374"/>
      <c r="I5374"/>
      <c r="J5374"/>
    </row>
    <row r="5375" spans="6:10">
      <c r="F5375"/>
      <c r="G5375"/>
      <c r="H5375"/>
      <c r="I5375"/>
      <c r="J5375"/>
    </row>
    <row r="5376" spans="6:10">
      <c r="F5376"/>
      <c r="G5376"/>
      <c r="H5376"/>
      <c r="I5376"/>
      <c r="J5376"/>
    </row>
    <row r="5377" spans="6:10">
      <c r="F5377"/>
      <c r="G5377"/>
      <c r="H5377"/>
      <c r="I5377"/>
      <c r="J5377"/>
    </row>
    <row r="5378" spans="6:10">
      <c r="F5378"/>
      <c r="G5378"/>
      <c r="H5378"/>
      <c r="I5378"/>
      <c r="J5378"/>
    </row>
    <row r="5379" spans="6:10">
      <c r="F5379"/>
      <c r="G5379"/>
      <c r="H5379"/>
      <c r="I5379"/>
      <c r="J5379"/>
    </row>
    <row r="5380" spans="6:10">
      <c r="F5380"/>
      <c r="G5380"/>
      <c r="H5380"/>
      <c r="I5380"/>
      <c r="J5380"/>
    </row>
    <row r="5381" spans="6:10">
      <c r="F5381"/>
      <c r="G5381"/>
      <c r="H5381"/>
      <c r="I5381"/>
      <c r="J5381"/>
    </row>
    <row r="5382" spans="6:10">
      <c r="F5382"/>
      <c r="G5382"/>
      <c r="H5382"/>
      <c r="I5382"/>
      <c r="J5382"/>
    </row>
    <row r="5383" spans="6:10">
      <c r="F5383"/>
      <c r="G5383"/>
      <c r="H5383"/>
      <c r="I5383"/>
      <c r="J5383"/>
    </row>
    <row r="5384" spans="6:10">
      <c r="F5384"/>
      <c r="G5384"/>
      <c r="H5384"/>
      <c r="I5384"/>
      <c r="J5384"/>
    </row>
    <row r="5385" spans="6:10">
      <c r="F5385"/>
      <c r="G5385"/>
      <c r="H5385"/>
      <c r="I5385"/>
      <c r="J5385"/>
    </row>
    <row r="5386" spans="6:10">
      <c r="F5386"/>
      <c r="G5386"/>
      <c r="H5386"/>
      <c r="I5386"/>
      <c r="J5386"/>
    </row>
    <row r="5387" spans="6:10">
      <c r="F5387"/>
      <c r="G5387"/>
      <c r="H5387"/>
      <c r="I5387"/>
      <c r="J5387"/>
    </row>
    <row r="5388" spans="6:10">
      <c r="F5388"/>
      <c r="G5388"/>
      <c r="H5388"/>
      <c r="I5388"/>
      <c r="J5388"/>
    </row>
    <row r="5389" spans="6:10">
      <c r="F5389"/>
      <c r="G5389"/>
      <c r="H5389"/>
      <c r="I5389"/>
      <c r="J5389"/>
    </row>
    <row r="5390" spans="6:10">
      <c r="F5390"/>
      <c r="G5390"/>
      <c r="H5390"/>
      <c r="I5390"/>
      <c r="J5390"/>
    </row>
    <row r="5391" spans="6:10">
      <c r="F5391"/>
      <c r="G5391"/>
      <c r="H5391"/>
      <c r="I5391"/>
      <c r="J5391"/>
    </row>
    <row r="5392" spans="6:10">
      <c r="F5392"/>
      <c r="G5392"/>
      <c r="H5392"/>
      <c r="I5392"/>
      <c r="J5392"/>
    </row>
    <row r="5393" spans="6:10">
      <c r="F5393"/>
      <c r="G5393"/>
      <c r="H5393"/>
      <c r="I5393"/>
      <c r="J5393"/>
    </row>
    <row r="5394" spans="6:10">
      <c r="F5394"/>
      <c r="G5394"/>
      <c r="H5394"/>
      <c r="I5394"/>
      <c r="J5394"/>
    </row>
    <row r="5395" spans="6:10">
      <c r="F5395"/>
      <c r="G5395"/>
      <c r="H5395"/>
      <c r="I5395"/>
      <c r="J5395"/>
    </row>
    <row r="5396" spans="6:10">
      <c r="F5396"/>
      <c r="G5396"/>
      <c r="H5396"/>
      <c r="I5396"/>
      <c r="J5396"/>
    </row>
    <row r="5397" spans="6:10">
      <c r="F5397"/>
      <c r="G5397"/>
      <c r="H5397"/>
      <c r="I5397"/>
      <c r="J5397"/>
    </row>
    <row r="5398" spans="6:10">
      <c r="F5398"/>
      <c r="G5398"/>
      <c r="H5398"/>
      <c r="I5398"/>
      <c r="J5398"/>
    </row>
    <row r="5399" spans="6:10">
      <c r="F5399"/>
      <c r="G5399"/>
      <c r="H5399"/>
      <c r="I5399"/>
      <c r="J5399"/>
    </row>
    <row r="5400" spans="6:10">
      <c r="F5400"/>
      <c r="G5400"/>
      <c r="H5400"/>
      <c r="I5400"/>
      <c r="J5400"/>
    </row>
    <row r="5401" spans="6:10">
      <c r="F5401"/>
      <c r="G5401"/>
      <c r="H5401"/>
      <c r="I5401"/>
      <c r="J5401"/>
    </row>
    <row r="5402" spans="6:10">
      <c r="F5402"/>
      <c r="G5402"/>
      <c r="H5402"/>
      <c r="I5402"/>
      <c r="J5402"/>
    </row>
    <row r="5403" spans="6:10">
      <c r="F5403"/>
      <c r="G5403"/>
      <c r="H5403"/>
      <c r="I5403"/>
      <c r="J5403"/>
    </row>
    <row r="5404" spans="6:10">
      <c r="F5404"/>
      <c r="G5404"/>
      <c r="H5404"/>
      <c r="I5404"/>
      <c r="J5404"/>
    </row>
    <row r="5405" spans="6:10">
      <c r="F5405"/>
      <c r="G5405"/>
      <c r="H5405"/>
      <c r="I5405"/>
      <c r="J5405"/>
    </row>
    <row r="5406" spans="6:10">
      <c r="F5406"/>
      <c r="G5406"/>
      <c r="H5406"/>
      <c r="I5406"/>
      <c r="J5406"/>
    </row>
    <row r="5407" spans="6:10">
      <c r="F5407"/>
      <c r="G5407"/>
      <c r="H5407"/>
      <c r="I5407"/>
      <c r="J5407"/>
    </row>
    <row r="5408" spans="6:10">
      <c r="F5408"/>
      <c r="G5408"/>
      <c r="H5408"/>
      <c r="I5408"/>
      <c r="J5408"/>
    </row>
    <row r="5409" spans="6:10">
      <c r="F5409"/>
      <c r="G5409"/>
      <c r="H5409"/>
      <c r="I5409"/>
      <c r="J5409"/>
    </row>
    <row r="5410" spans="6:10">
      <c r="F5410"/>
      <c r="G5410"/>
      <c r="H5410"/>
      <c r="I5410"/>
      <c r="J5410"/>
    </row>
    <row r="5411" spans="6:10">
      <c r="F5411"/>
      <c r="G5411"/>
      <c r="H5411"/>
      <c r="I5411"/>
      <c r="J5411"/>
    </row>
    <row r="5412" spans="6:10">
      <c r="F5412"/>
      <c r="G5412"/>
      <c r="H5412"/>
      <c r="I5412"/>
      <c r="J5412"/>
    </row>
    <row r="5413" spans="6:10">
      <c r="F5413"/>
      <c r="G5413"/>
      <c r="H5413"/>
      <c r="I5413"/>
      <c r="J5413"/>
    </row>
    <row r="5414" spans="6:10">
      <c r="F5414"/>
      <c r="G5414"/>
      <c r="H5414"/>
      <c r="I5414"/>
      <c r="J5414"/>
    </row>
    <row r="5415" spans="6:10">
      <c r="F5415"/>
      <c r="G5415"/>
      <c r="H5415"/>
      <c r="I5415"/>
      <c r="J5415"/>
    </row>
    <row r="5416" spans="6:10">
      <c r="F5416"/>
      <c r="G5416"/>
      <c r="H5416"/>
      <c r="I5416"/>
      <c r="J5416"/>
    </row>
    <row r="5417" spans="6:10">
      <c r="F5417"/>
      <c r="G5417"/>
      <c r="H5417"/>
      <c r="I5417"/>
      <c r="J5417"/>
    </row>
    <row r="5418" spans="6:10">
      <c r="F5418"/>
      <c r="G5418"/>
      <c r="H5418"/>
      <c r="I5418"/>
      <c r="J5418"/>
    </row>
    <row r="5419" spans="6:10">
      <c r="F5419"/>
      <c r="G5419"/>
      <c r="H5419"/>
      <c r="I5419"/>
      <c r="J5419"/>
    </row>
    <row r="5420" spans="6:10">
      <c r="F5420"/>
      <c r="G5420"/>
      <c r="H5420"/>
      <c r="I5420"/>
      <c r="J5420"/>
    </row>
    <row r="5421" spans="6:10">
      <c r="F5421"/>
      <c r="G5421"/>
      <c r="H5421"/>
      <c r="I5421"/>
      <c r="J5421"/>
    </row>
    <row r="5422" spans="6:10">
      <c r="F5422"/>
      <c r="G5422"/>
      <c r="H5422"/>
      <c r="I5422"/>
      <c r="J5422"/>
    </row>
    <row r="5423" spans="6:10">
      <c r="F5423"/>
      <c r="G5423"/>
      <c r="H5423"/>
      <c r="I5423"/>
      <c r="J5423"/>
    </row>
    <row r="5424" spans="6:10">
      <c r="F5424"/>
      <c r="G5424"/>
      <c r="H5424"/>
      <c r="I5424"/>
      <c r="J5424"/>
    </row>
    <row r="5425" spans="6:10">
      <c r="F5425"/>
      <c r="G5425"/>
      <c r="H5425"/>
      <c r="I5425"/>
      <c r="J5425"/>
    </row>
    <row r="5426" spans="6:10">
      <c r="F5426"/>
      <c r="G5426"/>
      <c r="H5426"/>
      <c r="I5426"/>
      <c r="J5426"/>
    </row>
    <row r="5427" spans="6:10">
      <c r="F5427"/>
      <c r="G5427"/>
      <c r="H5427"/>
      <c r="I5427"/>
      <c r="J5427"/>
    </row>
    <row r="5428" spans="6:10">
      <c r="F5428"/>
      <c r="G5428"/>
      <c r="H5428"/>
      <c r="I5428"/>
      <c r="J5428"/>
    </row>
    <row r="5429" spans="6:10">
      <c r="F5429"/>
      <c r="G5429"/>
      <c r="H5429"/>
      <c r="I5429"/>
      <c r="J5429"/>
    </row>
    <row r="5430" spans="6:10">
      <c r="F5430"/>
      <c r="G5430"/>
      <c r="H5430"/>
      <c r="I5430"/>
      <c r="J5430"/>
    </row>
    <row r="5431" spans="6:10">
      <c r="F5431"/>
      <c r="G5431"/>
      <c r="H5431"/>
      <c r="I5431"/>
      <c r="J5431"/>
    </row>
    <row r="5432" spans="6:10">
      <c r="F5432"/>
      <c r="G5432"/>
      <c r="H5432"/>
      <c r="I5432"/>
      <c r="J5432"/>
    </row>
    <row r="5433" spans="6:10">
      <c r="F5433"/>
      <c r="G5433"/>
      <c r="H5433"/>
      <c r="I5433"/>
      <c r="J5433"/>
    </row>
    <row r="5434" spans="6:10">
      <c r="F5434"/>
      <c r="G5434"/>
      <c r="H5434"/>
      <c r="I5434"/>
      <c r="J5434"/>
    </row>
    <row r="5435" spans="6:10">
      <c r="F5435"/>
      <c r="G5435"/>
      <c r="H5435"/>
      <c r="I5435"/>
      <c r="J5435"/>
    </row>
    <row r="5436" spans="6:10">
      <c r="F5436"/>
      <c r="G5436"/>
      <c r="H5436"/>
      <c r="I5436"/>
      <c r="J5436"/>
    </row>
    <row r="5437" spans="6:10">
      <c r="F5437"/>
      <c r="G5437"/>
      <c r="H5437"/>
      <c r="I5437"/>
      <c r="J5437"/>
    </row>
    <row r="5438" spans="6:10">
      <c r="F5438"/>
      <c r="G5438"/>
      <c r="H5438"/>
      <c r="I5438"/>
      <c r="J5438"/>
    </row>
    <row r="5439" spans="6:10">
      <c r="F5439"/>
      <c r="G5439"/>
      <c r="H5439"/>
      <c r="I5439"/>
      <c r="J5439"/>
    </row>
    <row r="5440" spans="6:10">
      <c r="F5440"/>
      <c r="G5440"/>
      <c r="H5440"/>
      <c r="I5440"/>
      <c r="J5440"/>
    </row>
    <row r="5441" spans="6:10">
      <c r="F5441"/>
      <c r="G5441"/>
      <c r="H5441"/>
      <c r="I5441"/>
      <c r="J5441"/>
    </row>
    <row r="5442" spans="6:10">
      <c r="F5442"/>
      <c r="G5442"/>
      <c r="H5442"/>
      <c r="I5442"/>
      <c r="J5442"/>
    </row>
    <row r="5443" spans="6:10">
      <c r="F5443"/>
      <c r="G5443"/>
      <c r="H5443"/>
      <c r="I5443"/>
      <c r="J5443"/>
    </row>
    <row r="5444" spans="6:10">
      <c r="F5444"/>
      <c r="G5444"/>
      <c r="H5444"/>
      <c r="I5444"/>
      <c r="J5444"/>
    </row>
    <row r="5445" spans="6:10">
      <c r="F5445"/>
      <c r="G5445"/>
      <c r="H5445"/>
      <c r="I5445"/>
      <c r="J5445"/>
    </row>
    <row r="5446" spans="6:10">
      <c r="F5446"/>
      <c r="G5446"/>
      <c r="H5446"/>
      <c r="I5446"/>
      <c r="J5446"/>
    </row>
    <row r="5447" spans="6:10">
      <c r="F5447"/>
      <c r="G5447"/>
      <c r="H5447"/>
      <c r="I5447"/>
      <c r="J5447"/>
    </row>
    <row r="5448" spans="6:10">
      <c r="F5448"/>
      <c r="G5448"/>
      <c r="H5448"/>
      <c r="I5448"/>
      <c r="J5448"/>
    </row>
    <row r="5449" spans="6:10">
      <c r="F5449"/>
      <c r="G5449"/>
      <c r="H5449"/>
      <c r="I5449"/>
      <c r="J5449"/>
    </row>
    <row r="5450" spans="6:10">
      <c r="F5450"/>
      <c r="G5450"/>
      <c r="H5450"/>
      <c r="I5450"/>
      <c r="J5450"/>
    </row>
    <row r="5451" spans="6:10">
      <c r="F5451"/>
      <c r="G5451"/>
      <c r="H5451"/>
      <c r="I5451"/>
      <c r="J5451"/>
    </row>
    <row r="5452" spans="6:10">
      <c r="F5452"/>
      <c r="G5452"/>
      <c r="H5452"/>
      <c r="I5452"/>
      <c r="J5452"/>
    </row>
    <row r="5453" spans="6:10">
      <c r="F5453"/>
      <c r="G5453"/>
      <c r="H5453"/>
      <c r="I5453"/>
      <c r="J5453"/>
    </row>
    <row r="5454" spans="6:10">
      <c r="F5454"/>
      <c r="G5454"/>
      <c r="H5454"/>
      <c r="I5454"/>
      <c r="J5454"/>
    </row>
    <row r="5455" spans="6:10">
      <c r="F5455"/>
      <c r="G5455"/>
      <c r="H5455"/>
      <c r="I5455"/>
      <c r="J5455"/>
    </row>
    <row r="5456" spans="6:10">
      <c r="F5456"/>
      <c r="G5456"/>
      <c r="H5456"/>
      <c r="I5456"/>
      <c r="J5456"/>
    </row>
    <row r="5457" spans="6:10">
      <c r="F5457"/>
      <c r="G5457"/>
      <c r="H5457"/>
      <c r="I5457"/>
      <c r="J5457"/>
    </row>
    <row r="5458" spans="6:10">
      <c r="F5458"/>
      <c r="G5458"/>
      <c r="H5458"/>
      <c r="I5458"/>
      <c r="J5458"/>
    </row>
    <row r="5459" spans="6:10">
      <c r="F5459"/>
      <c r="G5459"/>
      <c r="H5459"/>
      <c r="I5459"/>
      <c r="J5459"/>
    </row>
    <row r="5460" spans="6:10">
      <c r="F5460"/>
      <c r="G5460"/>
      <c r="H5460"/>
      <c r="I5460"/>
      <c r="J5460"/>
    </row>
    <row r="5461" spans="6:10">
      <c r="F5461"/>
      <c r="G5461"/>
      <c r="H5461"/>
      <c r="I5461"/>
      <c r="J5461"/>
    </row>
    <row r="5462" spans="6:10">
      <c r="F5462"/>
      <c r="G5462"/>
      <c r="H5462"/>
      <c r="I5462"/>
      <c r="J5462"/>
    </row>
    <row r="5463" spans="6:10">
      <c r="F5463"/>
      <c r="G5463"/>
      <c r="H5463"/>
      <c r="I5463"/>
      <c r="J5463"/>
    </row>
    <row r="5464" spans="6:10">
      <c r="F5464"/>
      <c r="G5464"/>
      <c r="H5464"/>
      <c r="I5464"/>
      <c r="J5464"/>
    </row>
    <row r="5465" spans="6:10">
      <c r="F5465"/>
      <c r="G5465"/>
      <c r="H5465"/>
      <c r="I5465"/>
      <c r="J5465"/>
    </row>
    <row r="5466" spans="6:10">
      <c r="F5466"/>
      <c r="G5466"/>
      <c r="H5466"/>
      <c r="I5466"/>
      <c r="J5466"/>
    </row>
    <row r="5467" spans="6:10">
      <c r="F5467"/>
      <c r="G5467"/>
      <c r="H5467"/>
      <c r="I5467"/>
      <c r="J5467"/>
    </row>
    <row r="5468" spans="6:10">
      <c r="F5468"/>
      <c r="G5468"/>
      <c r="H5468"/>
      <c r="I5468"/>
      <c r="J5468"/>
    </row>
    <row r="5469" spans="6:10">
      <c r="F5469"/>
      <c r="G5469"/>
      <c r="H5469"/>
      <c r="I5469"/>
      <c r="J5469"/>
    </row>
    <row r="5470" spans="6:10">
      <c r="F5470"/>
      <c r="G5470"/>
      <c r="H5470"/>
      <c r="I5470"/>
      <c r="J5470"/>
    </row>
    <row r="5471" spans="6:10">
      <c r="F5471"/>
      <c r="G5471"/>
      <c r="H5471"/>
      <c r="I5471"/>
      <c r="J5471"/>
    </row>
    <row r="5472" spans="6:10">
      <c r="F5472"/>
      <c r="G5472"/>
      <c r="H5472"/>
      <c r="I5472"/>
      <c r="J5472"/>
    </row>
    <row r="5473" spans="6:10">
      <c r="F5473"/>
      <c r="G5473"/>
      <c r="H5473"/>
      <c r="I5473"/>
      <c r="J5473"/>
    </row>
    <row r="5474" spans="6:10">
      <c r="F5474"/>
      <c r="G5474"/>
      <c r="H5474"/>
      <c r="I5474"/>
      <c r="J5474"/>
    </row>
    <row r="5475" spans="6:10">
      <c r="F5475"/>
      <c r="G5475"/>
      <c r="H5475"/>
      <c r="I5475"/>
      <c r="J5475"/>
    </row>
    <row r="5476" spans="6:10">
      <c r="F5476"/>
      <c r="G5476"/>
      <c r="H5476"/>
      <c r="I5476"/>
      <c r="J5476"/>
    </row>
    <row r="5477" spans="6:10">
      <c r="F5477"/>
      <c r="G5477"/>
      <c r="H5477"/>
      <c r="I5477"/>
      <c r="J5477"/>
    </row>
    <row r="5478" spans="6:10">
      <c r="F5478"/>
      <c r="G5478"/>
      <c r="H5478"/>
      <c r="I5478"/>
      <c r="J5478"/>
    </row>
    <row r="5479" spans="6:10">
      <c r="F5479"/>
      <c r="G5479"/>
      <c r="H5479"/>
      <c r="I5479"/>
      <c r="J5479"/>
    </row>
    <row r="5480" spans="6:10">
      <c r="F5480"/>
      <c r="G5480"/>
      <c r="H5480"/>
      <c r="I5480"/>
      <c r="J5480"/>
    </row>
    <row r="5481" spans="6:10">
      <c r="F5481"/>
      <c r="G5481"/>
      <c r="H5481"/>
      <c r="I5481"/>
      <c r="J5481"/>
    </row>
    <row r="5482" spans="6:10">
      <c r="F5482"/>
      <c r="G5482"/>
      <c r="H5482"/>
      <c r="I5482"/>
      <c r="J5482"/>
    </row>
    <row r="5483" spans="6:10">
      <c r="F5483"/>
      <c r="G5483"/>
      <c r="H5483"/>
      <c r="I5483"/>
      <c r="J5483"/>
    </row>
    <row r="5484" spans="6:10">
      <c r="F5484"/>
      <c r="G5484"/>
      <c r="H5484"/>
      <c r="I5484"/>
      <c r="J5484"/>
    </row>
    <row r="5485" spans="6:10">
      <c r="F5485"/>
      <c r="G5485"/>
      <c r="H5485"/>
      <c r="I5485"/>
      <c r="J5485"/>
    </row>
    <row r="5486" spans="6:10">
      <c r="F5486"/>
      <c r="G5486"/>
      <c r="H5486"/>
      <c r="I5486"/>
      <c r="J5486"/>
    </row>
    <row r="5487" spans="6:10">
      <c r="F5487"/>
      <c r="G5487"/>
      <c r="H5487"/>
      <c r="I5487"/>
      <c r="J5487"/>
    </row>
    <row r="5488" spans="6:10">
      <c r="F5488"/>
      <c r="G5488"/>
      <c r="H5488"/>
      <c r="I5488"/>
      <c r="J5488"/>
    </row>
    <row r="5489" spans="6:10">
      <c r="F5489"/>
      <c r="G5489"/>
      <c r="H5489"/>
      <c r="I5489"/>
      <c r="J5489"/>
    </row>
    <row r="5490" spans="6:10">
      <c r="F5490"/>
      <c r="G5490"/>
      <c r="H5490"/>
      <c r="I5490"/>
      <c r="J5490"/>
    </row>
    <row r="5491" spans="6:10">
      <c r="F5491"/>
      <c r="G5491"/>
      <c r="H5491"/>
      <c r="I5491"/>
      <c r="J5491"/>
    </row>
    <row r="5492" spans="6:10">
      <c r="F5492"/>
      <c r="G5492"/>
      <c r="H5492"/>
      <c r="I5492"/>
      <c r="J5492"/>
    </row>
    <row r="5493" spans="6:10">
      <c r="F5493"/>
      <c r="G5493"/>
      <c r="H5493"/>
      <c r="I5493"/>
      <c r="J5493"/>
    </row>
    <row r="5494" spans="6:10">
      <c r="F5494"/>
      <c r="G5494"/>
      <c r="H5494"/>
      <c r="I5494"/>
      <c r="J5494"/>
    </row>
    <row r="5495" spans="6:10">
      <c r="F5495"/>
      <c r="G5495"/>
      <c r="H5495"/>
      <c r="I5495"/>
      <c r="J5495"/>
    </row>
    <row r="5496" spans="6:10">
      <c r="F5496"/>
      <c r="G5496"/>
      <c r="H5496"/>
      <c r="I5496"/>
      <c r="J5496"/>
    </row>
    <row r="5497" spans="6:10">
      <c r="F5497"/>
      <c r="G5497"/>
      <c r="H5497"/>
      <c r="I5497"/>
      <c r="J5497"/>
    </row>
    <row r="5498" spans="6:10">
      <c r="F5498"/>
      <c r="G5498"/>
      <c r="H5498"/>
      <c r="I5498"/>
      <c r="J5498"/>
    </row>
    <row r="5499" spans="6:10">
      <c r="F5499"/>
      <c r="G5499"/>
      <c r="H5499"/>
      <c r="I5499"/>
      <c r="J5499"/>
    </row>
    <row r="5500" spans="6:10">
      <c r="F5500"/>
      <c r="G5500"/>
      <c r="H5500"/>
      <c r="I5500"/>
      <c r="J5500"/>
    </row>
    <row r="5501" spans="6:10">
      <c r="F5501"/>
      <c r="G5501"/>
      <c r="H5501"/>
      <c r="I5501"/>
      <c r="J5501"/>
    </row>
    <row r="5502" spans="6:10">
      <c r="F5502"/>
      <c r="G5502"/>
      <c r="H5502"/>
      <c r="I5502"/>
      <c r="J5502"/>
    </row>
    <row r="5503" spans="6:10">
      <c r="F5503"/>
      <c r="G5503"/>
      <c r="H5503"/>
      <c r="I5503"/>
      <c r="J5503"/>
    </row>
    <row r="5504" spans="6:10">
      <c r="F5504"/>
      <c r="G5504"/>
      <c r="H5504"/>
      <c r="I5504"/>
      <c r="J5504"/>
    </row>
    <row r="5505" spans="6:10">
      <c r="F5505"/>
      <c r="G5505"/>
      <c r="H5505"/>
      <c r="I5505"/>
      <c r="J5505"/>
    </row>
    <row r="5506" spans="6:10">
      <c r="F5506"/>
      <c r="G5506"/>
      <c r="H5506"/>
      <c r="I5506"/>
      <c r="J5506"/>
    </row>
    <row r="5507" spans="6:10">
      <c r="F5507"/>
      <c r="G5507"/>
      <c r="H5507"/>
      <c r="I5507"/>
      <c r="J5507"/>
    </row>
    <row r="5508" spans="6:10">
      <c r="F5508"/>
      <c r="G5508"/>
      <c r="H5508"/>
      <c r="I5508"/>
      <c r="J5508"/>
    </row>
    <row r="5509" spans="6:10">
      <c r="F5509"/>
      <c r="G5509"/>
      <c r="H5509"/>
      <c r="I5509"/>
      <c r="J5509"/>
    </row>
    <row r="5510" spans="6:10">
      <c r="F5510"/>
      <c r="G5510"/>
      <c r="H5510"/>
      <c r="I5510"/>
      <c r="J5510"/>
    </row>
    <row r="5511" spans="6:10">
      <c r="F5511"/>
      <c r="G5511"/>
      <c r="H5511"/>
      <c r="I5511"/>
      <c r="J5511"/>
    </row>
    <row r="5512" spans="6:10">
      <c r="F5512"/>
      <c r="G5512"/>
      <c r="H5512"/>
      <c r="I5512"/>
      <c r="J5512"/>
    </row>
    <row r="5513" spans="6:10">
      <c r="F5513"/>
      <c r="G5513"/>
      <c r="H5513"/>
      <c r="I5513"/>
      <c r="J5513"/>
    </row>
    <row r="5514" spans="6:10">
      <c r="F5514"/>
      <c r="G5514"/>
      <c r="H5514"/>
      <c r="I5514"/>
      <c r="J5514"/>
    </row>
    <row r="5515" spans="6:10">
      <c r="F5515"/>
      <c r="G5515"/>
      <c r="H5515"/>
      <c r="I5515"/>
      <c r="J5515"/>
    </row>
    <row r="5516" spans="6:10">
      <c r="F5516"/>
      <c r="G5516"/>
      <c r="H5516"/>
      <c r="I5516"/>
      <c r="J5516"/>
    </row>
    <row r="5517" spans="6:10">
      <c r="F5517"/>
      <c r="G5517"/>
      <c r="H5517"/>
      <c r="I5517"/>
      <c r="J5517"/>
    </row>
    <row r="5518" spans="6:10">
      <c r="F5518"/>
      <c r="G5518"/>
      <c r="H5518"/>
      <c r="I5518"/>
      <c r="J5518"/>
    </row>
    <row r="5519" spans="6:10">
      <c r="F5519"/>
      <c r="G5519"/>
      <c r="H5519"/>
      <c r="I5519"/>
      <c r="J5519"/>
    </row>
    <row r="5520" spans="6:10">
      <c r="F5520"/>
      <c r="G5520"/>
      <c r="H5520"/>
      <c r="I5520"/>
      <c r="J5520"/>
    </row>
    <row r="5521" spans="6:10">
      <c r="F5521"/>
      <c r="G5521"/>
      <c r="H5521"/>
      <c r="I5521"/>
      <c r="J5521"/>
    </row>
    <row r="5522" spans="6:10">
      <c r="F5522"/>
      <c r="G5522"/>
      <c r="H5522"/>
      <c r="I5522"/>
      <c r="J5522"/>
    </row>
    <row r="5523" spans="6:10">
      <c r="F5523"/>
      <c r="G5523"/>
      <c r="H5523"/>
      <c r="I5523"/>
      <c r="J5523"/>
    </row>
    <row r="5524" spans="6:10">
      <c r="F5524"/>
      <c r="G5524"/>
      <c r="H5524"/>
      <c r="I5524"/>
      <c r="J5524"/>
    </row>
    <row r="5525" spans="6:10">
      <c r="F5525"/>
      <c r="G5525"/>
      <c r="H5525"/>
      <c r="I5525"/>
      <c r="J5525"/>
    </row>
    <row r="5526" spans="6:10">
      <c r="F5526"/>
      <c r="G5526"/>
      <c r="H5526"/>
      <c r="I5526"/>
      <c r="J5526"/>
    </row>
    <row r="5527" spans="6:10">
      <c r="F5527"/>
      <c r="G5527"/>
      <c r="H5527"/>
      <c r="I5527"/>
      <c r="J5527"/>
    </row>
    <row r="5528" spans="6:10">
      <c r="F5528"/>
      <c r="G5528"/>
      <c r="H5528"/>
      <c r="I5528"/>
      <c r="J5528"/>
    </row>
    <row r="5529" spans="6:10">
      <c r="F5529"/>
      <c r="G5529"/>
      <c r="H5529"/>
      <c r="I5529"/>
      <c r="J5529"/>
    </row>
    <row r="5530" spans="6:10">
      <c r="F5530"/>
      <c r="G5530"/>
      <c r="H5530"/>
      <c r="I5530"/>
      <c r="J5530"/>
    </row>
    <row r="5531" spans="6:10">
      <c r="F5531"/>
      <c r="G5531"/>
      <c r="H5531"/>
      <c r="I5531"/>
      <c r="J5531"/>
    </row>
    <row r="5532" spans="6:10">
      <c r="F5532"/>
      <c r="G5532"/>
      <c r="H5532"/>
      <c r="I5532"/>
      <c r="J5532"/>
    </row>
    <row r="5533" spans="6:10">
      <c r="F5533"/>
      <c r="G5533"/>
      <c r="H5533"/>
      <c r="I5533"/>
      <c r="J5533"/>
    </row>
    <row r="5534" spans="6:10">
      <c r="F5534"/>
      <c r="G5534"/>
      <c r="H5534"/>
      <c r="I5534"/>
      <c r="J5534"/>
    </row>
    <row r="5535" spans="6:10">
      <c r="F5535"/>
      <c r="G5535"/>
      <c r="H5535"/>
      <c r="I5535"/>
      <c r="J5535"/>
    </row>
    <row r="5536" spans="6:10">
      <c r="F5536"/>
      <c r="G5536"/>
      <c r="H5536"/>
      <c r="I5536"/>
      <c r="J5536"/>
    </row>
    <row r="5537" spans="6:10">
      <c r="F5537"/>
      <c r="G5537"/>
      <c r="H5537"/>
      <c r="I5537"/>
      <c r="J5537"/>
    </row>
    <row r="5538" spans="6:10">
      <c r="F5538"/>
      <c r="G5538"/>
      <c r="H5538"/>
      <c r="I5538"/>
      <c r="J5538"/>
    </row>
    <row r="5539" spans="6:10">
      <c r="F5539"/>
      <c r="G5539"/>
      <c r="H5539"/>
      <c r="I5539"/>
      <c r="J5539"/>
    </row>
    <row r="5540" spans="6:10">
      <c r="F5540"/>
      <c r="G5540"/>
      <c r="H5540"/>
      <c r="I5540"/>
      <c r="J5540"/>
    </row>
    <row r="5541" spans="6:10">
      <c r="F5541"/>
      <c r="G5541"/>
      <c r="H5541"/>
      <c r="I5541"/>
      <c r="J5541"/>
    </row>
    <row r="5542" spans="6:10">
      <c r="F5542"/>
      <c r="G5542"/>
      <c r="H5542"/>
      <c r="I5542"/>
      <c r="J5542"/>
    </row>
    <row r="5543" spans="6:10">
      <c r="F5543"/>
      <c r="G5543"/>
      <c r="H5543"/>
      <c r="I5543"/>
      <c r="J5543"/>
    </row>
    <row r="5544" spans="6:10">
      <c r="F5544"/>
      <c r="G5544"/>
      <c r="H5544"/>
      <c r="I5544"/>
      <c r="J5544"/>
    </row>
    <row r="5545" spans="6:10">
      <c r="F5545"/>
      <c r="G5545"/>
      <c r="H5545"/>
      <c r="I5545"/>
      <c r="J5545"/>
    </row>
    <row r="5546" spans="6:10">
      <c r="F5546"/>
      <c r="G5546"/>
      <c r="H5546"/>
      <c r="I5546"/>
      <c r="J5546"/>
    </row>
    <row r="5547" spans="6:10">
      <c r="F5547"/>
      <c r="G5547"/>
      <c r="H5547"/>
      <c r="I5547"/>
      <c r="J5547"/>
    </row>
    <row r="5548" spans="6:10">
      <c r="F5548"/>
      <c r="G5548"/>
      <c r="H5548"/>
      <c r="I5548"/>
      <c r="J5548"/>
    </row>
    <row r="5549" spans="6:10">
      <c r="F5549"/>
      <c r="G5549"/>
      <c r="H5549"/>
      <c r="I5549"/>
      <c r="J5549"/>
    </row>
    <row r="5550" spans="6:10">
      <c r="F5550"/>
      <c r="G5550"/>
      <c r="H5550"/>
      <c r="I5550"/>
      <c r="J5550"/>
    </row>
    <row r="5551" spans="6:10">
      <c r="F5551"/>
      <c r="G5551"/>
      <c r="H5551"/>
      <c r="I5551"/>
      <c r="J5551"/>
    </row>
    <row r="5552" spans="6:10">
      <c r="F5552"/>
      <c r="G5552"/>
      <c r="H5552"/>
      <c r="I5552"/>
      <c r="J5552"/>
    </row>
    <row r="5553" spans="6:10">
      <c r="F5553"/>
      <c r="G5553"/>
      <c r="H5553"/>
      <c r="I5553"/>
      <c r="J5553"/>
    </row>
    <row r="5554" spans="6:10">
      <c r="F5554"/>
      <c r="G5554"/>
      <c r="H5554"/>
      <c r="I5554"/>
      <c r="J5554"/>
    </row>
    <row r="5555" spans="6:10">
      <c r="F5555"/>
      <c r="G5555"/>
      <c r="H5555"/>
      <c r="I5555"/>
      <c r="J5555"/>
    </row>
    <row r="5556" spans="6:10">
      <c r="F5556"/>
      <c r="G5556"/>
      <c r="H5556"/>
      <c r="I5556"/>
      <c r="J5556"/>
    </row>
    <row r="5557" spans="6:10">
      <c r="F5557"/>
      <c r="G5557"/>
      <c r="H5557"/>
      <c r="I5557"/>
      <c r="J5557"/>
    </row>
    <row r="5558" spans="6:10">
      <c r="F5558"/>
      <c r="G5558"/>
      <c r="H5558"/>
      <c r="I5558"/>
      <c r="J5558"/>
    </row>
    <row r="5559" spans="6:10">
      <c r="F5559"/>
      <c r="G5559"/>
      <c r="H5559"/>
      <c r="I5559"/>
      <c r="J5559"/>
    </row>
    <row r="5560" spans="6:10">
      <c r="F5560"/>
      <c r="G5560"/>
      <c r="H5560"/>
      <c r="I5560"/>
      <c r="J5560"/>
    </row>
    <row r="5561" spans="6:10">
      <c r="F5561"/>
      <c r="G5561"/>
      <c r="H5561"/>
      <c r="I5561"/>
      <c r="J5561"/>
    </row>
    <row r="5562" spans="6:10">
      <c r="F5562"/>
      <c r="G5562"/>
      <c r="H5562"/>
      <c r="I5562"/>
      <c r="J5562"/>
    </row>
    <row r="5563" spans="6:10">
      <c r="F5563"/>
      <c r="G5563"/>
      <c r="H5563"/>
      <c r="I5563"/>
      <c r="J5563"/>
    </row>
    <row r="5564" spans="6:10">
      <c r="F5564"/>
      <c r="G5564"/>
      <c r="H5564"/>
      <c r="I5564"/>
      <c r="J5564"/>
    </row>
    <row r="5565" spans="6:10">
      <c r="F5565"/>
      <c r="G5565"/>
      <c r="H5565"/>
      <c r="I5565"/>
      <c r="J5565"/>
    </row>
    <row r="5566" spans="6:10">
      <c r="F5566"/>
      <c r="G5566"/>
      <c r="H5566"/>
      <c r="I5566"/>
      <c r="J5566"/>
    </row>
    <row r="5567" spans="6:10">
      <c r="F5567"/>
      <c r="G5567"/>
      <c r="H5567"/>
      <c r="I5567"/>
      <c r="J5567"/>
    </row>
    <row r="5568" spans="6:10">
      <c r="F5568"/>
      <c r="G5568"/>
      <c r="H5568"/>
      <c r="I5568"/>
      <c r="J5568"/>
    </row>
    <row r="5569" spans="6:10">
      <c r="F5569"/>
      <c r="G5569"/>
      <c r="H5569"/>
      <c r="I5569"/>
      <c r="J5569"/>
    </row>
    <row r="5570" spans="6:10">
      <c r="F5570"/>
      <c r="G5570"/>
      <c r="H5570"/>
      <c r="I5570"/>
      <c r="J5570"/>
    </row>
    <row r="5571" spans="6:10">
      <c r="F5571"/>
      <c r="G5571"/>
      <c r="H5571"/>
      <c r="I5571"/>
      <c r="J5571"/>
    </row>
    <row r="5572" spans="6:10">
      <c r="F5572"/>
      <c r="G5572"/>
      <c r="H5572"/>
      <c r="I5572"/>
      <c r="J5572"/>
    </row>
    <row r="5573" spans="6:10">
      <c r="F5573"/>
      <c r="G5573"/>
      <c r="H5573"/>
      <c r="I5573"/>
      <c r="J5573"/>
    </row>
    <row r="5574" spans="6:10">
      <c r="F5574"/>
      <c r="G5574"/>
      <c r="H5574"/>
      <c r="I5574"/>
      <c r="J5574"/>
    </row>
    <row r="5575" spans="6:10">
      <c r="F5575"/>
      <c r="G5575"/>
      <c r="H5575"/>
      <c r="I5575"/>
      <c r="J5575"/>
    </row>
    <row r="5576" spans="6:10">
      <c r="F5576"/>
      <c r="G5576"/>
      <c r="H5576"/>
      <c r="I5576"/>
      <c r="J5576"/>
    </row>
    <row r="5577" spans="6:10">
      <c r="F5577"/>
      <c r="G5577"/>
      <c r="H5577"/>
      <c r="I5577"/>
      <c r="J5577"/>
    </row>
    <row r="5578" spans="6:10">
      <c r="F5578"/>
      <c r="G5578"/>
      <c r="H5578"/>
      <c r="I5578"/>
      <c r="J5578"/>
    </row>
    <row r="5579" spans="6:10">
      <c r="F5579"/>
      <c r="G5579"/>
      <c r="H5579"/>
      <c r="I5579"/>
      <c r="J5579"/>
    </row>
    <row r="5580" spans="6:10">
      <c r="F5580"/>
      <c r="G5580"/>
      <c r="H5580"/>
      <c r="I5580"/>
      <c r="J5580"/>
    </row>
    <row r="5581" spans="6:10">
      <c r="F5581"/>
      <c r="G5581"/>
      <c r="H5581"/>
      <c r="I5581"/>
      <c r="J5581"/>
    </row>
    <row r="5582" spans="6:10">
      <c r="F5582"/>
      <c r="G5582"/>
      <c r="H5582"/>
      <c r="I5582"/>
      <c r="J5582"/>
    </row>
    <row r="5583" spans="6:10">
      <c r="F5583"/>
      <c r="G5583"/>
      <c r="H5583"/>
      <c r="I5583"/>
      <c r="J5583"/>
    </row>
    <row r="5584" spans="6:10">
      <c r="F5584"/>
      <c r="G5584"/>
      <c r="H5584"/>
      <c r="I5584"/>
      <c r="J5584"/>
    </row>
    <row r="5585" spans="6:10">
      <c r="F5585"/>
      <c r="G5585"/>
      <c r="H5585"/>
      <c r="I5585"/>
      <c r="J5585"/>
    </row>
    <row r="5586" spans="6:10">
      <c r="F5586"/>
      <c r="G5586"/>
      <c r="H5586"/>
      <c r="I5586"/>
      <c r="J5586"/>
    </row>
    <row r="5587" spans="6:10">
      <c r="F5587"/>
      <c r="G5587"/>
      <c r="H5587"/>
      <c r="I5587"/>
      <c r="J5587"/>
    </row>
    <row r="5588" spans="6:10">
      <c r="F5588"/>
      <c r="G5588"/>
      <c r="H5588"/>
      <c r="I5588"/>
      <c r="J5588"/>
    </row>
    <row r="5589" spans="6:10">
      <c r="F5589"/>
      <c r="G5589"/>
      <c r="H5589"/>
      <c r="I5589"/>
      <c r="J5589"/>
    </row>
    <row r="5590" spans="6:10">
      <c r="F5590"/>
      <c r="G5590"/>
      <c r="H5590"/>
      <c r="I5590"/>
      <c r="J5590"/>
    </row>
    <row r="5591" spans="6:10">
      <c r="F5591"/>
      <c r="G5591"/>
      <c r="H5591"/>
      <c r="I5591"/>
      <c r="J5591"/>
    </row>
    <row r="5592" spans="6:10">
      <c r="F5592"/>
      <c r="G5592"/>
      <c r="H5592"/>
      <c r="I5592"/>
      <c r="J5592"/>
    </row>
    <row r="5593" spans="6:10">
      <c r="F5593"/>
      <c r="G5593"/>
      <c r="H5593"/>
      <c r="I5593"/>
      <c r="J5593"/>
    </row>
    <row r="5594" spans="6:10">
      <c r="F5594"/>
      <c r="G5594"/>
      <c r="H5594"/>
      <c r="I5594"/>
      <c r="J5594"/>
    </row>
    <row r="5595" spans="6:10">
      <c r="F5595"/>
      <c r="G5595"/>
      <c r="H5595"/>
      <c r="I5595"/>
      <c r="J5595"/>
    </row>
    <row r="5596" spans="6:10">
      <c r="F5596"/>
      <c r="G5596"/>
      <c r="H5596"/>
      <c r="I5596"/>
      <c r="J5596"/>
    </row>
    <row r="5597" spans="6:10">
      <c r="F5597"/>
      <c r="G5597"/>
      <c r="H5597"/>
      <c r="I5597"/>
      <c r="J5597"/>
    </row>
    <row r="5598" spans="6:10">
      <c r="F5598"/>
      <c r="G5598"/>
      <c r="H5598"/>
      <c r="I5598"/>
      <c r="J5598"/>
    </row>
    <row r="5599" spans="6:10">
      <c r="F5599"/>
      <c r="G5599"/>
      <c r="H5599"/>
      <c r="I5599"/>
      <c r="J5599"/>
    </row>
    <row r="5600" spans="6:10">
      <c r="F5600"/>
      <c r="G5600"/>
      <c r="H5600"/>
      <c r="I5600"/>
      <c r="J5600"/>
    </row>
    <row r="5601" spans="6:10">
      <c r="F5601"/>
      <c r="G5601"/>
      <c r="H5601"/>
      <c r="I5601"/>
      <c r="J5601"/>
    </row>
    <row r="5602" spans="6:10">
      <c r="F5602"/>
      <c r="G5602"/>
      <c r="H5602"/>
      <c r="I5602"/>
      <c r="J5602"/>
    </row>
    <row r="5603" spans="6:10">
      <c r="F5603"/>
      <c r="G5603"/>
      <c r="H5603"/>
      <c r="I5603"/>
      <c r="J5603"/>
    </row>
    <row r="5604" spans="6:10">
      <c r="F5604"/>
      <c r="G5604"/>
      <c r="H5604"/>
      <c r="I5604"/>
      <c r="J5604"/>
    </row>
    <row r="5605" spans="6:10">
      <c r="F5605"/>
      <c r="G5605"/>
      <c r="H5605"/>
      <c r="I5605"/>
      <c r="J5605"/>
    </row>
    <row r="5606" spans="6:10">
      <c r="F5606"/>
      <c r="G5606"/>
      <c r="H5606"/>
      <c r="I5606"/>
      <c r="J5606"/>
    </row>
    <row r="5607" spans="6:10">
      <c r="F5607"/>
      <c r="G5607"/>
      <c r="H5607"/>
      <c r="I5607"/>
      <c r="J5607"/>
    </row>
    <row r="5608" spans="6:10">
      <c r="F5608"/>
      <c r="G5608"/>
      <c r="H5608"/>
      <c r="I5608"/>
      <c r="J5608"/>
    </row>
    <row r="5609" spans="6:10">
      <c r="F5609"/>
      <c r="G5609"/>
      <c r="H5609"/>
      <c r="I5609"/>
      <c r="J5609"/>
    </row>
    <row r="5610" spans="6:10">
      <c r="F5610"/>
      <c r="G5610"/>
      <c r="H5610"/>
      <c r="I5610"/>
      <c r="J5610"/>
    </row>
    <row r="5611" spans="6:10">
      <c r="F5611"/>
      <c r="G5611"/>
      <c r="H5611"/>
      <c r="I5611"/>
      <c r="J5611"/>
    </row>
    <row r="5612" spans="6:10">
      <c r="F5612"/>
      <c r="G5612"/>
      <c r="H5612"/>
      <c r="I5612"/>
      <c r="J5612"/>
    </row>
    <row r="5613" spans="6:10">
      <c r="F5613"/>
      <c r="G5613"/>
      <c r="H5613"/>
      <c r="I5613"/>
      <c r="J5613"/>
    </row>
    <row r="5614" spans="6:10">
      <c r="F5614"/>
      <c r="G5614"/>
      <c r="H5614"/>
      <c r="I5614"/>
      <c r="J5614"/>
    </row>
    <row r="5615" spans="6:10">
      <c r="F5615"/>
      <c r="G5615"/>
      <c r="H5615"/>
      <c r="I5615"/>
      <c r="J5615"/>
    </row>
    <row r="5616" spans="6:10">
      <c r="F5616"/>
      <c r="G5616"/>
      <c r="H5616"/>
      <c r="I5616"/>
      <c r="J5616"/>
    </row>
    <row r="5617" spans="6:10">
      <c r="F5617"/>
      <c r="G5617"/>
      <c r="H5617"/>
      <c r="I5617"/>
      <c r="J5617"/>
    </row>
    <row r="5618" spans="6:10">
      <c r="F5618"/>
      <c r="G5618"/>
      <c r="H5618"/>
      <c r="I5618"/>
      <c r="J5618"/>
    </row>
    <row r="5619" spans="6:10">
      <c r="F5619"/>
      <c r="G5619"/>
      <c r="H5619"/>
      <c r="I5619"/>
      <c r="J5619"/>
    </row>
    <row r="5620" spans="6:10">
      <c r="F5620"/>
      <c r="G5620"/>
      <c r="H5620"/>
      <c r="I5620"/>
      <c r="J5620"/>
    </row>
    <row r="5621" spans="6:10">
      <c r="F5621"/>
      <c r="G5621"/>
      <c r="H5621"/>
      <c r="I5621"/>
      <c r="J5621"/>
    </row>
    <row r="5622" spans="6:10">
      <c r="F5622"/>
      <c r="G5622"/>
      <c r="H5622"/>
      <c r="I5622"/>
      <c r="J5622"/>
    </row>
    <row r="5623" spans="6:10">
      <c r="F5623"/>
      <c r="G5623"/>
      <c r="H5623"/>
      <c r="I5623"/>
      <c r="J5623"/>
    </row>
    <row r="5624" spans="6:10">
      <c r="F5624"/>
      <c r="G5624"/>
      <c r="H5624"/>
      <c r="I5624"/>
      <c r="J5624"/>
    </row>
    <row r="5625" spans="6:10">
      <c r="F5625"/>
      <c r="G5625"/>
      <c r="H5625"/>
      <c r="I5625"/>
      <c r="J5625"/>
    </row>
    <row r="5626" spans="6:10">
      <c r="F5626"/>
      <c r="G5626"/>
      <c r="H5626"/>
      <c r="I5626"/>
      <c r="J5626"/>
    </row>
    <row r="5627" spans="6:10">
      <c r="F5627"/>
      <c r="G5627"/>
      <c r="H5627"/>
      <c r="I5627"/>
      <c r="J5627"/>
    </row>
    <row r="5628" spans="6:10">
      <c r="F5628"/>
      <c r="G5628"/>
      <c r="H5628"/>
      <c r="I5628"/>
      <c r="J5628"/>
    </row>
    <row r="5629" spans="6:10">
      <c r="F5629"/>
      <c r="G5629"/>
      <c r="H5629"/>
      <c r="I5629"/>
      <c r="J5629"/>
    </row>
    <row r="5630" spans="6:10">
      <c r="F5630"/>
      <c r="G5630"/>
      <c r="H5630"/>
      <c r="I5630"/>
      <c r="J5630"/>
    </row>
    <row r="5631" spans="6:10">
      <c r="F5631"/>
      <c r="G5631"/>
      <c r="H5631"/>
      <c r="I5631"/>
      <c r="J5631"/>
    </row>
    <row r="5632" spans="6:10">
      <c r="F5632"/>
      <c r="G5632"/>
      <c r="H5632"/>
      <c r="I5632"/>
      <c r="J5632"/>
    </row>
    <row r="5633" spans="6:10">
      <c r="F5633"/>
      <c r="G5633"/>
      <c r="H5633"/>
      <c r="I5633"/>
      <c r="J5633"/>
    </row>
    <row r="5634" spans="6:10">
      <c r="F5634"/>
      <c r="G5634"/>
      <c r="H5634"/>
      <c r="I5634"/>
      <c r="J5634"/>
    </row>
    <row r="5635" spans="6:10">
      <c r="F5635"/>
      <c r="G5635"/>
      <c r="H5635"/>
      <c r="I5635"/>
      <c r="J5635"/>
    </row>
    <row r="5636" spans="6:10">
      <c r="F5636"/>
      <c r="G5636"/>
      <c r="H5636"/>
      <c r="I5636"/>
      <c r="J5636"/>
    </row>
    <row r="5637" spans="6:10">
      <c r="F5637"/>
      <c r="G5637"/>
      <c r="H5637"/>
      <c r="I5637"/>
      <c r="J5637"/>
    </row>
    <row r="5638" spans="6:10">
      <c r="F5638"/>
      <c r="G5638"/>
      <c r="H5638"/>
      <c r="I5638"/>
      <c r="J5638"/>
    </row>
    <row r="5639" spans="6:10">
      <c r="F5639"/>
      <c r="G5639"/>
      <c r="H5639"/>
      <c r="I5639"/>
      <c r="J5639"/>
    </row>
    <row r="5640" spans="6:10">
      <c r="F5640"/>
      <c r="G5640"/>
      <c r="H5640"/>
      <c r="I5640"/>
      <c r="J5640"/>
    </row>
    <row r="5641" spans="6:10">
      <c r="F5641"/>
      <c r="G5641"/>
      <c r="H5641"/>
      <c r="I5641"/>
      <c r="J5641"/>
    </row>
    <row r="5642" spans="6:10">
      <c r="F5642"/>
      <c r="G5642"/>
      <c r="H5642"/>
      <c r="I5642"/>
      <c r="J5642"/>
    </row>
    <row r="5643" spans="6:10">
      <c r="F5643"/>
      <c r="G5643"/>
      <c r="H5643"/>
      <c r="I5643"/>
      <c r="J5643"/>
    </row>
    <row r="5644" spans="6:10">
      <c r="F5644"/>
      <c r="G5644"/>
      <c r="H5644"/>
      <c r="I5644"/>
      <c r="J5644"/>
    </row>
    <row r="5645" spans="6:10">
      <c r="F5645"/>
      <c r="G5645"/>
      <c r="H5645"/>
      <c r="I5645"/>
      <c r="J5645"/>
    </row>
    <row r="5646" spans="6:10">
      <c r="F5646"/>
      <c r="G5646"/>
      <c r="H5646"/>
      <c r="I5646"/>
      <c r="J5646"/>
    </row>
    <row r="5647" spans="6:10">
      <c r="F5647"/>
      <c r="G5647"/>
      <c r="H5647"/>
      <c r="I5647"/>
      <c r="J5647"/>
    </row>
    <row r="5648" spans="6:10">
      <c r="F5648"/>
      <c r="G5648"/>
      <c r="H5648"/>
      <c r="I5648"/>
      <c r="J5648"/>
    </row>
    <row r="5649" spans="6:10">
      <c r="F5649"/>
      <c r="G5649"/>
      <c r="H5649"/>
      <c r="I5649"/>
      <c r="J5649"/>
    </row>
    <row r="5650" spans="6:10">
      <c r="F5650"/>
      <c r="G5650"/>
      <c r="H5650"/>
      <c r="I5650"/>
      <c r="J5650"/>
    </row>
    <row r="5651" spans="6:10">
      <c r="F5651"/>
      <c r="G5651"/>
      <c r="H5651"/>
      <c r="I5651"/>
      <c r="J5651"/>
    </row>
    <row r="5652" spans="6:10">
      <c r="F5652"/>
      <c r="G5652"/>
      <c r="H5652"/>
      <c r="I5652"/>
      <c r="J5652"/>
    </row>
    <row r="5653" spans="6:10">
      <c r="F5653"/>
      <c r="G5653"/>
      <c r="H5653"/>
      <c r="I5653"/>
      <c r="J5653"/>
    </row>
    <row r="5654" spans="6:10">
      <c r="F5654"/>
      <c r="G5654"/>
      <c r="H5654"/>
      <c r="I5654"/>
      <c r="J5654"/>
    </row>
    <row r="5655" spans="6:10">
      <c r="F5655"/>
      <c r="G5655"/>
      <c r="H5655"/>
      <c r="I5655"/>
      <c r="J5655"/>
    </row>
    <row r="5656" spans="6:10">
      <c r="F5656"/>
      <c r="G5656"/>
      <c r="H5656"/>
      <c r="I5656"/>
      <c r="J5656"/>
    </row>
    <row r="5657" spans="6:10">
      <c r="F5657"/>
      <c r="G5657"/>
      <c r="H5657"/>
      <c r="I5657"/>
      <c r="J5657"/>
    </row>
    <row r="5658" spans="6:10">
      <c r="F5658"/>
      <c r="G5658"/>
      <c r="H5658"/>
      <c r="I5658"/>
      <c r="J5658"/>
    </row>
    <row r="5659" spans="6:10">
      <c r="F5659"/>
      <c r="G5659"/>
      <c r="H5659"/>
      <c r="I5659"/>
      <c r="J5659"/>
    </row>
    <row r="5660" spans="6:10">
      <c r="F5660"/>
      <c r="G5660"/>
      <c r="H5660"/>
      <c r="I5660"/>
      <c r="J5660"/>
    </row>
    <row r="5661" spans="6:10">
      <c r="F5661"/>
      <c r="G5661"/>
      <c r="H5661"/>
      <c r="I5661"/>
      <c r="J5661"/>
    </row>
    <row r="5662" spans="6:10">
      <c r="F5662"/>
      <c r="G5662"/>
      <c r="H5662"/>
      <c r="I5662"/>
      <c r="J5662"/>
    </row>
    <row r="5663" spans="6:10">
      <c r="F5663"/>
      <c r="G5663"/>
      <c r="H5663"/>
      <c r="I5663"/>
      <c r="J5663"/>
    </row>
    <row r="5664" spans="6:10">
      <c r="F5664"/>
      <c r="G5664"/>
      <c r="H5664"/>
      <c r="I5664"/>
      <c r="J5664"/>
    </row>
    <row r="5665" spans="6:10">
      <c r="F5665"/>
      <c r="G5665"/>
      <c r="H5665"/>
      <c r="I5665"/>
      <c r="J5665"/>
    </row>
    <row r="5666" spans="6:10">
      <c r="F5666"/>
      <c r="G5666"/>
      <c r="H5666"/>
      <c r="I5666"/>
      <c r="J5666"/>
    </row>
    <row r="5667" spans="6:10">
      <c r="F5667"/>
      <c r="G5667"/>
      <c r="H5667"/>
      <c r="I5667"/>
      <c r="J5667"/>
    </row>
    <row r="5668" spans="6:10">
      <c r="F5668"/>
      <c r="G5668"/>
      <c r="H5668"/>
      <c r="I5668"/>
      <c r="J5668"/>
    </row>
    <row r="5669" spans="6:10">
      <c r="F5669"/>
      <c r="G5669"/>
      <c r="H5669"/>
      <c r="I5669"/>
      <c r="J5669"/>
    </row>
    <row r="5670" spans="6:10">
      <c r="F5670"/>
      <c r="G5670"/>
      <c r="H5670"/>
      <c r="I5670"/>
      <c r="J5670"/>
    </row>
    <row r="5671" spans="6:10">
      <c r="F5671"/>
      <c r="G5671"/>
      <c r="H5671"/>
      <c r="I5671"/>
      <c r="J5671"/>
    </row>
    <row r="5672" spans="6:10">
      <c r="F5672"/>
      <c r="G5672"/>
      <c r="H5672"/>
      <c r="I5672"/>
      <c r="J5672"/>
    </row>
    <row r="5673" spans="6:10">
      <c r="F5673"/>
      <c r="G5673"/>
      <c r="H5673"/>
      <c r="I5673"/>
      <c r="J5673"/>
    </row>
    <row r="5674" spans="6:10">
      <c r="F5674"/>
      <c r="G5674"/>
      <c r="H5674"/>
      <c r="I5674"/>
      <c r="J5674"/>
    </row>
    <row r="5675" spans="6:10">
      <c r="F5675"/>
      <c r="G5675"/>
      <c r="H5675"/>
      <c r="I5675"/>
      <c r="J5675"/>
    </row>
    <row r="5676" spans="6:10">
      <c r="F5676"/>
      <c r="G5676"/>
      <c r="H5676"/>
      <c r="I5676"/>
      <c r="J5676"/>
    </row>
    <row r="5677" spans="6:10">
      <c r="F5677"/>
      <c r="G5677"/>
      <c r="H5677"/>
      <c r="I5677"/>
      <c r="J5677"/>
    </row>
    <row r="5678" spans="6:10">
      <c r="F5678"/>
      <c r="G5678"/>
      <c r="H5678"/>
      <c r="I5678"/>
      <c r="J5678"/>
    </row>
    <row r="5679" spans="6:10">
      <c r="F5679"/>
      <c r="G5679"/>
      <c r="H5679"/>
      <c r="I5679"/>
      <c r="J5679"/>
    </row>
    <row r="5680" spans="6:10">
      <c r="F5680"/>
      <c r="G5680"/>
      <c r="H5680"/>
      <c r="I5680"/>
      <c r="J5680"/>
    </row>
    <row r="5681" spans="6:10">
      <c r="F5681"/>
      <c r="G5681"/>
      <c r="H5681"/>
      <c r="I5681"/>
      <c r="J5681"/>
    </row>
    <row r="5682" spans="6:10">
      <c r="F5682"/>
      <c r="G5682"/>
      <c r="H5682"/>
      <c r="I5682"/>
      <c r="J5682"/>
    </row>
    <row r="5683" spans="6:10">
      <c r="F5683"/>
      <c r="G5683"/>
      <c r="H5683"/>
      <c r="I5683"/>
      <c r="J5683"/>
    </row>
    <row r="5684" spans="6:10">
      <c r="F5684"/>
      <c r="G5684"/>
      <c r="H5684"/>
      <c r="I5684"/>
      <c r="J5684"/>
    </row>
    <row r="5685" spans="6:10">
      <c r="F5685"/>
      <c r="G5685"/>
      <c r="H5685"/>
      <c r="I5685"/>
      <c r="J5685"/>
    </row>
    <row r="5686" spans="6:10">
      <c r="F5686"/>
      <c r="G5686"/>
      <c r="H5686"/>
      <c r="I5686"/>
      <c r="J5686"/>
    </row>
    <row r="5687" spans="6:10">
      <c r="F5687"/>
      <c r="G5687"/>
      <c r="H5687"/>
      <c r="I5687"/>
      <c r="J5687"/>
    </row>
    <row r="5688" spans="6:10">
      <c r="F5688"/>
      <c r="G5688"/>
      <c r="H5688"/>
      <c r="I5688"/>
      <c r="J5688"/>
    </row>
    <row r="5689" spans="6:10">
      <c r="F5689"/>
      <c r="G5689"/>
      <c r="H5689"/>
      <c r="I5689"/>
      <c r="J5689"/>
    </row>
    <row r="5690" spans="6:10">
      <c r="F5690"/>
      <c r="G5690"/>
      <c r="H5690"/>
      <c r="I5690"/>
      <c r="J5690"/>
    </row>
    <row r="5691" spans="6:10">
      <c r="F5691"/>
      <c r="G5691"/>
      <c r="H5691"/>
      <c r="I5691"/>
      <c r="J5691"/>
    </row>
    <row r="5692" spans="6:10">
      <c r="F5692"/>
      <c r="G5692"/>
      <c r="H5692"/>
      <c r="I5692"/>
      <c r="J5692"/>
    </row>
    <row r="5693" spans="6:10">
      <c r="F5693"/>
      <c r="G5693"/>
      <c r="H5693"/>
      <c r="I5693"/>
      <c r="J5693"/>
    </row>
    <row r="5694" spans="6:10">
      <c r="F5694"/>
      <c r="G5694"/>
      <c r="H5694"/>
      <c r="I5694"/>
      <c r="J5694"/>
    </row>
    <row r="5695" spans="6:10">
      <c r="F5695"/>
      <c r="G5695"/>
      <c r="H5695"/>
      <c r="I5695"/>
      <c r="J5695"/>
    </row>
    <row r="5696" spans="6:10">
      <c r="F5696"/>
      <c r="G5696"/>
      <c r="H5696"/>
      <c r="I5696"/>
      <c r="J5696"/>
    </row>
    <row r="5697" spans="6:10">
      <c r="F5697"/>
      <c r="G5697"/>
      <c r="H5697"/>
      <c r="I5697"/>
      <c r="J5697"/>
    </row>
    <row r="5698" spans="6:10">
      <c r="F5698"/>
      <c r="G5698"/>
      <c r="H5698"/>
      <c r="I5698"/>
      <c r="J5698"/>
    </row>
    <row r="5699" spans="6:10">
      <c r="F5699"/>
      <c r="G5699"/>
      <c r="H5699"/>
      <c r="I5699"/>
      <c r="J5699"/>
    </row>
    <row r="5700" spans="6:10">
      <c r="F5700"/>
      <c r="G5700"/>
      <c r="H5700"/>
      <c r="I5700"/>
      <c r="J5700"/>
    </row>
    <row r="5701" spans="6:10">
      <c r="F5701"/>
      <c r="G5701"/>
      <c r="H5701"/>
      <c r="I5701"/>
      <c r="J5701"/>
    </row>
    <row r="5702" spans="6:10">
      <c r="F5702"/>
      <c r="G5702"/>
      <c r="H5702"/>
      <c r="I5702"/>
      <c r="J5702"/>
    </row>
    <row r="5703" spans="6:10">
      <c r="F5703"/>
      <c r="G5703"/>
      <c r="H5703"/>
      <c r="I5703"/>
      <c r="J5703"/>
    </row>
    <row r="5704" spans="6:10">
      <c r="F5704"/>
      <c r="G5704"/>
      <c r="H5704"/>
      <c r="I5704"/>
      <c r="J5704"/>
    </row>
    <row r="5705" spans="6:10">
      <c r="F5705"/>
      <c r="G5705"/>
      <c r="H5705"/>
      <c r="I5705"/>
      <c r="J5705"/>
    </row>
    <row r="5706" spans="6:10">
      <c r="F5706"/>
      <c r="G5706"/>
      <c r="H5706"/>
      <c r="I5706"/>
      <c r="J5706"/>
    </row>
    <row r="5707" spans="6:10">
      <c r="F5707"/>
      <c r="G5707"/>
      <c r="H5707"/>
      <c r="I5707"/>
      <c r="J5707"/>
    </row>
    <row r="5708" spans="6:10">
      <c r="F5708"/>
      <c r="G5708"/>
      <c r="H5708"/>
      <c r="I5708"/>
      <c r="J5708"/>
    </row>
    <row r="5709" spans="6:10">
      <c r="F5709"/>
      <c r="G5709"/>
      <c r="H5709"/>
      <c r="I5709"/>
      <c r="J5709"/>
    </row>
    <row r="5710" spans="6:10">
      <c r="F5710"/>
      <c r="G5710"/>
      <c r="H5710"/>
      <c r="I5710"/>
      <c r="J5710"/>
    </row>
    <row r="5711" spans="6:10">
      <c r="F5711"/>
      <c r="G5711"/>
      <c r="H5711"/>
      <c r="I5711"/>
      <c r="J5711"/>
    </row>
    <row r="5712" spans="6:10">
      <c r="F5712"/>
      <c r="G5712"/>
      <c r="H5712"/>
      <c r="I5712"/>
      <c r="J5712"/>
    </row>
    <row r="5713" spans="6:10">
      <c r="F5713"/>
      <c r="G5713"/>
      <c r="H5713"/>
      <c r="I5713"/>
      <c r="J5713"/>
    </row>
    <row r="5714" spans="6:10">
      <c r="F5714"/>
      <c r="G5714"/>
      <c r="H5714"/>
      <c r="I5714"/>
      <c r="J5714"/>
    </row>
    <row r="5715" spans="6:10">
      <c r="F5715"/>
      <c r="G5715"/>
      <c r="H5715"/>
      <c r="I5715"/>
      <c r="J5715"/>
    </row>
    <row r="5716" spans="6:10">
      <c r="F5716"/>
      <c r="G5716"/>
      <c r="H5716"/>
      <c r="I5716"/>
      <c r="J5716"/>
    </row>
    <row r="5717" spans="6:10">
      <c r="F5717"/>
      <c r="G5717"/>
      <c r="H5717"/>
      <c r="I5717"/>
      <c r="J5717"/>
    </row>
    <row r="5718" spans="6:10">
      <c r="F5718"/>
      <c r="G5718"/>
      <c r="H5718"/>
      <c r="I5718"/>
      <c r="J5718"/>
    </row>
    <row r="5719" spans="6:10">
      <c r="F5719"/>
      <c r="G5719"/>
      <c r="H5719"/>
      <c r="I5719"/>
      <c r="J5719"/>
    </row>
    <row r="5720" spans="6:10">
      <c r="F5720"/>
      <c r="G5720"/>
      <c r="H5720"/>
      <c r="I5720"/>
      <c r="J5720"/>
    </row>
    <row r="5721" spans="6:10">
      <c r="F5721"/>
      <c r="G5721"/>
      <c r="H5721"/>
      <c r="I5721"/>
      <c r="J5721"/>
    </row>
    <row r="5722" spans="6:10">
      <c r="F5722"/>
      <c r="G5722"/>
      <c r="H5722"/>
      <c r="I5722"/>
      <c r="J5722"/>
    </row>
    <row r="5723" spans="6:10">
      <c r="F5723"/>
      <c r="G5723"/>
      <c r="H5723"/>
      <c r="I5723"/>
      <c r="J5723"/>
    </row>
    <row r="5724" spans="6:10">
      <c r="F5724"/>
      <c r="G5724"/>
      <c r="H5724"/>
      <c r="I5724"/>
      <c r="J5724"/>
    </row>
    <row r="5725" spans="6:10">
      <c r="F5725"/>
      <c r="G5725"/>
      <c r="H5725"/>
      <c r="I5725"/>
      <c r="J5725"/>
    </row>
    <row r="5726" spans="6:10">
      <c r="F5726"/>
      <c r="G5726"/>
      <c r="H5726"/>
      <c r="I5726"/>
      <c r="J5726"/>
    </row>
    <row r="5727" spans="6:10">
      <c r="F5727"/>
      <c r="G5727"/>
      <c r="H5727"/>
      <c r="I5727"/>
      <c r="J5727"/>
    </row>
    <row r="5728" spans="6:10">
      <c r="F5728"/>
      <c r="G5728"/>
      <c r="H5728"/>
      <c r="I5728"/>
      <c r="J5728"/>
    </row>
    <row r="5729" spans="6:10">
      <c r="F5729"/>
      <c r="G5729"/>
      <c r="H5729"/>
      <c r="I5729"/>
      <c r="J5729"/>
    </row>
    <row r="5730" spans="6:10">
      <c r="F5730"/>
      <c r="G5730"/>
      <c r="H5730"/>
      <c r="I5730"/>
      <c r="J5730"/>
    </row>
    <row r="5731" spans="6:10">
      <c r="F5731"/>
      <c r="G5731"/>
      <c r="H5731"/>
      <c r="I5731"/>
      <c r="J5731"/>
    </row>
    <row r="5732" spans="6:10">
      <c r="F5732"/>
      <c r="G5732"/>
      <c r="H5732"/>
      <c r="I5732"/>
      <c r="J5732"/>
    </row>
    <row r="5733" spans="6:10">
      <c r="F5733"/>
      <c r="G5733"/>
      <c r="H5733"/>
      <c r="I5733"/>
      <c r="J5733"/>
    </row>
    <row r="5734" spans="6:10">
      <c r="F5734"/>
      <c r="G5734"/>
      <c r="H5734"/>
      <c r="I5734"/>
      <c r="J5734"/>
    </row>
    <row r="5735" spans="6:10">
      <c r="F5735"/>
      <c r="G5735"/>
      <c r="H5735"/>
      <c r="I5735"/>
      <c r="J5735"/>
    </row>
    <row r="5736" spans="6:10">
      <c r="F5736"/>
      <c r="G5736"/>
      <c r="H5736"/>
      <c r="I5736"/>
      <c r="J5736"/>
    </row>
    <row r="5737" spans="6:10">
      <c r="F5737"/>
      <c r="G5737"/>
      <c r="H5737"/>
      <c r="I5737"/>
      <c r="J5737"/>
    </row>
    <row r="5738" spans="6:10">
      <c r="F5738"/>
      <c r="G5738"/>
      <c r="H5738"/>
      <c r="I5738"/>
      <c r="J5738"/>
    </row>
    <row r="5739" spans="6:10">
      <c r="F5739"/>
      <c r="G5739"/>
      <c r="H5739"/>
      <c r="I5739"/>
      <c r="J5739"/>
    </row>
    <row r="5740" spans="6:10">
      <c r="F5740"/>
      <c r="G5740"/>
      <c r="H5740"/>
      <c r="I5740"/>
      <c r="J5740"/>
    </row>
    <row r="5741" spans="6:10">
      <c r="F5741"/>
      <c r="G5741"/>
      <c r="H5741"/>
      <c r="I5741"/>
      <c r="J5741"/>
    </row>
    <row r="5742" spans="6:10">
      <c r="F5742"/>
      <c r="G5742"/>
      <c r="H5742"/>
      <c r="I5742"/>
      <c r="J5742"/>
    </row>
    <row r="5743" spans="6:10">
      <c r="F5743"/>
      <c r="G5743"/>
      <c r="H5743"/>
      <c r="I5743"/>
      <c r="J5743"/>
    </row>
    <row r="5744" spans="6:10">
      <c r="F5744"/>
      <c r="G5744"/>
      <c r="H5744"/>
      <c r="I5744"/>
      <c r="J5744"/>
    </row>
    <row r="5745" spans="6:10">
      <c r="F5745"/>
      <c r="G5745"/>
      <c r="H5745"/>
      <c r="I5745"/>
      <c r="J5745"/>
    </row>
    <row r="5746" spans="6:10">
      <c r="F5746"/>
      <c r="G5746"/>
      <c r="H5746"/>
      <c r="I5746"/>
      <c r="J5746"/>
    </row>
    <row r="5747" spans="6:10">
      <c r="F5747"/>
      <c r="G5747"/>
      <c r="H5747"/>
      <c r="I5747"/>
      <c r="J5747"/>
    </row>
    <row r="5748" spans="6:10">
      <c r="F5748"/>
      <c r="G5748"/>
      <c r="H5748"/>
      <c r="I5748"/>
      <c r="J5748"/>
    </row>
    <row r="5749" spans="6:10">
      <c r="F5749"/>
      <c r="G5749"/>
      <c r="H5749"/>
      <c r="I5749"/>
      <c r="J5749"/>
    </row>
    <row r="5750" spans="6:10">
      <c r="F5750"/>
      <c r="G5750"/>
      <c r="H5750"/>
      <c r="I5750"/>
      <c r="J5750"/>
    </row>
    <row r="5751" spans="6:10">
      <c r="F5751"/>
      <c r="G5751"/>
      <c r="H5751"/>
      <c r="I5751"/>
      <c r="J5751"/>
    </row>
    <row r="5752" spans="6:10">
      <c r="F5752"/>
      <c r="G5752"/>
      <c r="H5752"/>
      <c r="I5752"/>
      <c r="J5752"/>
    </row>
    <row r="5753" spans="6:10">
      <c r="F5753"/>
      <c r="G5753"/>
      <c r="H5753"/>
      <c r="I5753"/>
      <c r="J5753"/>
    </row>
    <row r="5754" spans="6:10">
      <c r="F5754"/>
      <c r="G5754"/>
      <c r="H5754"/>
      <c r="I5754"/>
      <c r="J5754"/>
    </row>
    <row r="5755" spans="6:10">
      <c r="F5755"/>
      <c r="G5755"/>
      <c r="H5755"/>
      <c r="I5755"/>
      <c r="J5755"/>
    </row>
    <row r="5756" spans="6:10">
      <c r="F5756"/>
      <c r="G5756"/>
      <c r="H5756"/>
      <c r="I5756"/>
      <c r="J5756"/>
    </row>
    <row r="5757" spans="6:10">
      <c r="F5757"/>
      <c r="G5757"/>
      <c r="H5757"/>
      <c r="I5757"/>
      <c r="J5757"/>
    </row>
    <row r="5758" spans="6:10">
      <c r="F5758"/>
      <c r="G5758"/>
      <c r="H5758"/>
      <c r="I5758"/>
      <c r="J5758"/>
    </row>
    <row r="5759" spans="6:10">
      <c r="F5759"/>
      <c r="G5759"/>
      <c r="H5759"/>
      <c r="I5759"/>
      <c r="J5759"/>
    </row>
    <row r="5760" spans="6:10">
      <c r="F5760"/>
      <c r="G5760"/>
      <c r="H5760"/>
      <c r="I5760"/>
      <c r="J5760"/>
    </row>
    <row r="5761" spans="6:10">
      <c r="F5761"/>
      <c r="G5761"/>
      <c r="H5761"/>
      <c r="I5761"/>
      <c r="J5761"/>
    </row>
    <row r="5762" spans="6:10">
      <c r="F5762"/>
      <c r="G5762"/>
      <c r="H5762"/>
      <c r="I5762"/>
      <c r="J5762"/>
    </row>
    <row r="5763" spans="6:10">
      <c r="F5763"/>
      <c r="G5763"/>
      <c r="H5763"/>
      <c r="I5763"/>
      <c r="J5763"/>
    </row>
    <row r="5764" spans="6:10">
      <c r="F5764"/>
      <c r="G5764"/>
      <c r="H5764"/>
      <c r="I5764"/>
      <c r="J5764"/>
    </row>
    <row r="5765" spans="6:10">
      <c r="F5765"/>
      <c r="G5765"/>
      <c r="H5765"/>
      <c r="I5765"/>
      <c r="J5765"/>
    </row>
    <row r="5766" spans="6:10">
      <c r="F5766"/>
      <c r="G5766"/>
      <c r="H5766"/>
      <c r="I5766"/>
      <c r="J5766"/>
    </row>
    <row r="5767" spans="6:10">
      <c r="F5767"/>
      <c r="G5767"/>
      <c r="H5767"/>
      <c r="I5767"/>
      <c r="J5767"/>
    </row>
    <row r="5768" spans="6:10">
      <c r="F5768"/>
      <c r="G5768"/>
      <c r="H5768"/>
      <c r="I5768"/>
      <c r="J5768"/>
    </row>
    <row r="5769" spans="6:10">
      <c r="F5769"/>
      <c r="G5769"/>
      <c r="H5769"/>
      <c r="I5769"/>
      <c r="J5769"/>
    </row>
    <row r="5770" spans="6:10">
      <c r="F5770"/>
      <c r="G5770"/>
      <c r="H5770"/>
      <c r="I5770"/>
      <c r="J5770"/>
    </row>
    <row r="5771" spans="6:10">
      <c r="F5771"/>
      <c r="G5771"/>
      <c r="H5771"/>
      <c r="I5771"/>
      <c r="J5771"/>
    </row>
    <row r="5772" spans="6:10">
      <c r="F5772"/>
      <c r="G5772"/>
      <c r="H5772"/>
      <c r="I5772"/>
      <c r="J5772"/>
    </row>
    <row r="5773" spans="6:10">
      <c r="F5773"/>
      <c r="G5773"/>
      <c r="H5773"/>
      <c r="I5773"/>
      <c r="J5773"/>
    </row>
    <row r="5774" spans="6:10">
      <c r="F5774"/>
      <c r="G5774"/>
      <c r="H5774"/>
      <c r="I5774"/>
      <c r="J5774"/>
    </row>
    <row r="5775" spans="6:10">
      <c r="F5775"/>
      <c r="G5775"/>
      <c r="H5775"/>
      <c r="I5775"/>
      <c r="J5775"/>
    </row>
    <row r="5776" spans="6:10">
      <c r="F5776"/>
      <c r="G5776"/>
      <c r="H5776"/>
      <c r="I5776"/>
      <c r="J5776"/>
    </row>
    <row r="5777" spans="6:10">
      <c r="F5777"/>
      <c r="G5777"/>
      <c r="H5777"/>
      <c r="I5777"/>
      <c r="J5777"/>
    </row>
    <row r="5778" spans="6:10">
      <c r="F5778"/>
      <c r="G5778"/>
      <c r="H5778"/>
      <c r="I5778"/>
      <c r="J5778"/>
    </row>
    <row r="5779" spans="6:10">
      <c r="F5779"/>
      <c r="G5779"/>
      <c r="H5779"/>
      <c r="I5779"/>
      <c r="J5779"/>
    </row>
    <row r="5780" spans="6:10">
      <c r="F5780"/>
      <c r="G5780"/>
      <c r="H5780"/>
      <c r="I5780"/>
      <c r="J5780"/>
    </row>
    <row r="5781" spans="6:10">
      <c r="F5781"/>
      <c r="G5781"/>
      <c r="H5781"/>
      <c r="I5781"/>
      <c r="J5781"/>
    </row>
    <row r="5782" spans="6:10">
      <c r="F5782"/>
      <c r="G5782"/>
      <c r="H5782"/>
      <c r="I5782"/>
      <c r="J5782"/>
    </row>
    <row r="5783" spans="6:10">
      <c r="F5783"/>
      <c r="G5783"/>
      <c r="H5783"/>
      <c r="I5783"/>
      <c r="J5783"/>
    </row>
    <row r="5784" spans="6:10">
      <c r="F5784"/>
      <c r="G5784"/>
      <c r="H5784"/>
      <c r="I5784"/>
      <c r="J5784"/>
    </row>
    <row r="5785" spans="6:10">
      <c r="F5785"/>
      <c r="G5785"/>
      <c r="H5785"/>
      <c r="I5785"/>
      <c r="J5785"/>
    </row>
    <row r="5786" spans="6:10">
      <c r="F5786"/>
      <c r="G5786"/>
      <c r="H5786"/>
      <c r="I5786"/>
      <c r="J5786"/>
    </row>
    <row r="5787" spans="6:10">
      <c r="F5787"/>
      <c r="G5787"/>
      <c r="H5787"/>
      <c r="I5787"/>
      <c r="J5787"/>
    </row>
    <row r="5788" spans="6:10">
      <c r="F5788"/>
      <c r="G5788"/>
      <c r="H5788"/>
      <c r="I5788"/>
      <c r="J5788"/>
    </row>
    <row r="5789" spans="6:10">
      <c r="F5789"/>
      <c r="G5789"/>
      <c r="H5789"/>
      <c r="I5789"/>
      <c r="J5789"/>
    </row>
    <row r="5790" spans="6:10">
      <c r="F5790"/>
      <c r="G5790"/>
      <c r="H5790"/>
      <c r="I5790"/>
      <c r="J5790"/>
    </row>
    <row r="5791" spans="6:10">
      <c r="F5791"/>
      <c r="G5791"/>
      <c r="H5791"/>
      <c r="I5791"/>
      <c r="J5791"/>
    </row>
    <row r="5792" spans="6:10">
      <c r="F5792"/>
      <c r="G5792"/>
      <c r="H5792"/>
      <c r="I5792"/>
      <c r="J5792"/>
    </row>
    <row r="5793" spans="6:10">
      <c r="F5793"/>
      <c r="G5793"/>
      <c r="H5793"/>
      <c r="I5793"/>
      <c r="J5793"/>
    </row>
    <row r="5794" spans="6:10">
      <c r="F5794"/>
      <c r="G5794"/>
      <c r="H5794"/>
      <c r="I5794"/>
      <c r="J5794"/>
    </row>
    <row r="5795" spans="6:10">
      <c r="F5795"/>
      <c r="G5795"/>
      <c r="H5795"/>
      <c r="I5795"/>
      <c r="J5795"/>
    </row>
    <row r="5796" spans="6:10">
      <c r="F5796"/>
      <c r="G5796"/>
      <c r="H5796"/>
      <c r="I5796"/>
      <c r="J5796"/>
    </row>
    <row r="5797" spans="6:10">
      <c r="F5797"/>
      <c r="G5797"/>
      <c r="H5797"/>
      <c r="I5797"/>
      <c r="J5797"/>
    </row>
    <row r="5798" spans="6:10">
      <c r="F5798"/>
      <c r="G5798"/>
      <c r="H5798"/>
      <c r="I5798"/>
      <c r="J5798"/>
    </row>
    <row r="5799" spans="6:10">
      <c r="F5799"/>
      <c r="G5799"/>
      <c r="H5799"/>
      <c r="I5799"/>
      <c r="J5799"/>
    </row>
    <row r="5800" spans="6:10">
      <c r="F5800"/>
      <c r="G5800"/>
      <c r="H5800"/>
      <c r="I5800"/>
      <c r="J5800"/>
    </row>
    <row r="5801" spans="6:10">
      <c r="F5801"/>
      <c r="G5801"/>
      <c r="H5801"/>
      <c r="I5801"/>
      <c r="J5801"/>
    </row>
    <row r="5802" spans="6:10">
      <c r="F5802"/>
      <c r="G5802"/>
      <c r="H5802"/>
      <c r="I5802"/>
      <c r="J5802"/>
    </row>
    <row r="5803" spans="6:10">
      <c r="F5803"/>
      <c r="G5803"/>
      <c r="H5803"/>
      <c r="I5803"/>
      <c r="J5803"/>
    </row>
    <row r="5804" spans="6:10">
      <c r="F5804"/>
      <c r="G5804"/>
      <c r="H5804"/>
      <c r="I5804"/>
      <c r="J5804"/>
    </row>
    <row r="5805" spans="6:10">
      <c r="F5805"/>
      <c r="G5805"/>
      <c r="H5805"/>
      <c r="I5805"/>
      <c r="J5805"/>
    </row>
    <row r="5806" spans="6:10">
      <c r="F5806"/>
      <c r="G5806"/>
      <c r="H5806"/>
      <c r="I5806"/>
      <c r="J5806"/>
    </row>
    <row r="5807" spans="6:10">
      <c r="F5807"/>
      <c r="G5807"/>
      <c r="H5807"/>
      <c r="I5807"/>
      <c r="J5807"/>
    </row>
    <row r="5808" spans="6:10">
      <c r="F5808"/>
      <c r="G5808"/>
      <c r="H5808"/>
      <c r="I5808"/>
      <c r="J5808"/>
    </row>
    <row r="5809" spans="6:10">
      <c r="F5809"/>
      <c r="G5809"/>
      <c r="H5809"/>
      <c r="I5809"/>
      <c r="J5809"/>
    </row>
    <row r="5810" spans="6:10">
      <c r="F5810"/>
      <c r="G5810"/>
      <c r="H5810"/>
      <c r="I5810"/>
      <c r="J5810"/>
    </row>
    <row r="5811" spans="6:10">
      <c r="F5811"/>
      <c r="G5811"/>
      <c r="H5811"/>
      <c r="I5811"/>
      <c r="J5811"/>
    </row>
    <row r="5812" spans="6:10">
      <c r="F5812"/>
      <c r="G5812"/>
      <c r="H5812"/>
      <c r="I5812"/>
      <c r="J5812"/>
    </row>
    <row r="5813" spans="6:10">
      <c r="F5813"/>
      <c r="G5813"/>
      <c r="H5813"/>
      <c r="I5813"/>
      <c r="J5813"/>
    </row>
    <row r="5814" spans="6:10">
      <c r="F5814"/>
      <c r="G5814"/>
      <c r="H5814"/>
      <c r="I5814"/>
      <c r="J5814"/>
    </row>
    <row r="5815" spans="6:10">
      <c r="F5815"/>
      <c r="G5815"/>
      <c r="H5815"/>
      <c r="I5815"/>
      <c r="J5815"/>
    </row>
    <row r="5816" spans="6:10">
      <c r="F5816"/>
      <c r="G5816"/>
      <c r="H5816"/>
      <c r="I5816"/>
      <c r="J5816"/>
    </row>
    <row r="5817" spans="6:10">
      <c r="F5817"/>
      <c r="G5817"/>
      <c r="H5817"/>
      <c r="I5817"/>
      <c r="J5817"/>
    </row>
    <row r="5818" spans="6:10">
      <c r="F5818"/>
      <c r="G5818"/>
      <c r="H5818"/>
      <c r="I5818"/>
      <c r="J5818"/>
    </row>
    <row r="5819" spans="6:10">
      <c r="F5819"/>
      <c r="G5819"/>
      <c r="H5819"/>
      <c r="I5819"/>
      <c r="J5819"/>
    </row>
    <row r="5820" spans="6:10">
      <c r="F5820"/>
      <c r="G5820"/>
      <c r="H5820"/>
      <c r="I5820"/>
      <c r="J5820"/>
    </row>
    <row r="5821" spans="6:10">
      <c r="F5821"/>
      <c r="G5821"/>
      <c r="H5821"/>
      <c r="I5821"/>
      <c r="J5821"/>
    </row>
    <row r="5822" spans="6:10">
      <c r="F5822"/>
      <c r="G5822"/>
      <c r="H5822"/>
      <c r="I5822"/>
      <c r="J5822"/>
    </row>
    <row r="5823" spans="6:10">
      <c r="F5823"/>
      <c r="G5823"/>
      <c r="H5823"/>
      <c r="I5823"/>
      <c r="J5823"/>
    </row>
    <row r="5824" spans="6:10">
      <c r="F5824"/>
      <c r="G5824"/>
      <c r="H5824"/>
      <c r="I5824"/>
      <c r="J5824"/>
    </row>
    <row r="5825" spans="6:10">
      <c r="F5825"/>
      <c r="G5825"/>
      <c r="H5825"/>
      <c r="I5825"/>
      <c r="J5825"/>
    </row>
    <row r="5826" spans="6:10">
      <c r="F5826"/>
      <c r="G5826"/>
      <c r="H5826"/>
      <c r="I5826"/>
      <c r="J5826"/>
    </row>
    <row r="5827" spans="6:10">
      <c r="F5827"/>
      <c r="G5827"/>
      <c r="H5827"/>
      <c r="I5827"/>
      <c r="J5827"/>
    </row>
    <row r="5828" spans="6:10">
      <c r="F5828"/>
      <c r="G5828"/>
      <c r="H5828"/>
      <c r="I5828"/>
      <c r="J5828"/>
    </row>
    <row r="5829" spans="6:10">
      <c r="F5829"/>
      <c r="G5829"/>
      <c r="H5829"/>
      <c r="I5829"/>
      <c r="J5829"/>
    </row>
    <row r="5830" spans="6:10">
      <c r="F5830"/>
      <c r="G5830"/>
      <c r="H5830"/>
      <c r="I5830"/>
      <c r="J5830"/>
    </row>
    <row r="5831" spans="6:10">
      <c r="F5831"/>
      <c r="G5831"/>
      <c r="H5831"/>
      <c r="I5831"/>
      <c r="J5831"/>
    </row>
    <row r="5832" spans="6:10">
      <c r="F5832"/>
      <c r="G5832"/>
      <c r="H5832"/>
      <c r="I5832"/>
      <c r="J5832"/>
    </row>
    <row r="5833" spans="6:10">
      <c r="F5833"/>
      <c r="G5833"/>
      <c r="H5833"/>
      <c r="I5833"/>
      <c r="J5833"/>
    </row>
    <row r="5834" spans="6:10">
      <c r="F5834"/>
      <c r="G5834"/>
      <c r="H5834"/>
      <c r="I5834"/>
      <c r="J5834"/>
    </row>
    <row r="5835" spans="6:10">
      <c r="F5835"/>
      <c r="G5835"/>
      <c r="H5835"/>
      <c r="I5835"/>
      <c r="J5835"/>
    </row>
    <row r="5836" spans="6:10">
      <c r="F5836"/>
      <c r="G5836"/>
      <c r="H5836"/>
      <c r="I5836"/>
      <c r="J5836"/>
    </row>
    <row r="5837" spans="6:10">
      <c r="F5837"/>
      <c r="G5837"/>
      <c r="H5837"/>
      <c r="I5837"/>
      <c r="J5837"/>
    </row>
    <row r="5838" spans="6:10">
      <c r="F5838"/>
      <c r="G5838"/>
      <c r="H5838"/>
      <c r="I5838"/>
      <c r="J5838"/>
    </row>
    <row r="5839" spans="6:10">
      <c r="F5839"/>
      <c r="G5839"/>
      <c r="H5839"/>
      <c r="I5839"/>
      <c r="J5839"/>
    </row>
    <row r="5840" spans="6:10">
      <c r="F5840"/>
      <c r="G5840"/>
      <c r="H5840"/>
      <c r="I5840"/>
      <c r="J5840"/>
    </row>
    <row r="5841" spans="6:10">
      <c r="F5841"/>
      <c r="G5841"/>
      <c r="H5841"/>
      <c r="I5841"/>
      <c r="J5841"/>
    </row>
    <row r="5842" spans="6:10">
      <c r="F5842"/>
      <c r="G5842"/>
      <c r="H5842"/>
      <c r="I5842"/>
      <c r="J5842"/>
    </row>
    <row r="5843" spans="6:10">
      <c r="F5843"/>
      <c r="G5843"/>
      <c r="H5843"/>
      <c r="I5843"/>
      <c r="J5843"/>
    </row>
    <row r="5844" spans="6:10">
      <c r="F5844"/>
      <c r="G5844"/>
      <c r="H5844"/>
      <c r="I5844"/>
      <c r="J5844"/>
    </row>
    <row r="5845" spans="6:10">
      <c r="F5845"/>
      <c r="G5845"/>
      <c r="H5845"/>
      <c r="I5845"/>
      <c r="J5845"/>
    </row>
    <row r="5846" spans="6:10">
      <c r="F5846"/>
      <c r="G5846"/>
      <c r="H5846"/>
      <c r="I5846"/>
      <c r="J5846"/>
    </row>
    <row r="5847" spans="6:10">
      <c r="F5847"/>
      <c r="G5847"/>
      <c r="H5847"/>
      <c r="I5847"/>
      <c r="J5847"/>
    </row>
    <row r="5848" spans="6:10">
      <c r="F5848"/>
      <c r="G5848"/>
      <c r="H5848"/>
      <c r="I5848"/>
      <c r="J5848"/>
    </row>
    <row r="5849" spans="6:10">
      <c r="F5849"/>
      <c r="G5849"/>
      <c r="H5849"/>
      <c r="I5849"/>
      <c r="J5849"/>
    </row>
    <row r="5850" spans="6:10">
      <c r="F5850"/>
      <c r="G5850"/>
      <c r="H5850"/>
      <c r="I5850"/>
      <c r="J5850"/>
    </row>
    <row r="5851" spans="6:10">
      <c r="F5851"/>
      <c r="G5851"/>
      <c r="H5851"/>
      <c r="I5851"/>
      <c r="J5851"/>
    </row>
    <row r="5852" spans="6:10">
      <c r="F5852"/>
      <c r="G5852"/>
      <c r="H5852"/>
      <c r="I5852"/>
      <c r="J5852"/>
    </row>
    <row r="5853" spans="6:10">
      <c r="F5853"/>
      <c r="G5853"/>
      <c r="H5853"/>
      <c r="I5853"/>
      <c r="J5853"/>
    </row>
    <row r="5854" spans="6:10">
      <c r="F5854"/>
      <c r="G5854"/>
      <c r="H5854"/>
      <c r="I5854"/>
      <c r="J5854"/>
    </row>
    <row r="5855" spans="6:10">
      <c r="F5855"/>
      <c r="G5855"/>
      <c r="H5855"/>
      <c r="I5855"/>
      <c r="J5855"/>
    </row>
    <row r="5856" spans="6:10">
      <c r="F5856"/>
      <c r="G5856"/>
      <c r="H5856"/>
      <c r="I5856"/>
      <c r="J5856"/>
    </row>
    <row r="5857" spans="6:10">
      <c r="F5857"/>
      <c r="G5857"/>
      <c r="H5857"/>
      <c r="I5857"/>
      <c r="J5857"/>
    </row>
    <row r="5858" spans="6:10">
      <c r="F5858"/>
      <c r="G5858"/>
      <c r="H5858"/>
      <c r="I5858"/>
      <c r="J5858"/>
    </row>
    <row r="5859" spans="6:10">
      <c r="F5859"/>
      <c r="G5859"/>
      <c r="H5859"/>
      <c r="I5859"/>
      <c r="J5859"/>
    </row>
    <row r="5860" spans="6:10">
      <c r="F5860"/>
      <c r="G5860"/>
      <c r="H5860"/>
      <c r="I5860"/>
      <c r="J5860"/>
    </row>
    <row r="5861" spans="6:10">
      <c r="F5861"/>
      <c r="G5861"/>
      <c r="H5861"/>
      <c r="I5861"/>
      <c r="J5861"/>
    </row>
    <row r="5862" spans="6:10">
      <c r="F5862"/>
      <c r="G5862"/>
      <c r="H5862"/>
      <c r="I5862"/>
      <c r="J5862"/>
    </row>
    <row r="5863" spans="6:10">
      <c r="F5863"/>
      <c r="G5863"/>
      <c r="H5863"/>
      <c r="I5863"/>
      <c r="J5863"/>
    </row>
    <row r="5864" spans="6:10">
      <c r="F5864"/>
      <c r="G5864"/>
      <c r="H5864"/>
      <c r="I5864"/>
      <c r="J5864"/>
    </row>
    <row r="5865" spans="6:10">
      <c r="F5865"/>
      <c r="G5865"/>
      <c r="H5865"/>
      <c r="I5865"/>
      <c r="J5865"/>
    </row>
    <row r="5866" spans="6:10">
      <c r="F5866"/>
      <c r="G5866"/>
      <c r="H5866"/>
      <c r="I5866"/>
      <c r="J5866"/>
    </row>
    <row r="5867" spans="6:10">
      <c r="F5867"/>
      <c r="G5867"/>
      <c r="H5867"/>
      <c r="I5867"/>
      <c r="J5867"/>
    </row>
    <row r="5868" spans="6:10">
      <c r="F5868"/>
      <c r="G5868"/>
      <c r="H5868"/>
      <c r="I5868"/>
      <c r="J5868"/>
    </row>
    <row r="5869" spans="6:10">
      <c r="F5869"/>
      <c r="G5869"/>
      <c r="H5869"/>
      <c r="I5869"/>
      <c r="J5869"/>
    </row>
    <row r="5870" spans="6:10">
      <c r="F5870"/>
      <c r="G5870"/>
      <c r="H5870"/>
      <c r="I5870"/>
      <c r="J5870"/>
    </row>
    <row r="5871" spans="6:10">
      <c r="F5871"/>
      <c r="G5871"/>
      <c r="H5871"/>
      <c r="I5871"/>
      <c r="J5871"/>
    </row>
    <row r="5872" spans="6:10">
      <c r="F5872"/>
      <c r="G5872"/>
      <c r="H5872"/>
      <c r="I5872"/>
      <c r="J5872"/>
    </row>
    <row r="5873" spans="6:10">
      <c r="F5873"/>
      <c r="G5873"/>
      <c r="H5873"/>
      <c r="I5873"/>
      <c r="J5873"/>
    </row>
    <row r="5874" spans="6:10">
      <c r="F5874"/>
      <c r="G5874"/>
      <c r="H5874"/>
      <c r="I5874"/>
      <c r="J5874"/>
    </row>
    <row r="5875" spans="6:10">
      <c r="F5875"/>
      <c r="G5875"/>
      <c r="H5875"/>
      <c r="I5875"/>
      <c r="J5875"/>
    </row>
    <row r="5876" spans="6:10">
      <c r="F5876"/>
      <c r="G5876"/>
      <c r="H5876"/>
      <c r="I5876"/>
      <c r="J5876"/>
    </row>
    <row r="5877" spans="6:10">
      <c r="F5877"/>
      <c r="G5877"/>
      <c r="H5877"/>
      <c r="I5877"/>
      <c r="J5877"/>
    </row>
    <row r="5878" spans="6:10">
      <c r="F5878"/>
      <c r="G5878"/>
      <c r="H5878"/>
      <c r="I5878"/>
      <c r="J5878"/>
    </row>
    <row r="5879" spans="6:10">
      <c r="F5879"/>
      <c r="G5879"/>
      <c r="H5879"/>
      <c r="I5879"/>
      <c r="J5879"/>
    </row>
    <row r="5880" spans="6:10">
      <c r="F5880"/>
      <c r="G5880"/>
      <c r="H5880"/>
      <c r="I5880"/>
      <c r="J5880"/>
    </row>
    <row r="5881" spans="6:10">
      <c r="F5881"/>
      <c r="G5881"/>
      <c r="H5881"/>
      <c r="I5881"/>
      <c r="J5881"/>
    </row>
    <row r="5882" spans="6:10">
      <c r="F5882"/>
      <c r="G5882"/>
      <c r="H5882"/>
      <c r="I5882"/>
      <c r="J5882"/>
    </row>
    <row r="5883" spans="6:10">
      <c r="F5883"/>
      <c r="G5883"/>
      <c r="H5883"/>
      <c r="I5883"/>
      <c r="J5883"/>
    </row>
    <row r="5884" spans="6:10">
      <c r="F5884"/>
      <c r="G5884"/>
      <c r="H5884"/>
      <c r="I5884"/>
      <c r="J5884"/>
    </row>
    <row r="5885" spans="6:10">
      <c r="F5885"/>
      <c r="G5885"/>
      <c r="H5885"/>
      <c r="I5885"/>
      <c r="J5885"/>
    </row>
    <row r="5886" spans="6:10">
      <c r="F5886"/>
      <c r="G5886"/>
      <c r="H5886"/>
      <c r="I5886"/>
      <c r="J5886"/>
    </row>
    <row r="5887" spans="6:10">
      <c r="F5887"/>
      <c r="G5887"/>
      <c r="H5887"/>
      <c r="I5887"/>
      <c r="J5887"/>
    </row>
    <row r="5888" spans="6:10">
      <c r="F5888"/>
      <c r="G5888"/>
      <c r="H5888"/>
      <c r="I5888"/>
      <c r="J5888"/>
    </row>
    <row r="5889" spans="6:10">
      <c r="F5889"/>
      <c r="G5889"/>
      <c r="H5889"/>
      <c r="I5889"/>
      <c r="J5889"/>
    </row>
    <row r="5890" spans="6:10">
      <c r="F5890"/>
      <c r="G5890"/>
      <c r="H5890"/>
      <c r="I5890"/>
      <c r="J5890"/>
    </row>
    <row r="5891" spans="6:10">
      <c r="F5891"/>
      <c r="G5891"/>
      <c r="H5891"/>
      <c r="I5891"/>
      <c r="J5891"/>
    </row>
    <row r="5892" spans="6:10">
      <c r="F5892"/>
      <c r="G5892"/>
      <c r="H5892"/>
      <c r="I5892"/>
      <c r="J5892"/>
    </row>
    <row r="5893" spans="6:10">
      <c r="F5893"/>
      <c r="G5893"/>
      <c r="H5893"/>
      <c r="I5893"/>
      <c r="J5893"/>
    </row>
    <row r="5894" spans="6:10">
      <c r="F5894"/>
      <c r="G5894"/>
      <c r="H5894"/>
      <c r="I5894"/>
      <c r="J5894"/>
    </row>
    <row r="5895" spans="6:10">
      <c r="F5895"/>
      <c r="G5895"/>
      <c r="H5895"/>
      <c r="I5895"/>
      <c r="J5895"/>
    </row>
    <row r="5896" spans="6:10">
      <c r="F5896"/>
      <c r="G5896"/>
      <c r="H5896"/>
      <c r="I5896"/>
      <c r="J5896"/>
    </row>
    <row r="5897" spans="6:10">
      <c r="F5897"/>
      <c r="G5897"/>
      <c r="H5897"/>
      <c r="I5897"/>
      <c r="J5897"/>
    </row>
    <row r="5898" spans="6:10">
      <c r="F5898"/>
      <c r="G5898"/>
      <c r="H5898"/>
      <c r="I5898"/>
      <c r="J5898"/>
    </row>
    <row r="5899" spans="6:10">
      <c r="F5899"/>
      <c r="G5899"/>
      <c r="H5899"/>
      <c r="I5899"/>
      <c r="J5899"/>
    </row>
    <row r="5900" spans="6:10">
      <c r="F5900"/>
      <c r="G5900"/>
      <c r="H5900"/>
      <c r="I5900"/>
      <c r="J5900"/>
    </row>
    <row r="5901" spans="6:10">
      <c r="F5901"/>
      <c r="G5901"/>
      <c r="H5901"/>
      <c r="I5901"/>
      <c r="J5901"/>
    </row>
    <row r="5902" spans="6:10">
      <c r="F5902"/>
      <c r="G5902"/>
      <c r="H5902"/>
      <c r="I5902"/>
      <c r="J5902"/>
    </row>
    <row r="5903" spans="6:10">
      <c r="F5903"/>
      <c r="G5903"/>
      <c r="H5903"/>
      <c r="I5903"/>
      <c r="J5903"/>
    </row>
    <row r="5904" spans="6:10">
      <c r="F5904"/>
      <c r="G5904"/>
      <c r="H5904"/>
      <c r="I5904"/>
      <c r="J5904"/>
    </row>
    <row r="5905" spans="6:10">
      <c r="F5905"/>
      <c r="G5905"/>
      <c r="H5905"/>
      <c r="I5905"/>
      <c r="J5905"/>
    </row>
    <row r="5906" spans="6:10">
      <c r="F5906"/>
      <c r="G5906"/>
      <c r="H5906"/>
      <c r="I5906"/>
      <c r="J5906"/>
    </row>
    <row r="5907" spans="6:10">
      <c r="F5907"/>
      <c r="G5907"/>
      <c r="H5907"/>
      <c r="I5907"/>
      <c r="J5907"/>
    </row>
    <row r="5908" spans="6:10">
      <c r="F5908"/>
      <c r="G5908"/>
      <c r="H5908"/>
      <c r="I5908"/>
      <c r="J5908"/>
    </row>
    <row r="5909" spans="6:10">
      <c r="F5909"/>
      <c r="G5909"/>
      <c r="H5909"/>
      <c r="I5909"/>
      <c r="J5909"/>
    </row>
    <row r="5910" spans="6:10">
      <c r="F5910"/>
      <c r="G5910"/>
      <c r="H5910"/>
      <c r="I5910"/>
      <c r="J5910"/>
    </row>
    <row r="5911" spans="6:10">
      <c r="F5911"/>
      <c r="G5911"/>
      <c r="H5911"/>
      <c r="I5911"/>
      <c r="J5911"/>
    </row>
    <row r="5912" spans="6:10">
      <c r="F5912"/>
      <c r="G5912"/>
      <c r="H5912"/>
      <c r="I5912"/>
      <c r="J5912"/>
    </row>
    <row r="5913" spans="6:10">
      <c r="F5913"/>
      <c r="G5913"/>
      <c r="H5913"/>
      <c r="I5913"/>
      <c r="J5913"/>
    </row>
    <row r="5914" spans="6:10">
      <c r="F5914"/>
      <c r="G5914"/>
      <c r="H5914"/>
      <c r="I5914"/>
      <c r="J5914"/>
    </row>
    <row r="5915" spans="6:10">
      <c r="F5915"/>
      <c r="G5915"/>
      <c r="H5915"/>
      <c r="I5915"/>
      <c r="J5915"/>
    </row>
    <row r="5916" spans="6:10">
      <c r="F5916"/>
      <c r="G5916"/>
      <c r="H5916"/>
      <c r="I5916"/>
      <c r="J5916"/>
    </row>
    <row r="5917" spans="6:10">
      <c r="F5917"/>
      <c r="G5917"/>
      <c r="H5917"/>
      <c r="I5917"/>
      <c r="J5917"/>
    </row>
    <row r="5918" spans="6:10">
      <c r="F5918"/>
      <c r="G5918"/>
      <c r="H5918"/>
      <c r="I5918"/>
      <c r="J5918"/>
    </row>
    <row r="5919" spans="6:10">
      <c r="F5919"/>
      <c r="G5919"/>
      <c r="H5919"/>
      <c r="I5919"/>
      <c r="J5919"/>
    </row>
    <row r="5920" spans="6:10">
      <c r="F5920"/>
      <c r="G5920"/>
      <c r="H5920"/>
      <c r="I5920"/>
      <c r="J5920"/>
    </row>
    <row r="5921" spans="6:10">
      <c r="F5921"/>
      <c r="G5921"/>
      <c r="H5921"/>
      <c r="I5921"/>
      <c r="J5921"/>
    </row>
    <row r="5922" spans="6:10">
      <c r="F5922"/>
      <c r="G5922"/>
      <c r="H5922"/>
      <c r="I5922"/>
      <c r="J5922"/>
    </row>
    <row r="5923" spans="6:10">
      <c r="F5923"/>
      <c r="G5923"/>
      <c r="H5923"/>
      <c r="I5923"/>
      <c r="J5923"/>
    </row>
    <row r="5924" spans="6:10">
      <c r="F5924"/>
      <c r="G5924"/>
      <c r="H5924"/>
      <c r="I5924"/>
      <c r="J5924"/>
    </row>
    <row r="5925" spans="6:10">
      <c r="F5925"/>
      <c r="G5925"/>
      <c r="H5925"/>
      <c r="I5925"/>
      <c r="J5925"/>
    </row>
    <row r="5926" spans="6:10">
      <c r="F5926"/>
      <c r="G5926"/>
      <c r="H5926"/>
      <c r="I5926"/>
      <c r="J5926"/>
    </row>
    <row r="5927" spans="6:10">
      <c r="F5927"/>
      <c r="G5927"/>
      <c r="H5927"/>
      <c r="I5927"/>
      <c r="J5927"/>
    </row>
    <row r="5928" spans="6:10">
      <c r="F5928"/>
      <c r="G5928"/>
      <c r="H5928"/>
      <c r="I5928"/>
      <c r="J5928"/>
    </row>
    <row r="5929" spans="6:10">
      <c r="F5929"/>
      <c r="G5929"/>
      <c r="H5929"/>
      <c r="I5929"/>
      <c r="J5929"/>
    </row>
    <row r="5930" spans="6:10">
      <c r="F5930"/>
      <c r="G5930"/>
      <c r="H5930"/>
      <c r="I5930"/>
      <c r="J5930"/>
    </row>
    <row r="5931" spans="6:10">
      <c r="F5931"/>
      <c r="G5931"/>
      <c r="H5931"/>
      <c r="I5931"/>
      <c r="J5931"/>
    </row>
    <row r="5932" spans="6:10">
      <c r="F5932"/>
      <c r="G5932"/>
      <c r="H5932"/>
      <c r="I5932"/>
      <c r="J5932"/>
    </row>
    <row r="5933" spans="6:10">
      <c r="F5933"/>
      <c r="G5933"/>
      <c r="H5933"/>
      <c r="I5933"/>
      <c r="J5933"/>
    </row>
    <row r="5934" spans="6:10">
      <c r="F5934"/>
      <c r="G5934"/>
      <c r="H5934"/>
      <c r="I5934"/>
      <c r="J5934"/>
    </row>
    <row r="5935" spans="6:10">
      <c r="F5935"/>
      <c r="G5935"/>
      <c r="H5935"/>
      <c r="I5935"/>
      <c r="J5935"/>
    </row>
    <row r="5936" spans="6:10">
      <c r="F5936"/>
      <c r="G5936"/>
      <c r="H5936"/>
      <c r="I5936"/>
      <c r="J5936"/>
    </row>
    <row r="5937" spans="6:10">
      <c r="F5937"/>
      <c r="G5937"/>
      <c r="H5937"/>
      <c r="I5937"/>
      <c r="J5937"/>
    </row>
    <row r="5938" spans="6:10">
      <c r="F5938"/>
      <c r="G5938"/>
      <c r="H5938"/>
      <c r="I5938"/>
      <c r="J5938"/>
    </row>
    <row r="5939" spans="6:10">
      <c r="F5939"/>
      <c r="G5939"/>
      <c r="H5939"/>
      <c r="I5939"/>
      <c r="J5939"/>
    </row>
    <row r="5940" spans="6:10">
      <c r="F5940"/>
      <c r="G5940"/>
      <c r="H5940"/>
      <c r="I5940"/>
      <c r="J5940"/>
    </row>
    <row r="5941" spans="6:10">
      <c r="F5941"/>
      <c r="G5941"/>
      <c r="H5941"/>
      <c r="I5941"/>
      <c r="J5941"/>
    </row>
    <row r="5942" spans="6:10">
      <c r="F5942"/>
      <c r="G5942"/>
      <c r="H5942"/>
      <c r="I5942"/>
      <c r="J5942"/>
    </row>
    <row r="5943" spans="6:10">
      <c r="F5943"/>
      <c r="G5943"/>
      <c r="H5943"/>
      <c r="I5943"/>
      <c r="J5943"/>
    </row>
    <row r="5944" spans="6:10">
      <c r="F5944"/>
      <c r="G5944"/>
      <c r="H5944"/>
      <c r="I5944"/>
      <c r="J5944"/>
    </row>
    <row r="5945" spans="6:10">
      <c r="F5945"/>
      <c r="G5945"/>
      <c r="H5945"/>
      <c r="I5945"/>
      <c r="J5945"/>
    </row>
    <row r="5946" spans="6:10">
      <c r="F5946"/>
      <c r="G5946"/>
      <c r="H5946"/>
      <c r="I5946"/>
      <c r="J5946"/>
    </row>
    <row r="5947" spans="6:10">
      <c r="F5947"/>
      <c r="G5947"/>
      <c r="H5947"/>
      <c r="I5947"/>
      <c r="J5947"/>
    </row>
    <row r="5948" spans="6:10">
      <c r="F5948"/>
      <c r="G5948"/>
      <c r="H5948"/>
      <c r="I5948"/>
      <c r="J5948"/>
    </row>
    <row r="5949" spans="6:10">
      <c r="F5949"/>
      <c r="G5949"/>
      <c r="H5949"/>
      <c r="I5949"/>
      <c r="J5949"/>
    </row>
    <row r="5950" spans="6:10">
      <c r="F5950"/>
      <c r="G5950"/>
      <c r="H5950"/>
      <c r="I5950"/>
      <c r="J5950"/>
    </row>
    <row r="5951" spans="6:10">
      <c r="F5951"/>
      <c r="G5951"/>
      <c r="H5951"/>
      <c r="I5951"/>
      <c r="J5951"/>
    </row>
    <row r="5952" spans="6:10">
      <c r="F5952"/>
      <c r="G5952"/>
      <c r="H5952"/>
      <c r="I5952"/>
      <c r="J5952"/>
    </row>
    <row r="5953" spans="6:10">
      <c r="F5953"/>
      <c r="G5953"/>
      <c r="H5953"/>
      <c r="I5953"/>
      <c r="J5953"/>
    </row>
    <row r="5954" spans="6:10">
      <c r="F5954"/>
      <c r="G5954"/>
      <c r="H5954"/>
      <c r="I5954"/>
      <c r="J5954"/>
    </row>
    <row r="5955" spans="6:10">
      <c r="F5955"/>
      <c r="G5955"/>
      <c r="H5955"/>
      <c r="I5955"/>
      <c r="J5955"/>
    </row>
    <row r="5956" spans="6:10">
      <c r="F5956"/>
      <c r="G5956"/>
      <c r="H5956"/>
      <c r="I5956"/>
      <c r="J5956"/>
    </row>
    <row r="5957" spans="6:10">
      <c r="F5957"/>
      <c r="G5957"/>
      <c r="H5957"/>
      <c r="I5957"/>
      <c r="J5957"/>
    </row>
    <row r="5958" spans="6:10">
      <c r="F5958"/>
      <c r="G5958"/>
      <c r="H5958"/>
      <c r="I5958"/>
      <c r="J5958"/>
    </row>
    <row r="5959" spans="6:10">
      <c r="F5959"/>
      <c r="G5959"/>
      <c r="H5959"/>
      <c r="I5959"/>
      <c r="J5959"/>
    </row>
    <row r="5960" spans="6:10">
      <c r="F5960"/>
      <c r="G5960"/>
      <c r="H5960"/>
      <c r="I5960"/>
      <c r="J5960"/>
    </row>
    <row r="5961" spans="6:10">
      <c r="F5961"/>
      <c r="G5961"/>
      <c r="H5961"/>
      <c r="I5961"/>
      <c r="J5961"/>
    </row>
    <row r="5962" spans="6:10">
      <c r="F5962"/>
      <c r="G5962"/>
      <c r="H5962"/>
      <c r="I5962"/>
      <c r="J5962"/>
    </row>
    <row r="5963" spans="6:10">
      <c r="F5963"/>
      <c r="G5963"/>
      <c r="H5963"/>
      <c r="I5963"/>
      <c r="J5963"/>
    </row>
    <row r="5964" spans="6:10">
      <c r="F5964"/>
      <c r="G5964"/>
      <c r="H5964"/>
      <c r="I5964"/>
      <c r="J5964"/>
    </row>
    <row r="5965" spans="6:10">
      <c r="F5965"/>
      <c r="G5965"/>
      <c r="H5965"/>
      <c r="I5965"/>
      <c r="J5965"/>
    </row>
    <row r="5966" spans="6:10">
      <c r="F5966"/>
      <c r="G5966"/>
      <c r="H5966"/>
      <c r="I5966"/>
      <c r="J5966"/>
    </row>
    <row r="5967" spans="6:10">
      <c r="F5967"/>
      <c r="G5967"/>
      <c r="H5967"/>
      <c r="I5967"/>
      <c r="J5967"/>
    </row>
    <row r="5968" spans="6:10">
      <c r="F5968"/>
      <c r="G5968"/>
      <c r="H5968"/>
      <c r="I5968"/>
      <c r="J5968"/>
    </row>
    <row r="5969" spans="6:10">
      <c r="F5969"/>
      <c r="G5969"/>
      <c r="H5969"/>
      <c r="I5969"/>
      <c r="J5969"/>
    </row>
    <row r="5970" spans="6:10">
      <c r="F5970"/>
      <c r="G5970"/>
      <c r="H5970"/>
      <c r="I5970"/>
      <c r="J5970"/>
    </row>
    <row r="5971" spans="6:10">
      <c r="F5971"/>
      <c r="G5971"/>
      <c r="H5971"/>
      <c r="I5971"/>
      <c r="J5971"/>
    </row>
    <row r="5972" spans="6:10">
      <c r="F5972"/>
      <c r="G5972"/>
      <c r="H5972"/>
      <c r="I5972"/>
      <c r="J5972"/>
    </row>
    <row r="5973" spans="6:10">
      <c r="F5973"/>
      <c r="G5973"/>
      <c r="H5973"/>
      <c r="I5973"/>
      <c r="J5973"/>
    </row>
    <row r="5974" spans="6:10">
      <c r="F5974"/>
      <c r="G5974"/>
      <c r="H5974"/>
      <c r="I5974"/>
      <c r="J5974"/>
    </row>
    <row r="5975" spans="6:10">
      <c r="F5975"/>
      <c r="G5975"/>
      <c r="H5975"/>
      <c r="I5975"/>
      <c r="J5975"/>
    </row>
    <row r="5976" spans="6:10">
      <c r="F5976"/>
      <c r="G5976"/>
      <c r="H5976"/>
      <c r="I5976"/>
      <c r="J5976"/>
    </row>
    <row r="5977" spans="6:10">
      <c r="F5977"/>
      <c r="G5977"/>
      <c r="H5977"/>
      <c r="I5977"/>
      <c r="J5977"/>
    </row>
    <row r="5978" spans="6:10">
      <c r="F5978"/>
      <c r="G5978"/>
      <c r="H5978"/>
      <c r="I5978"/>
      <c r="J5978"/>
    </row>
    <row r="5979" spans="6:10">
      <c r="F5979"/>
      <c r="G5979"/>
      <c r="H5979"/>
      <c r="I5979"/>
      <c r="J5979"/>
    </row>
    <row r="5980" spans="6:10">
      <c r="F5980"/>
      <c r="G5980"/>
      <c r="H5980"/>
      <c r="I5980"/>
      <c r="J5980"/>
    </row>
    <row r="5981" spans="6:10">
      <c r="F5981"/>
      <c r="G5981"/>
      <c r="H5981"/>
      <c r="I5981"/>
      <c r="J5981"/>
    </row>
    <row r="5982" spans="6:10">
      <c r="F5982"/>
      <c r="G5982"/>
      <c r="H5982"/>
      <c r="I5982"/>
      <c r="J5982"/>
    </row>
    <row r="5983" spans="6:10">
      <c r="F5983"/>
      <c r="G5983"/>
      <c r="H5983"/>
      <c r="I5983"/>
      <c r="J5983"/>
    </row>
    <row r="5984" spans="6:10">
      <c r="F5984"/>
      <c r="G5984"/>
      <c r="H5984"/>
      <c r="I5984"/>
      <c r="J5984"/>
    </row>
    <row r="5985" spans="6:10">
      <c r="F5985"/>
      <c r="G5985"/>
      <c r="H5985"/>
      <c r="I5985"/>
      <c r="J5985"/>
    </row>
    <row r="5986" spans="6:10">
      <c r="F5986"/>
      <c r="G5986"/>
      <c r="H5986"/>
      <c r="I5986"/>
      <c r="J5986"/>
    </row>
    <row r="5987" spans="6:10">
      <c r="F5987"/>
      <c r="G5987"/>
      <c r="H5987"/>
      <c r="I5987"/>
      <c r="J5987"/>
    </row>
    <row r="5988" spans="6:10">
      <c r="F5988"/>
      <c r="G5988"/>
      <c r="H5988"/>
      <c r="I5988"/>
      <c r="J5988"/>
    </row>
    <row r="5989" spans="6:10">
      <c r="F5989"/>
      <c r="G5989"/>
      <c r="H5989"/>
      <c r="I5989"/>
      <c r="J5989"/>
    </row>
    <row r="5990" spans="6:10">
      <c r="F5990"/>
      <c r="G5990"/>
      <c r="H5990"/>
      <c r="I5990"/>
      <c r="J5990"/>
    </row>
    <row r="5991" spans="6:10">
      <c r="F5991"/>
      <c r="G5991"/>
      <c r="H5991"/>
      <c r="I5991"/>
      <c r="J5991"/>
    </row>
    <row r="5992" spans="6:10">
      <c r="F5992"/>
      <c r="G5992"/>
      <c r="H5992"/>
      <c r="I5992"/>
      <c r="J5992"/>
    </row>
    <row r="5993" spans="6:10">
      <c r="F5993"/>
      <c r="G5993"/>
      <c r="H5993"/>
      <c r="I5993"/>
      <c r="J5993"/>
    </row>
    <row r="5994" spans="6:10">
      <c r="F5994"/>
      <c r="G5994"/>
      <c r="H5994"/>
      <c r="I5994"/>
      <c r="J5994"/>
    </row>
    <row r="5995" spans="6:10">
      <c r="F5995"/>
      <c r="G5995"/>
      <c r="H5995"/>
      <c r="I5995"/>
      <c r="J5995"/>
    </row>
    <row r="5996" spans="6:10">
      <c r="F5996"/>
      <c r="G5996"/>
      <c r="H5996"/>
      <c r="I5996"/>
      <c r="J5996"/>
    </row>
    <row r="5997" spans="6:10">
      <c r="F5997"/>
      <c r="G5997"/>
      <c r="H5997"/>
      <c r="I5997"/>
      <c r="J5997"/>
    </row>
    <row r="5998" spans="6:10">
      <c r="F5998"/>
      <c r="G5998"/>
      <c r="H5998"/>
      <c r="I5998"/>
      <c r="J5998"/>
    </row>
    <row r="5999" spans="6:10">
      <c r="F5999"/>
      <c r="G5999"/>
      <c r="H5999"/>
      <c r="I5999"/>
      <c r="J5999"/>
    </row>
    <row r="6000" spans="6:10">
      <c r="F6000"/>
      <c r="G6000"/>
      <c r="H6000"/>
      <c r="I6000"/>
      <c r="J6000"/>
    </row>
    <row r="6001" spans="6:10">
      <c r="F6001"/>
      <c r="G6001"/>
      <c r="H6001"/>
      <c r="I6001"/>
      <c r="J6001"/>
    </row>
    <row r="6002" spans="6:10">
      <c r="F6002"/>
      <c r="G6002"/>
      <c r="H6002"/>
      <c r="I6002"/>
      <c r="J6002"/>
    </row>
    <row r="6003" spans="6:10">
      <c r="F6003"/>
      <c r="G6003"/>
      <c r="H6003"/>
      <c r="I6003"/>
      <c r="J6003"/>
    </row>
    <row r="6004" spans="6:10">
      <c r="F6004"/>
      <c r="G6004"/>
      <c r="H6004"/>
      <c r="I6004"/>
      <c r="J6004"/>
    </row>
    <row r="6005" spans="6:10">
      <c r="F6005"/>
      <c r="G6005"/>
      <c r="H6005"/>
      <c r="I6005"/>
      <c r="J6005"/>
    </row>
    <row r="6006" spans="6:10">
      <c r="F6006"/>
      <c r="G6006"/>
      <c r="H6006"/>
      <c r="I6006"/>
      <c r="J6006"/>
    </row>
    <row r="6007" spans="6:10">
      <c r="F6007"/>
      <c r="G6007"/>
      <c r="H6007"/>
      <c r="I6007"/>
      <c r="J6007"/>
    </row>
    <row r="6008" spans="6:10">
      <c r="F6008"/>
      <c r="G6008"/>
      <c r="H6008"/>
      <c r="I6008"/>
      <c r="J6008"/>
    </row>
    <row r="6009" spans="6:10">
      <c r="F6009"/>
      <c r="G6009"/>
      <c r="H6009"/>
      <c r="I6009"/>
      <c r="J6009"/>
    </row>
    <row r="6010" spans="6:10">
      <c r="F6010"/>
      <c r="G6010"/>
      <c r="H6010"/>
      <c r="I6010"/>
      <c r="J6010"/>
    </row>
    <row r="6011" spans="6:10">
      <c r="F6011"/>
      <c r="G6011"/>
      <c r="H6011"/>
      <c r="I6011"/>
      <c r="J6011"/>
    </row>
    <row r="6012" spans="6:10">
      <c r="F6012"/>
      <c r="G6012"/>
      <c r="H6012"/>
      <c r="I6012"/>
      <c r="J6012"/>
    </row>
    <row r="6013" spans="6:10">
      <c r="F6013"/>
      <c r="G6013"/>
      <c r="H6013"/>
      <c r="I6013"/>
      <c r="J6013"/>
    </row>
    <row r="6014" spans="6:10">
      <c r="F6014"/>
      <c r="G6014"/>
      <c r="H6014"/>
      <c r="I6014"/>
      <c r="J6014"/>
    </row>
    <row r="6015" spans="6:10">
      <c r="F6015"/>
      <c r="G6015"/>
      <c r="H6015"/>
      <c r="I6015"/>
      <c r="J6015"/>
    </row>
    <row r="6016" spans="6:10">
      <c r="F6016"/>
      <c r="G6016"/>
      <c r="H6016"/>
      <c r="I6016"/>
      <c r="J6016"/>
    </row>
    <row r="6017" spans="6:10">
      <c r="F6017"/>
      <c r="G6017"/>
      <c r="H6017"/>
      <c r="I6017"/>
      <c r="J6017"/>
    </row>
    <row r="6018" spans="6:10">
      <c r="F6018"/>
      <c r="G6018"/>
      <c r="H6018"/>
      <c r="I6018"/>
      <c r="J6018"/>
    </row>
    <row r="6019" spans="6:10">
      <c r="F6019"/>
      <c r="G6019"/>
      <c r="H6019"/>
      <c r="I6019"/>
      <c r="J6019"/>
    </row>
    <row r="6020" spans="6:10">
      <c r="F6020"/>
      <c r="G6020"/>
      <c r="H6020"/>
      <c r="I6020"/>
      <c r="J6020"/>
    </row>
    <row r="6021" spans="6:10">
      <c r="F6021"/>
      <c r="G6021"/>
      <c r="H6021"/>
      <c r="I6021"/>
      <c r="J6021"/>
    </row>
    <row r="6022" spans="6:10">
      <c r="F6022"/>
      <c r="G6022"/>
      <c r="H6022"/>
      <c r="I6022"/>
      <c r="J6022"/>
    </row>
    <row r="6023" spans="6:10">
      <c r="F6023"/>
      <c r="G6023"/>
      <c r="H6023"/>
      <c r="I6023"/>
      <c r="J6023"/>
    </row>
    <row r="6024" spans="6:10">
      <c r="F6024"/>
      <c r="G6024"/>
      <c r="H6024"/>
      <c r="I6024"/>
      <c r="J6024"/>
    </row>
    <row r="6025" spans="6:10">
      <c r="F6025"/>
      <c r="G6025"/>
      <c r="H6025"/>
      <c r="I6025"/>
      <c r="J6025"/>
    </row>
    <row r="6026" spans="6:10">
      <c r="F6026"/>
      <c r="G6026"/>
      <c r="H6026"/>
      <c r="I6026"/>
      <c r="J6026"/>
    </row>
    <row r="6027" spans="6:10">
      <c r="F6027"/>
      <c r="G6027"/>
      <c r="H6027"/>
      <c r="I6027"/>
      <c r="J6027"/>
    </row>
    <row r="6028" spans="6:10">
      <c r="F6028"/>
      <c r="G6028"/>
      <c r="H6028"/>
      <c r="I6028"/>
      <c r="J6028"/>
    </row>
    <row r="6029" spans="6:10">
      <c r="F6029"/>
      <c r="G6029"/>
      <c r="H6029"/>
      <c r="I6029"/>
      <c r="J6029"/>
    </row>
    <row r="6030" spans="6:10">
      <c r="F6030"/>
      <c r="G6030"/>
      <c r="H6030"/>
      <c r="I6030"/>
      <c r="J6030"/>
    </row>
    <row r="6031" spans="6:10">
      <c r="F6031"/>
      <c r="G6031"/>
      <c r="H6031"/>
      <c r="I6031"/>
      <c r="J6031"/>
    </row>
    <row r="6032" spans="6:10">
      <c r="F6032"/>
      <c r="G6032"/>
      <c r="H6032"/>
      <c r="I6032"/>
      <c r="J6032"/>
    </row>
    <row r="6033" spans="6:10">
      <c r="F6033"/>
      <c r="G6033"/>
      <c r="H6033"/>
      <c r="I6033"/>
      <c r="J6033"/>
    </row>
    <row r="6034" spans="6:10">
      <c r="F6034"/>
      <c r="G6034"/>
      <c r="H6034"/>
      <c r="I6034"/>
      <c r="J6034"/>
    </row>
    <row r="6035" spans="6:10">
      <c r="F6035"/>
      <c r="G6035"/>
      <c r="H6035"/>
      <c r="I6035"/>
      <c r="J6035"/>
    </row>
    <row r="6036" spans="6:10">
      <c r="F6036"/>
      <c r="G6036"/>
      <c r="H6036"/>
      <c r="I6036"/>
      <c r="J6036"/>
    </row>
    <row r="6037" spans="6:10">
      <c r="F6037"/>
      <c r="G6037"/>
      <c r="H6037"/>
      <c r="I6037"/>
      <c r="J6037"/>
    </row>
    <row r="6038" spans="6:10">
      <c r="F6038"/>
      <c r="G6038"/>
      <c r="H6038"/>
      <c r="I6038"/>
      <c r="J6038"/>
    </row>
    <row r="6039" spans="6:10">
      <c r="F6039"/>
      <c r="G6039"/>
      <c r="H6039"/>
      <c r="I6039"/>
      <c r="J6039"/>
    </row>
    <row r="6040" spans="6:10">
      <c r="F6040"/>
      <c r="G6040"/>
      <c r="H6040"/>
      <c r="I6040"/>
      <c r="J6040"/>
    </row>
    <row r="6041" spans="6:10">
      <c r="F6041"/>
      <c r="G6041"/>
      <c r="H6041"/>
      <c r="I6041"/>
      <c r="J6041"/>
    </row>
    <row r="6042" spans="6:10">
      <c r="F6042"/>
      <c r="G6042"/>
      <c r="H6042"/>
      <c r="I6042"/>
      <c r="J6042"/>
    </row>
    <row r="6043" spans="6:10">
      <c r="F6043"/>
      <c r="G6043"/>
      <c r="H6043"/>
      <c r="I6043"/>
      <c r="J6043"/>
    </row>
    <row r="6044" spans="6:10">
      <c r="F6044"/>
      <c r="G6044"/>
      <c r="H6044"/>
      <c r="I6044"/>
      <c r="J6044"/>
    </row>
    <row r="6045" spans="6:10">
      <c r="F6045"/>
      <c r="G6045"/>
      <c r="H6045"/>
      <c r="I6045"/>
      <c r="J6045"/>
    </row>
    <row r="6046" spans="6:10">
      <c r="F6046"/>
      <c r="G6046"/>
      <c r="H6046"/>
      <c r="I6046"/>
      <c r="J6046"/>
    </row>
    <row r="6047" spans="6:10">
      <c r="F6047"/>
      <c r="G6047"/>
      <c r="H6047"/>
      <c r="I6047"/>
      <c r="J6047"/>
    </row>
    <row r="6048" spans="6:10">
      <c r="F6048"/>
      <c r="G6048"/>
      <c r="H6048"/>
      <c r="I6048"/>
      <c r="J6048"/>
    </row>
    <row r="6049" spans="6:10">
      <c r="F6049"/>
      <c r="G6049"/>
      <c r="H6049"/>
      <c r="I6049"/>
      <c r="J6049"/>
    </row>
    <row r="6050" spans="6:10">
      <c r="F6050"/>
      <c r="G6050"/>
      <c r="H6050"/>
      <c r="I6050"/>
      <c r="J6050"/>
    </row>
    <row r="6051" spans="6:10">
      <c r="F6051"/>
      <c r="G6051"/>
      <c r="H6051"/>
      <c r="I6051"/>
      <c r="J6051"/>
    </row>
    <row r="6052" spans="6:10">
      <c r="F6052"/>
      <c r="G6052"/>
      <c r="H6052"/>
      <c r="I6052"/>
      <c r="J6052"/>
    </row>
    <row r="6053" spans="6:10">
      <c r="F6053"/>
      <c r="G6053"/>
      <c r="H6053"/>
      <c r="I6053"/>
      <c r="J6053"/>
    </row>
    <row r="6054" spans="6:10">
      <c r="F6054"/>
      <c r="G6054"/>
      <c r="H6054"/>
      <c r="I6054"/>
      <c r="J6054"/>
    </row>
    <row r="6055" spans="6:10">
      <c r="F6055"/>
      <c r="G6055"/>
      <c r="H6055"/>
      <c r="I6055"/>
      <c r="J6055"/>
    </row>
    <row r="6056" spans="6:10">
      <c r="F6056"/>
      <c r="G6056"/>
      <c r="H6056"/>
      <c r="I6056"/>
      <c r="J6056"/>
    </row>
    <row r="6057" spans="6:10">
      <c r="F6057"/>
      <c r="G6057"/>
      <c r="H6057"/>
      <c r="I6057"/>
      <c r="J6057"/>
    </row>
    <row r="6058" spans="6:10">
      <c r="F6058"/>
      <c r="G6058"/>
      <c r="H6058"/>
      <c r="I6058"/>
      <c r="J6058"/>
    </row>
    <row r="6059" spans="6:10">
      <c r="F6059"/>
      <c r="G6059"/>
      <c r="H6059"/>
      <c r="I6059"/>
      <c r="J6059"/>
    </row>
    <row r="6060" spans="6:10">
      <c r="F6060"/>
      <c r="G6060"/>
      <c r="H6060"/>
      <c r="I6060"/>
      <c r="J6060"/>
    </row>
    <row r="6061" spans="6:10">
      <c r="F6061"/>
      <c r="G6061"/>
      <c r="H6061"/>
      <c r="I6061"/>
      <c r="J6061"/>
    </row>
    <row r="6062" spans="6:10">
      <c r="F6062"/>
      <c r="G6062"/>
      <c r="H6062"/>
      <c r="I6062"/>
      <c r="J6062"/>
    </row>
    <row r="6063" spans="6:10">
      <c r="F6063"/>
      <c r="G6063"/>
      <c r="H6063"/>
      <c r="I6063"/>
      <c r="J6063"/>
    </row>
    <row r="6064" spans="6:10">
      <c r="F6064"/>
      <c r="G6064"/>
      <c r="H6064"/>
      <c r="I6064"/>
      <c r="J6064"/>
    </row>
    <row r="6065" spans="6:10">
      <c r="F6065"/>
      <c r="G6065"/>
      <c r="H6065"/>
      <c r="I6065"/>
      <c r="J6065"/>
    </row>
    <row r="6066" spans="6:10">
      <c r="F6066"/>
      <c r="G6066"/>
      <c r="H6066"/>
      <c r="I6066"/>
      <c r="J6066"/>
    </row>
    <row r="6067" spans="6:10">
      <c r="F6067"/>
      <c r="G6067"/>
      <c r="H6067"/>
      <c r="I6067"/>
      <c r="J6067"/>
    </row>
    <row r="6068" spans="6:10">
      <c r="F6068"/>
      <c r="G6068"/>
      <c r="H6068"/>
      <c r="I6068"/>
      <c r="J6068"/>
    </row>
    <row r="6069" spans="6:10">
      <c r="F6069"/>
      <c r="G6069"/>
      <c r="H6069"/>
      <c r="I6069"/>
      <c r="J6069"/>
    </row>
    <row r="6070" spans="6:10">
      <c r="F6070"/>
      <c r="G6070"/>
      <c r="H6070"/>
      <c r="I6070"/>
      <c r="J6070"/>
    </row>
    <row r="6071" spans="6:10">
      <c r="F6071"/>
      <c r="G6071"/>
      <c r="H6071"/>
      <c r="I6071"/>
      <c r="J6071"/>
    </row>
    <row r="6072" spans="6:10">
      <c r="F6072"/>
      <c r="G6072"/>
      <c r="H6072"/>
      <c r="I6072"/>
      <c r="J6072"/>
    </row>
    <row r="6073" spans="6:10">
      <c r="F6073"/>
      <c r="G6073"/>
      <c r="H6073"/>
      <c r="I6073"/>
      <c r="J6073"/>
    </row>
    <row r="6074" spans="6:10">
      <c r="F6074"/>
      <c r="G6074"/>
      <c r="H6074"/>
      <c r="I6074"/>
      <c r="J6074"/>
    </row>
    <row r="6075" spans="6:10">
      <c r="F6075"/>
      <c r="G6075"/>
      <c r="H6075"/>
      <c r="I6075"/>
      <c r="J6075"/>
    </row>
    <row r="6076" spans="6:10">
      <c r="F6076"/>
      <c r="G6076"/>
      <c r="H6076"/>
      <c r="I6076"/>
      <c r="J6076"/>
    </row>
    <row r="6077" spans="6:10">
      <c r="F6077"/>
      <c r="G6077"/>
      <c r="H6077"/>
      <c r="I6077"/>
      <c r="J6077"/>
    </row>
    <row r="6078" spans="6:10">
      <c r="F6078"/>
      <c r="G6078"/>
      <c r="H6078"/>
      <c r="I6078"/>
      <c r="J6078"/>
    </row>
    <row r="6079" spans="6:10">
      <c r="F6079"/>
      <c r="G6079"/>
      <c r="H6079"/>
      <c r="I6079"/>
      <c r="J6079"/>
    </row>
    <row r="6080" spans="6:10">
      <c r="F6080"/>
      <c r="G6080"/>
      <c r="H6080"/>
      <c r="I6080"/>
      <c r="J6080"/>
    </row>
    <row r="6081" spans="6:10">
      <c r="F6081"/>
      <c r="G6081"/>
      <c r="H6081"/>
      <c r="I6081"/>
      <c r="J6081"/>
    </row>
    <row r="6082" spans="6:10">
      <c r="F6082"/>
      <c r="G6082"/>
      <c r="H6082"/>
      <c r="I6082"/>
      <c r="J6082"/>
    </row>
    <row r="6083" spans="6:10">
      <c r="F6083"/>
      <c r="G6083"/>
      <c r="H6083"/>
      <c r="I6083"/>
      <c r="J6083"/>
    </row>
    <row r="6084" spans="6:10">
      <c r="F6084"/>
      <c r="G6084"/>
      <c r="H6084"/>
      <c r="I6084"/>
      <c r="J6084"/>
    </row>
    <row r="6085" spans="6:10">
      <c r="F6085"/>
      <c r="G6085"/>
      <c r="H6085"/>
      <c r="I6085"/>
      <c r="J6085"/>
    </row>
    <row r="6086" spans="6:10">
      <c r="F6086"/>
      <c r="G6086"/>
      <c r="H6086"/>
      <c r="I6086"/>
      <c r="J6086"/>
    </row>
    <row r="6087" spans="6:10">
      <c r="F6087"/>
      <c r="G6087"/>
      <c r="H6087"/>
      <c r="I6087"/>
      <c r="J6087"/>
    </row>
    <row r="6088" spans="6:10">
      <c r="F6088"/>
      <c r="G6088"/>
      <c r="H6088"/>
      <c r="I6088"/>
      <c r="J6088"/>
    </row>
    <row r="6089" spans="6:10">
      <c r="F6089"/>
      <c r="G6089"/>
      <c r="H6089"/>
      <c r="I6089"/>
      <c r="J6089"/>
    </row>
    <row r="6090" spans="6:10">
      <c r="F6090"/>
      <c r="G6090"/>
      <c r="H6090"/>
      <c r="I6090"/>
      <c r="J6090"/>
    </row>
    <row r="6091" spans="6:10">
      <c r="F6091"/>
      <c r="G6091"/>
      <c r="H6091"/>
      <c r="I6091"/>
      <c r="J6091"/>
    </row>
    <row r="6092" spans="6:10">
      <c r="F6092"/>
      <c r="G6092"/>
      <c r="H6092"/>
      <c r="I6092"/>
      <c r="J6092"/>
    </row>
    <row r="6093" spans="6:10">
      <c r="F6093"/>
      <c r="G6093"/>
      <c r="H6093"/>
      <c r="I6093"/>
      <c r="J6093"/>
    </row>
    <row r="6094" spans="6:10">
      <c r="F6094"/>
      <c r="G6094"/>
      <c r="H6094"/>
      <c r="I6094"/>
      <c r="J6094"/>
    </row>
    <row r="6095" spans="6:10">
      <c r="F6095"/>
      <c r="G6095"/>
      <c r="H6095"/>
      <c r="I6095"/>
      <c r="J6095"/>
    </row>
    <row r="6096" spans="6:10">
      <c r="F6096"/>
      <c r="G6096"/>
      <c r="H6096"/>
      <c r="I6096"/>
      <c r="J6096"/>
    </row>
    <row r="6097" spans="6:10">
      <c r="F6097"/>
      <c r="G6097"/>
      <c r="H6097"/>
      <c r="I6097"/>
      <c r="J6097"/>
    </row>
    <row r="6098" spans="6:10">
      <c r="F6098"/>
      <c r="G6098"/>
      <c r="H6098"/>
      <c r="I6098"/>
      <c r="J6098"/>
    </row>
    <row r="6099" spans="6:10">
      <c r="F6099"/>
      <c r="G6099"/>
      <c r="H6099"/>
      <c r="I6099"/>
      <c r="J6099"/>
    </row>
    <row r="6100" spans="6:10">
      <c r="F6100"/>
      <c r="G6100"/>
      <c r="H6100"/>
      <c r="I6100"/>
      <c r="J6100"/>
    </row>
    <row r="6101" spans="6:10">
      <c r="F6101"/>
      <c r="G6101"/>
      <c r="H6101"/>
      <c r="I6101"/>
      <c r="J6101"/>
    </row>
    <row r="6102" spans="6:10">
      <c r="F6102"/>
      <c r="G6102"/>
      <c r="H6102"/>
      <c r="I6102"/>
      <c r="J6102"/>
    </row>
    <row r="6103" spans="6:10">
      <c r="F6103"/>
      <c r="G6103"/>
      <c r="H6103"/>
      <c r="I6103"/>
      <c r="J6103"/>
    </row>
    <row r="6104" spans="6:10">
      <c r="F6104"/>
      <c r="G6104"/>
      <c r="H6104"/>
      <c r="I6104"/>
      <c r="J6104"/>
    </row>
    <row r="6105" spans="6:10">
      <c r="F6105"/>
      <c r="G6105"/>
      <c r="H6105"/>
      <c r="I6105"/>
      <c r="J6105"/>
    </row>
    <row r="6106" spans="6:10">
      <c r="F6106"/>
      <c r="G6106"/>
      <c r="H6106"/>
      <c r="I6106"/>
      <c r="J6106"/>
    </row>
    <row r="6107" spans="6:10">
      <c r="F6107"/>
      <c r="G6107"/>
      <c r="H6107"/>
      <c r="I6107"/>
      <c r="J6107"/>
    </row>
    <row r="6108" spans="6:10">
      <c r="F6108"/>
      <c r="G6108"/>
      <c r="H6108"/>
      <c r="I6108"/>
      <c r="J6108"/>
    </row>
    <row r="6109" spans="6:10">
      <c r="F6109"/>
      <c r="G6109"/>
      <c r="H6109"/>
      <c r="I6109"/>
      <c r="J6109"/>
    </row>
    <row r="6110" spans="6:10">
      <c r="F6110"/>
      <c r="G6110"/>
      <c r="H6110"/>
      <c r="I6110"/>
      <c r="J6110"/>
    </row>
    <row r="6111" spans="6:10">
      <c r="F6111"/>
      <c r="G6111"/>
      <c r="H6111"/>
      <c r="I6111"/>
      <c r="J6111"/>
    </row>
    <row r="6112" spans="6:10">
      <c r="F6112"/>
      <c r="G6112"/>
      <c r="H6112"/>
      <c r="I6112"/>
      <c r="J6112"/>
    </row>
    <row r="6113" spans="6:10">
      <c r="F6113"/>
      <c r="G6113"/>
      <c r="H6113"/>
      <c r="I6113"/>
      <c r="J6113"/>
    </row>
    <row r="6114" spans="6:10">
      <c r="F6114"/>
      <c r="G6114"/>
      <c r="H6114"/>
      <c r="I6114"/>
      <c r="J6114"/>
    </row>
    <row r="6115" spans="6:10">
      <c r="F6115"/>
      <c r="G6115"/>
      <c r="H6115"/>
      <c r="I6115"/>
      <c r="J6115"/>
    </row>
    <row r="6116" spans="6:10">
      <c r="F6116"/>
      <c r="G6116"/>
      <c r="H6116"/>
      <c r="I6116"/>
      <c r="J6116"/>
    </row>
    <row r="6117" spans="6:10">
      <c r="F6117"/>
      <c r="G6117"/>
      <c r="H6117"/>
      <c r="I6117"/>
      <c r="J6117"/>
    </row>
    <row r="6118" spans="6:10">
      <c r="F6118"/>
      <c r="G6118"/>
      <c r="H6118"/>
      <c r="I6118"/>
      <c r="J6118"/>
    </row>
    <row r="6119" spans="6:10">
      <c r="F6119"/>
      <c r="G6119"/>
      <c r="H6119"/>
      <c r="I6119"/>
      <c r="J6119"/>
    </row>
    <row r="6120" spans="6:10">
      <c r="F6120"/>
      <c r="G6120"/>
      <c r="H6120"/>
      <c r="I6120"/>
      <c r="J6120"/>
    </row>
    <row r="6121" spans="6:10">
      <c r="F6121"/>
      <c r="G6121"/>
      <c r="H6121"/>
      <c r="I6121"/>
      <c r="J6121"/>
    </row>
    <row r="6122" spans="6:10">
      <c r="F6122"/>
      <c r="G6122"/>
      <c r="H6122"/>
      <c r="I6122"/>
      <c r="J6122"/>
    </row>
    <row r="6123" spans="6:10">
      <c r="F6123"/>
      <c r="G6123"/>
      <c r="H6123"/>
      <c r="I6123"/>
      <c r="J6123"/>
    </row>
    <row r="6124" spans="6:10">
      <c r="F6124"/>
      <c r="G6124"/>
      <c r="H6124"/>
      <c r="I6124"/>
      <c r="J6124"/>
    </row>
    <row r="6125" spans="6:10">
      <c r="F6125"/>
      <c r="G6125"/>
      <c r="H6125"/>
      <c r="I6125"/>
      <c r="J6125"/>
    </row>
    <row r="6126" spans="6:10">
      <c r="F6126"/>
      <c r="G6126"/>
      <c r="H6126"/>
      <c r="I6126"/>
      <c r="J6126"/>
    </row>
    <row r="6127" spans="6:10">
      <c r="F6127"/>
      <c r="G6127"/>
      <c r="H6127"/>
      <c r="I6127"/>
      <c r="J6127"/>
    </row>
    <row r="6128" spans="6:10">
      <c r="F6128"/>
      <c r="G6128"/>
      <c r="H6128"/>
      <c r="I6128"/>
      <c r="J6128"/>
    </row>
    <row r="6129" spans="6:10">
      <c r="F6129"/>
      <c r="G6129"/>
      <c r="H6129"/>
      <c r="I6129"/>
      <c r="J6129"/>
    </row>
    <row r="6130" spans="6:10">
      <c r="F6130"/>
      <c r="G6130"/>
      <c r="H6130"/>
      <c r="I6130"/>
      <c r="J6130"/>
    </row>
    <row r="6131" spans="6:10">
      <c r="F6131"/>
      <c r="G6131"/>
      <c r="H6131"/>
      <c r="I6131"/>
      <c r="J6131"/>
    </row>
    <row r="6132" spans="6:10">
      <c r="F6132"/>
      <c r="G6132"/>
      <c r="H6132"/>
      <c r="I6132"/>
      <c r="J6132"/>
    </row>
    <row r="6133" spans="6:10">
      <c r="F6133"/>
      <c r="G6133"/>
      <c r="H6133"/>
      <c r="I6133"/>
      <c r="J6133"/>
    </row>
    <row r="6134" spans="6:10">
      <c r="F6134"/>
      <c r="G6134"/>
      <c r="H6134"/>
      <c r="I6134"/>
      <c r="J6134"/>
    </row>
    <row r="6135" spans="6:10">
      <c r="F6135"/>
      <c r="G6135"/>
      <c r="H6135"/>
      <c r="I6135"/>
      <c r="J6135"/>
    </row>
    <row r="6136" spans="6:10">
      <c r="F6136"/>
      <c r="G6136"/>
      <c r="H6136"/>
      <c r="I6136"/>
      <c r="J6136"/>
    </row>
    <row r="6137" spans="6:10">
      <c r="F6137"/>
      <c r="G6137"/>
      <c r="H6137"/>
      <c r="I6137"/>
      <c r="J6137"/>
    </row>
    <row r="6138" spans="6:10">
      <c r="F6138"/>
      <c r="G6138"/>
      <c r="H6138"/>
      <c r="I6138"/>
      <c r="J6138"/>
    </row>
    <row r="6139" spans="6:10">
      <c r="F6139"/>
      <c r="G6139"/>
      <c r="H6139"/>
      <c r="I6139"/>
      <c r="J6139"/>
    </row>
    <row r="6140" spans="6:10">
      <c r="F6140"/>
      <c r="G6140"/>
      <c r="H6140"/>
      <c r="I6140"/>
      <c r="J6140"/>
    </row>
    <row r="6141" spans="6:10">
      <c r="F6141"/>
      <c r="G6141"/>
      <c r="H6141"/>
      <c r="I6141"/>
      <c r="J6141"/>
    </row>
    <row r="6142" spans="6:10">
      <c r="F6142"/>
      <c r="G6142"/>
      <c r="H6142"/>
      <c r="I6142"/>
      <c r="J6142"/>
    </row>
    <row r="6143" spans="6:10">
      <c r="F6143"/>
      <c r="G6143"/>
      <c r="H6143"/>
      <c r="I6143"/>
      <c r="J6143"/>
    </row>
    <row r="6144" spans="6:10">
      <c r="F6144"/>
      <c r="G6144"/>
      <c r="H6144"/>
      <c r="I6144"/>
      <c r="J6144"/>
    </row>
    <row r="6145" spans="6:10">
      <c r="F6145"/>
      <c r="G6145"/>
      <c r="H6145"/>
      <c r="I6145"/>
      <c r="J6145"/>
    </row>
    <row r="6146" spans="6:10">
      <c r="F6146"/>
      <c r="G6146"/>
      <c r="H6146"/>
      <c r="I6146"/>
      <c r="J6146"/>
    </row>
    <row r="6147" spans="6:10">
      <c r="F6147"/>
      <c r="G6147"/>
      <c r="H6147"/>
      <c r="I6147"/>
      <c r="J6147"/>
    </row>
    <row r="6148" spans="6:10">
      <c r="F6148"/>
      <c r="G6148"/>
      <c r="H6148"/>
      <c r="I6148"/>
      <c r="J6148"/>
    </row>
    <row r="6149" spans="6:10">
      <c r="F6149"/>
      <c r="G6149"/>
      <c r="H6149"/>
      <c r="I6149"/>
      <c r="J6149"/>
    </row>
    <row r="6150" spans="6:10">
      <c r="F6150"/>
      <c r="G6150"/>
      <c r="H6150"/>
      <c r="I6150"/>
      <c r="J6150"/>
    </row>
    <row r="6151" spans="6:10">
      <c r="F6151"/>
      <c r="G6151"/>
      <c r="H6151"/>
      <c r="I6151"/>
      <c r="J6151"/>
    </row>
    <row r="6152" spans="6:10">
      <c r="F6152"/>
      <c r="G6152"/>
      <c r="H6152"/>
      <c r="I6152"/>
      <c r="J6152"/>
    </row>
    <row r="6153" spans="6:10">
      <c r="F6153"/>
      <c r="G6153"/>
      <c r="H6153"/>
      <c r="I6153"/>
      <c r="J6153"/>
    </row>
    <row r="6154" spans="6:10">
      <c r="F6154"/>
      <c r="G6154"/>
      <c r="H6154"/>
      <c r="I6154"/>
      <c r="J6154"/>
    </row>
    <row r="6155" spans="6:10">
      <c r="F6155"/>
      <c r="G6155"/>
      <c r="H6155"/>
      <c r="I6155"/>
      <c r="J6155"/>
    </row>
    <row r="6156" spans="6:10">
      <c r="F6156"/>
      <c r="G6156"/>
      <c r="H6156"/>
      <c r="I6156"/>
      <c r="J6156"/>
    </row>
    <row r="6157" spans="6:10">
      <c r="F6157"/>
      <c r="G6157"/>
      <c r="H6157"/>
      <c r="I6157"/>
      <c r="J6157"/>
    </row>
    <row r="6158" spans="6:10">
      <c r="F6158"/>
      <c r="G6158"/>
      <c r="H6158"/>
      <c r="I6158"/>
      <c r="J6158"/>
    </row>
    <row r="6159" spans="6:10">
      <c r="F6159"/>
      <c r="G6159"/>
      <c r="H6159"/>
      <c r="I6159"/>
      <c r="J6159"/>
    </row>
    <row r="6160" spans="6:10">
      <c r="F6160"/>
      <c r="G6160"/>
      <c r="H6160"/>
      <c r="I6160"/>
      <c r="J6160"/>
    </row>
    <row r="6161" spans="6:10">
      <c r="F6161"/>
      <c r="G6161"/>
      <c r="H6161"/>
      <c r="I6161"/>
      <c r="J6161"/>
    </row>
    <row r="6162" spans="6:10">
      <c r="F6162"/>
      <c r="G6162"/>
      <c r="H6162"/>
      <c r="I6162"/>
      <c r="J6162"/>
    </row>
    <row r="6163" spans="6:10">
      <c r="F6163"/>
      <c r="G6163"/>
      <c r="H6163"/>
      <c r="I6163"/>
      <c r="J6163"/>
    </row>
    <row r="6164" spans="6:10">
      <c r="F6164"/>
      <c r="G6164"/>
      <c r="H6164"/>
      <c r="I6164"/>
      <c r="J6164"/>
    </row>
    <row r="6165" spans="6:10">
      <c r="F6165"/>
      <c r="G6165"/>
      <c r="H6165"/>
      <c r="I6165"/>
      <c r="J6165"/>
    </row>
    <row r="6166" spans="6:10">
      <c r="F6166"/>
      <c r="G6166"/>
      <c r="H6166"/>
      <c r="I6166"/>
      <c r="J6166"/>
    </row>
    <row r="6167" spans="6:10">
      <c r="F6167"/>
      <c r="G6167"/>
      <c r="H6167"/>
      <c r="I6167"/>
      <c r="J6167"/>
    </row>
    <row r="6168" spans="6:10">
      <c r="F6168"/>
      <c r="G6168"/>
      <c r="H6168"/>
      <c r="I6168"/>
      <c r="J6168"/>
    </row>
    <row r="6169" spans="6:10">
      <c r="F6169"/>
      <c r="G6169"/>
      <c r="H6169"/>
      <c r="I6169"/>
      <c r="J6169"/>
    </row>
    <row r="6170" spans="6:10">
      <c r="F6170"/>
      <c r="G6170"/>
      <c r="H6170"/>
      <c r="I6170"/>
      <c r="J6170"/>
    </row>
    <row r="6171" spans="6:10">
      <c r="F6171"/>
      <c r="G6171"/>
      <c r="H6171"/>
      <c r="I6171"/>
      <c r="J6171"/>
    </row>
    <row r="6172" spans="6:10">
      <c r="F6172"/>
      <c r="G6172"/>
      <c r="H6172"/>
      <c r="I6172"/>
      <c r="J6172"/>
    </row>
    <row r="6173" spans="6:10">
      <c r="F6173"/>
      <c r="G6173"/>
      <c r="H6173"/>
      <c r="I6173"/>
      <c r="J6173"/>
    </row>
    <row r="6174" spans="6:10">
      <c r="F6174"/>
      <c r="G6174"/>
      <c r="H6174"/>
      <c r="I6174"/>
      <c r="J6174"/>
    </row>
    <row r="6175" spans="6:10">
      <c r="F6175"/>
      <c r="G6175"/>
      <c r="H6175"/>
      <c r="I6175"/>
      <c r="J6175"/>
    </row>
    <row r="6176" spans="6:10">
      <c r="F6176"/>
      <c r="G6176"/>
      <c r="H6176"/>
      <c r="I6176"/>
      <c r="J6176"/>
    </row>
    <row r="6177" spans="6:10">
      <c r="F6177"/>
      <c r="G6177"/>
      <c r="H6177"/>
      <c r="I6177"/>
      <c r="J6177"/>
    </row>
    <row r="6178" spans="6:10">
      <c r="F6178"/>
      <c r="G6178"/>
      <c r="H6178"/>
      <c r="I6178"/>
      <c r="J6178"/>
    </row>
    <row r="6179" spans="6:10">
      <c r="F6179"/>
      <c r="G6179"/>
      <c r="H6179"/>
      <c r="I6179"/>
      <c r="J6179"/>
    </row>
    <row r="6180" spans="6:10">
      <c r="F6180"/>
      <c r="G6180"/>
      <c r="H6180"/>
      <c r="I6180"/>
      <c r="J6180"/>
    </row>
    <row r="6181" spans="6:10">
      <c r="F6181"/>
      <c r="G6181"/>
      <c r="H6181"/>
      <c r="I6181"/>
      <c r="J6181"/>
    </row>
    <row r="6182" spans="6:10">
      <c r="F6182"/>
      <c r="G6182"/>
      <c r="H6182"/>
      <c r="I6182"/>
      <c r="J6182"/>
    </row>
    <row r="6183" spans="6:10">
      <c r="F6183"/>
      <c r="G6183"/>
      <c r="H6183"/>
      <c r="I6183"/>
      <c r="J6183"/>
    </row>
    <row r="6184" spans="6:10">
      <c r="F6184"/>
      <c r="G6184"/>
      <c r="H6184"/>
      <c r="I6184"/>
      <c r="J6184"/>
    </row>
    <row r="6185" spans="6:10">
      <c r="F6185"/>
      <c r="G6185"/>
      <c r="H6185"/>
      <c r="I6185"/>
      <c r="J6185"/>
    </row>
    <row r="6186" spans="6:10">
      <c r="F6186"/>
      <c r="G6186"/>
      <c r="H6186"/>
      <c r="I6186"/>
      <c r="J6186"/>
    </row>
    <row r="6187" spans="6:10">
      <c r="F6187"/>
      <c r="G6187"/>
      <c r="H6187"/>
      <c r="I6187"/>
      <c r="J6187"/>
    </row>
    <row r="6188" spans="6:10">
      <c r="F6188"/>
      <c r="G6188"/>
      <c r="H6188"/>
      <c r="I6188"/>
      <c r="J6188"/>
    </row>
    <row r="6189" spans="6:10">
      <c r="F6189"/>
      <c r="G6189"/>
      <c r="H6189"/>
      <c r="I6189"/>
      <c r="J6189"/>
    </row>
    <row r="6190" spans="6:10">
      <c r="F6190"/>
      <c r="G6190"/>
      <c r="H6190"/>
      <c r="I6190"/>
      <c r="J6190"/>
    </row>
    <row r="6191" spans="6:10">
      <c r="F6191"/>
      <c r="G6191"/>
      <c r="H6191"/>
      <c r="I6191"/>
      <c r="J6191"/>
    </row>
    <row r="6192" spans="6:10">
      <c r="F6192"/>
      <c r="G6192"/>
      <c r="H6192"/>
      <c r="I6192"/>
      <c r="J6192"/>
    </row>
    <row r="6193" spans="6:10">
      <c r="F6193"/>
      <c r="G6193"/>
      <c r="H6193"/>
      <c r="I6193"/>
      <c r="J6193"/>
    </row>
    <row r="6194" spans="6:10">
      <c r="F6194"/>
      <c r="G6194"/>
      <c r="H6194"/>
      <c r="I6194"/>
      <c r="J6194"/>
    </row>
    <row r="6195" spans="6:10">
      <c r="F6195"/>
      <c r="G6195"/>
      <c r="H6195"/>
      <c r="I6195"/>
      <c r="J6195"/>
    </row>
    <row r="6196" spans="6:10">
      <c r="F6196"/>
      <c r="G6196"/>
      <c r="H6196"/>
      <c r="I6196"/>
      <c r="J6196"/>
    </row>
    <row r="6197" spans="6:10">
      <c r="F6197"/>
      <c r="G6197"/>
      <c r="H6197"/>
      <c r="I6197"/>
      <c r="J6197"/>
    </row>
    <row r="6198" spans="6:10">
      <c r="F6198"/>
      <c r="G6198"/>
      <c r="H6198"/>
      <c r="I6198"/>
      <c r="J6198"/>
    </row>
    <row r="6199" spans="6:10">
      <c r="F6199"/>
      <c r="G6199"/>
      <c r="H6199"/>
      <c r="I6199"/>
      <c r="J6199"/>
    </row>
    <row r="6200" spans="6:10">
      <c r="F6200"/>
      <c r="G6200"/>
      <c r="H6200"/>
      <c r="I6200"/>
      <c r="J6200"/>
    </row>
    <row r="6201" spans="6:10">
      <c r="F6201"/>
      <c r="G6201"/>
      <c r="H6201"/>
      <c r="I6201"/>
      <c r="J6201"/>
    </row>
    <row r="6202" spans="6:10">
      <c r="F6202"/>
      <c r="G6202"/>
      <c r="H6202"/>
      <c r="I6202"/>
      <c r="J6202"/>
    </row>
    <row r="6203" spans="6:10">
      <c r="F6203"/>
      <c r="G6203"/>
      <c r="H6203"/>
      <c r="I6203"/>
      <c r="J6203"/>
    </row>
    <row r="6204" spans="6:10">
      <c r="F6204"/>
      <c r="G6204"/>
      <c r="H6204"/>
      <c r="I6204"/>
      <c r="J6204"/>
    </row>
    <row r="6205" spans="6:10">
      <c r="F6205"/>
      <c r="G6205"/>
      <c r="H6205"/>
      <c r="I6205"/>
      <c r="J6205"/>
    </row>
    <row r="6206" spans="6:10">
      <c r="F6206"/>
      <c r="G6206"/>
      <c r="H6206"/>
      <c r="I6206"/>
      <c r="J6206"/>
    </row>
    <row r="6207" spans="6:10">
      <c r="F6207"/>
      <c r="G6207"/>
      <c r="H6207"/>
      <c r="I6207"/>
      <c r="J6207"/>
    </row>
    <row r="6208" spans="6:10">
      <c r="F6208"/>
      <c r="G6208"/>
      <c r="H6208"/>
      <c r="I6208"/>
      <c r="J6208"/>
    </row>
    <row r="6209" spans="6:10">
      <c r="F6209"/>
      <c r="G6209"/>
      <c r="H6209"/>
      <c r="I6209"/>
      <c r="J6209"/>
    </row>
    <row r="6210" spans="6:10">
      <c r="F6210"/>
      <c r="G6210"/>
      <c r="H6210"/>
      <c r="I6210"/>
      <c r="J6210"/>
    </row>
    <row r="6211" spans="6:10">
      <c r="F6211"/>
      <c r="G6211"/>
      <c r="H6211"/>
      <c r="I6211"/>
      <c r="J6211"/>
    </row>
    <row r="6212" spans="6:10">
      <c r="F6212"/>
      <c r="G6212"/>
      <c r="H6212"/>
      <c r="I6212"/>
      <c r="J6212"/>
    </row>
    <row r="6213" spans="6:10">
      <c r="F6213"/>
      <c r="G6213"/>
      <c r="H6213"/>
      <c r="I6213"/>
      <c r="J6213"/>
    </row>
    <row r="6214" spans="6:10">
      <c r="F6214"/>
      <c r="G6214"/>
      <c r="H6214"/>
      <c r="I6214"/>
      <c r="J6214"/>
    </row>
    <row r="6215" spans="6:10">
      <c r="F6215"/>
      <c r="G6215"/>
      <c r="H6215"/>
      <c r="I6215"/>
      <c r="J6215"/>
    </row>
    <row r="6216" spans="6:10">
      <c r="F6216"/>
      <c r="G6216"/>
      <c r="H6216"/>
      <c r="I6216"/>
      <c r="J6216"/>
    </row>
    <row r="6217" spans="6:10">
      <c r="F6217"/>
      <c r="G6217"/>
      <c r="H6217"/>
      <c r="I6217"/>
      <c r="J6217"/>
    </row>
    <row r="6218" spans="6:10">
      <c r="F6218"/>
      <c r="G6218"/>
      <c r="H6218"/>
      <c r="I6218"/>
      <c r="J6218"/>
    </row>
    <row r="6219" spans="6:10">
      <c r="F6219"/>
      <c r="G6219"/>
      <c r="H6219"/>
      <c r="I6219"/>
      <c r="J6219"/>
    </row>
    <row r="6220" spans="6:10">
      <c r="F6220"/>
      <c r="G6220"/>
      <c r="H6220"/>
      <c r="I6220"/>
      <c r="J6220"/>
    </row>
    <row r="6221" spans="6:10">
      <c r="F6221"/>
      <c r="G6221"/>
      <c r="H6221"/>
      <c r="I6221"/>
      <c r="J6221"/>
    </row>
    <row r="6222" spans="6:10">
      <c r="F6222"/>
      <c r="G6222"/>
      <c r="H6222"/>
      <c r="I6222"/>
      <c r="J6222"/>
    </row>
    <row r="6223" spans="6:10">
      <c r="F6223"/>
      <c r="G6223"/>
      <c r="H6223"/>
      <c r="I6223"/>
      <c r="J6223"/>
    </row>
    <row r="6224" spans="6:10">
      <c r="F6224"/>
      <c r="G6224"/>
      <c r="H6224"/>
      <c r="I6224"/>
      <c r="J6224"/>
    </row>
    <row r="6225" spans="6:10">
      <c r="F6225"/>
      <c r="G6225"/>
      <c r="H6225"/>
      <c r="I6225"/>
      <c r="J6225"/>
    </row>
    <row r="6226" spans="6:10">
      <c r="F6226"/>
      <c r="G6226"/>
      <c r="H6226"/>
      <c r="I6226"/>
      <c r="J6226"/>
    </row>
    <row r="6227" spans="6:10">
      <c r="F6227"/>
      <c r="G6227"/>
      <c r="H6227"/>
      <c r="I6227"/>
      <c r="J6227"/>
    </row>
    <row r="6228" spans="6:10">
      <c r="F6228"/>
      <c r="G6228"/>
      <c r="H6228"/>
      <c r="I6228"/>
      <c r="J6228"/>
    </row>
    <row r="6229" spans="6:10">
      <c r="F6229"/>
      <c r="G6229"/>
      <c r="H6229"/>
      <c r="I6229"/>
      <c r="J6229"/>
    </row>
    <row r="6230" spans="6:10">
      <c r="F6230"/>
      <c r="G6230"/>
      <c r="H6230"/>
      <c r="I6230"/>
      <c r="J6230"/>
    </row>
    <row r="6231" spans="6:10">
      <c r="F6231"/>
      <c r="G6231"/>
      <c r="H6231"/>
      <c r="I6231"/>
      <c r="J6231"/>
    </row>
    <row r="6232" spans="6:10">
      <c r="F6232"/>
      <c r="G6232"/>
      <c r="H6232"/>
      <c r="I6232"/>
      <c r="J6232"/>
    </row>
    <row r="6233" spans="6:10">
      <c r="F6233"/>
      <c r="G6233"/>
      <c r="H6233"/>
      <c r="I6233"/>
      <c r="J6233"/>
    </row>
    <row r="6234" spans="6:10">
      <c r="F6234"/>
      <c r="G6234"/>
      <c r="H6234"/>
      <c r="I6234"/>
      <c r="J6234"/>
    </row>
    <row r="6235" spans="6:10">
      <c r="F6235"/>
      <c r="G6235"/>
      <c r="H6235"/>
      <c r="I6235"/>
      <c r="J6235"/>
    </row>
    <row r="6236" spans="6:10">
      <c r="F6236"/>
      <c r="G6236"/>
      <c r="H6236"/>
      <c r="I6236"/>
      <c r="J6236"/>
    </row>
    <row r="6237" spans="6:10">
      <c r="F6237"/>
      <c r="G6237"/>
      <c r="H6237"/>
      <c r="I6237"/>
      <c r="J6237"/>
    </row>
    <row r="6238" spans="6:10">
      <c r="F6238"/>
      <c r="G6238"/>
      <c r="H6238"/>
      <c r="I6238"/>
      <c r="J6238"/>
    </row>
    <row r="6239" spans="6:10">
      <c r="F6239"/>
      <c r="G6239"/>
      <c r="H6239"/>
      <c r="I6239"/>
      <c r="J6239"/>
    </row>
    <row r="6240" spans="6:10">
      <c r="F6240"/>
      <c r="G6240"/>
      <c r="H6240"/>
      <c r="I6240"/>
      <c r="J6240"/>
    </row>
    <row r="6241" spans="6:10">
      <c r="F6241"/>
      <c r="G6241"/>
      <c r="H6241"/>
      <c r="I6241"/>
      <c r="J6241"/>
    </row>
    <row r="6242" spans="6:10">
      <c r="F6242"/>
      <c r="G6242"/>
      <c r="H6242"/>
      <c r="I6242"/>
      <c r="J6242"/>
    </row>
    <row r="6243" spans="6:10">
      <c r="F6243"/>
      <c r="G6243"/>
      <c r="H6243"/>
      <c r="I6243"/>
      <c r="J6243"/>
    </row>
    <row r="6244" spans="6:10">
      <c r="F6244"/>
      <c r="G6244"/>
      <c r="H6244"/>
      <c r="I6244"/>
      <c r="J6244"/>
    </row>
    <row r="6245" spans="6:10">
      <c r="F6245"/>
      <c r="G6245"/>
      <c r="H6245"/>
      <c r="I6245"/>
      <c r="J6245"/>
    </row>
    <row r="6246" spans="6:10">
      <c r="F6246"/>
      <c r="G6246"/>
      <c r="H6246"/>
      <c r="I6246"/>
      <c r="J6246"/>
    </row>
    <row r="6247" spans="6:10">
      <c r="F6247"/>
      <c r="G6247"/>
      <c r="H6247"/>
      <c r="I6247"/>
      <c r="J6247"/>
    </row>
    <row r="6248" spans="6:10">
      <c r="F6248"/>
      <c r="G6248"/>
      <c r="H6248"/>
      <c r="I6248"/>
      <c r="J6248"/>
    </row>
    <row r="6249" spans="6:10">
      <c r="F6249"/>
      <c r="G6249"/>
      <c r="H6249"/>
      <c r="I6249"/>
      <c r="J6249"/>
    </row>
    <row r="6250" spans="6:10">
      <c r="F6250"/>
      <c r="G6250"/>
      <c r="H6250"/>
      <c r="I6250"/>
      <c r="J6250"/>
    </row>
    <row r="6251" spans="6:10">
      <c r="F6251"/>
      <c r="G6251"/>
      <c r="H6251"/>
      <c r="I6251"/>
      <c r="J6251"/>
    </row>
    <row r="6252" spans="6:10">
      <c r="F6252"/>
      <c r="G6252"/>
      <c r="H6252"/>
      <c r="I6252"/>
      <c r="J6252"/>
    </row>
    <row r="6253" spans="6:10">
      <c r="F6253"/>
      <c r="G6253"/>
      <c r="H6253"/>
      <c r="I6253"/>
      <c r="J6253"/>
    </row>
    <row r="6254" spans="6:10">
      <c r="F6254"/>
      <c r="G6254"/>
      <c r="H6254"/>
      <c r="I6254"/>
      <c r="J6254"/>
    </row>
    <row r="6255" spans="6:10">
      <c r="F6255"/>
      <c r="G6255"/>
      <c r="H6255"/>
      <c r="I6255"/>
      <c r="J6255"/>
    </row>
    <row r="6256" spans="6:10">
      <c r="F6256"/>
      <c r="G6256"/>
      <c r="H6256"/>
      <c r="I6256"/>
      <c r="J6256"/>
    </row>
    <row r="6257" spans="6:10">
      <c r="F6257"/>
      <c r="G6257"/>
      <c r="H6257"/>
      <c r="I6257"/>
      <c r="J6257"/>
    </row>
    <row r="6258" spans="6:10">
      <c r="F6258"/>
      <c r="G6258"/>
      <c r="H6258"/>
      <c r="I6258"/>
      <c r="J6258"/>
    </row>
    <row r="6259" spans="6:10">
      <c r="F6259"/>
      <c r="G6259"/>
      <c r="H6259"/>
      <c r="I6259"/>
      <c r="J6259"/>
    </row>
    <row r="6260" spans="6:10">
      <c r="F6260"/>
      <c r="G6260"/>
      <c r="H6260"/>
      <c r="I6260"/>
      <c r="J6260"/>
    </row>
    <row r="6261" spans="6:10">
      <c r="F6261"/>
      <c r="G6261"/>
      <c r="H6261"/>
      <c r="I6261"/>
      <c r="J6261"/>
    </row>
    <row r="6262" spans="6:10">
      <c r="F6262"/>
      <c r="G6262"/>
      <c r="H6262"/>
      <c r="I6262"/>
      <c r="J6262"/>
    </row>
    <row r="6263" spans="6:10">
      <c r="F6263"/>
      <c r="G6263"/>
      <c r="H6263"/>
      <c r="I6263"/>
      <c r="J6263"/>
    </row>
    <row r="6264" spans="6:10">
      <c r="F6264"/>
      <c r="G6264"/>
      <c r="H6264"/>
      <c r="I6264"/>
      <c r="J6264"/>
    </row>
    <row r="6265" spans="6:10">
      <c r="F6265"/>
      <c r="G6265"/>
      <c r="H6265"/>
      <c r="I6265"/>
      <c r="J6265"/>
    </row>
    <row r="6266" spans="6:10">
      <c r="F6266"/>
      <c r="G6266"/>
      <c r="H6266"/>
      <c r="I6266"/>
      <c r="J6266"/>
    </row>
    <row r="6267" spans="6:10">
      <c r="F6267"/>
      <c r="G6267"/>
      <c r="H6267"/>
      <c r="I6267"/>
      <c r="J6267"/>
    </row>
    <row r="6268" spans="6:10">
      <c r="F6268"/>
      <c r="G6268"/>
      <c r="H6268"/>
      <c r="I6268"/>
      <c r="J6268"/>
    </row>
    <row r="6269" spans="6:10">
      <c r="F6269"/>
      <c r="G6269"/>
      <c r="H6269"/>
      <c r="I6269"/>
      <c r="J6269"/>
    </row>
    <row r="6270" spans="6:10">
      <c r="F6270"/>
      <c r="G6270"/>
      <c r="H6270"/>
      <c r="I6270"/>
      <c r="J6270"/>
    </row>
    <row r="6271" spans="6:10">
      <c r="F6271"/>
      <c r="G6271"/>
      <c r="H6271"/>
      <c r="I6271"/>
      <c r="J6271"/>
    </row>
    <row r="6272" spans="6:10">
      <c r="F6272"/>
      <c r="G6272"/>
      <c r="H6272"/>
      <c r="I6272"/>
      <c r="J6272"/>
    </row>
    <row r="6273" spans="6:10">
      <c r="F6273"/>
      <c r="G6273"/>
      <c r="H6273"/>
      <c r="I6273"/>
      <c r="J6273"/>
    </row>
    <row r="6274" spans="6:10">
      <c r="F6274"/>
      <c r="G6274"/>
      <c r="H6274"/>
      <c r="I6274"/>
      <c r="J6274"/>
    </row>
    <row r="6275" spans="6:10">
      <c r="F6275"/>
      <c r="G6275"/>
      <c r="H6275"/>
      <c r="I6275"/>
      <c r="J6275"/>
    </row>
    <row r="6276" spans="6:10">
      <c r="F6276"/>
      <c r="G6276"/>
      <c r="H6276"/>
      <c r="I6276"/>
      <c r="J6276"/>
    </row>
    <row r="6277" spans="6:10">
      <c r="F6277"/>
      <c r="G6277"/>
      <c r="H6277"/>
      <c r="I6277"/>
      <c r="J6277"/>
    </row>
    <row r="6278" spans="6:10">
      <c r="F6278"/>
      <c r="G6278"/>
      <c r="H6278"/>
      <c r="I6278"/>
      <c r="J6278"/>
    </row>
    <row r="6279" spans="6:10">
      <c r="F6279"/>
      <c r="G6279"/>
      <c r="H6279"/>
      <c r="I6279"/>
      <c r="J6279"/>
    </row>
    <row r="6280" spans="6:10">
      <c r="F6280"/>
      <c r="G6280"/>
      <c r="H6280"/>
      <c r="I6280"/>
      <c r="J6280"/>
    </row>
    <row r="6281" spans="6:10">
      <c r="F6281"/>
      <c r="G6281"/>
      <c r="H6281"/>
      <c r="I6281"/>
      <c r="J6281"/>
    </row>
    <row r="6282" spans="6:10">
      <c r="F6282"/>
      <c r="G6282"/>
      <c r="H6282"/>
      <c r="I6282"/>
      <c r="J6282"/>
    </row>
    <row r="6283" spans="6:10">
      <c r="F6283"/>
      <c r="G6283"/>
      <c r="H6283"/>
      <c r="I6283"/>
      <c r="J6283"/>
    </row>
    <row r="6284" spans="6:10">
      <c r="F6284"/>
      <c r="G6284"/>
      <c r="H6284"/>
      <c r="I6284"/>
      <c r="J6284"/>
    </row>
    <row r="6285" spans="6:10">
      <c r="F6285"/>
      <c r="G6285"/>
      <c r="H6285"/>
      <c r="I6285"/>
      <c r="J6285"/>
    </row>
    <row r="6286" spans="6:10">
      <c r="F6286"/>
      <c r="G6286"/>
      <c r="H6286"/>
      <c r="I6286"/>
      <c r="J6286"/>
    </row>
    <row r="6287" spans="6:10">
      <c r="F6287"/>
      <c r="G6287"/>
      <c r="H6287"/>
      <c r="I6287"/>
      <c r="J6287"/>
    </row>
    <row r="6288" spans="6:10">
      <c r="F6288"/>
      <c r="G6288"/>
      <c r="H6288"/>
      <c r="I6288"/>
      <c r="J6288"/>
    </row>
    <row r="6289" spans="6:10">
      <c r="F6289"/>
      <c r="G6289"/>
      <c r="H6289"/>
      <c r="I6289"/>
      <c r="J6289"/>
    </row>
    <row r="6290" spans="6:10">
      <c r="F6290"/>
      <c r="G6290"/>
      <c r="H6290"/>
      <c r="I6290"/>
      <c r="J6290"/>
    </row>
    <row r="6291" spans="6:10">
      <c r="F6291"/>
      <c r="G6291"/>
      <c r="H6291"/>
      <c r="I6291"/>
      <c r="J6291"/>
    </row>
    <row r="6292" spans="6:10">
      <c r="F6292"/>
      <c r="G6292"/>
      <c r="H6292"/>
      <c r="I6292"/>
      <c r="J6292"/>
    </row>
    <row r="6293" spans="6:10">
      <c r="F6293"/>
      <c r="G6293"/>
      <c r="H6293"/>
      <c r="I6293"/>
      <c r="J6293"/>
    </row>
    <row r="6294" spans="6:10">
      <c r="F6294"/>
      <c r="G6294"/>
      <c r="H6294"/>
      <c r="I6294"/>
      <c r="J6294"/>
    </row>
    <row r="6295" spans="6:10">
      <c r="F6295"/>
      <c r="G6295"/>
      <c r="H6295"/>
      <c r="I6295"/>
      <c r="J6295"/>
    </row>
    <row r="6296" spans="6:10">
      <c r="F6296"/>
      <c r="G6296"/>
      <c r="H6296"/>
      <c r="I6296"/>
      <c r="J6296"/>
    </row>
    <row r="6297" spans="6:10">
      <c r="F6297"/>
      <c r="G6297"/>
      <c r="H6297"/>
      <c r="I6297"/>
      <c r="J6297"/>
    </row>
    <row r="6298" spans="6:10">
      <c r="F6298"/>
      <c r="G6298"/>
      <c r="H6298"/>
      <c r="I6298"/>
      <c r="J6298"/>
    </row>
    <row r="6299" spans="6:10">
      <c r="F6299"/>
      <c r="G6299"/>
      <c r="H6299"/>
      <c r="I6299"/>
      <c r="J6299"/>
    </row>
    <row r="6300" spans="6:10">
      <c r="F6300"/>
      <c r="G6300"/>
      <c r="H6300"/>
      <c r="I6300"/>
      <c r="J6300"/>
    </row>
    <row r="6301" spans="6:10">
      <c r="F6301"/>
      <c r="G6301"/>
      <c r="H6301"/>
      <c r="I6301"/>
      <c r="J6301"/>
    </row>
    <row r="6302" spans="6:10">
      <c r="F6302"/>
      <c r="G6302"/>
      <c r="H6302"/>
      <c r="I6302"/>
      <c r="J6302"/>
    </row>
    <row r="6303" spans="6:10">
      <c r="F6303"/>
      <c r="G6303"/>
      <c r="H6303"/>
      <c r="I6303"/>
      <c r="J6303"/>
    </row>
    <row r="6304" spans="6:10">
      <c r="F6304"/>
      <c r="G6304"/>
      <c r="H6304"/>
      <c r="I6304"/>
      <c r="J6304"/>
    </row>
    <row r="6305" spans="6:10">
      <c r="F6305"/>
      <c r="G6305"/>
      <c r="H6305"/>
      <c r="I6305"/>
      <c r="J6305"/>
    </row>
    <row r="6306" spans="6:10">
      <c r="F6306"/>
      <c r="G6306"/>
      <c r="H6306"/>
      <c r="I6306"/>
      <c r="J6306"/>
    </row>
    <row r="6307" spans="6:10">
      <c r="F6307"/>
      <c r="G6307"/>
      <c r="H6307"/>
      <c r="I6307"/>
      <c r="J6307"/>
    </row>
    <row r="6308" spans="6:10">
      <c r="F6308"/>
      <c r="G6308"/>
      <c r="H6308"/>
      <c r="I6308"/>
      <c r="J6308"/>
    </row>
    <row r="6309" spans="6:10">
      <c r="F6309"/>
      <c r="G6309"/>
      <c r="H6309"/>
      <c r="I6309"/>
      <c r="J6309"/>
    </row>
    <row r="6310" spans="6:10">
      <c r="F6310"/>
      <c r="G6310"/>
      <c r="H6310"/>
      <c r="I6310"/>
      <c r="J6310"/>
    </row>
    <row r="6311" spans="6:10">
      <c r="F6311"/>
      <c r="G6311"/>
      <c r="H6311"/>
      <c r="I6311"/>
      <c r="J6311"/>
    </row>
    <row r="6312" spans="6:10">
      <c r="F6312"/>
      <c r="G6312"/>
      <c r="H6312"/>
      <c r="I6312"/>
      <c r="J6312"/>
    </row>
    <row r="6313" spans="6:10">
      <c r="F6313"/>
      <c r="G6313"/>
      <c r="H6313"/>
      <c r="I6313"/>
      <c r="J6313"/>
    </row>
    <row r="6314" spans="6:10">
      <c r="F6314"/>
      <c r="G6314"/>
      <c r="H6314"/>
      <c r="I6314"/>
      <c r="J6314"/>
    </row>
    <row r="6315" spans="6:10">
      <c r="F6315"/>
      <c r="G6315"/>
      <c r="H6315"/>
      <c r="I6315"/>
      <c r="J6315"/>
    </row>
    <row r="6316" spans="6:10">
      <c r="F6316"/>
      <c r="G6316"/>
      <c r="H6316"/>
      <c r="I6316"/>
      <c r="J6316"/>
    </row>
    <row r="6317" spans="6:10">
      <c r="F6317"/>
      <c r="G6317"/>
      <c r="H6317"/>
      <c r="I6317"/>
      <c r="J6317"/>
    </row>
    <row r="6318" spans="6:10">
      <c r="F6318"/>
      <c r="G6318"/>
      <c r="H6318"/>
      <c r="I6318"/>
      <c r="J6318"/>
    </row>
    <row r="6319" spans="6:10">
      <c r="F6319"/>
      <c r="G6319"/>
      <c r="H6319"/>
      <c r="I6319"/>
      <c r="J6319"/>
    </row>
    <row r="6320" spans="6:10">
      <c r="F6320"/>
      <c r="G6320"/>
      <c r="H6320"/>
      <c r="I6320"/>
      <c r="J6320"/>
    </row>
    <row r="6321" spans="6:10">
      <c r="F6321"/>
      <c r="G6321"/>
      <c r="H6321"/>
      <c r="I6321"/>
      <c r="J6321"/>
    </row>
    <row r="6322" spans="6:10">
      <c r="F6322"/>
      <c r="G6322"/>
      <c r="H6322"/>
      <c r="I6322"/>
      <c r="J6322"/>
    </row>
    <row r="6323" spans="6:10">
      <c r="F6323"/>
      <c r="G6323"/>
      <c r="H6323"/>
      <c r="I6323"/>
      <c r="J6323"/>
    </row>
    <row r="6324" spans="6:10">
      <c r="F6324"/>
      <c r="G6324"/>
      <c r="H6324"/>
      <c r="I6324"/>
      <c r="J6324"/>
    </row>
    <row r="6325" spans="6:10">
      <c r="F6325"/>
      <c r="G6325"/>
      <c r="H6325"/>
      <c r="I6325"/>
      <c r="J6325"/>
    </row>
    <row r="6326" spans="6:10">
      <c r="F6326"/>
      <c r="G6326"/>
      <c r="H6326"/>
      <c r="I6326"/>
      <c r="J6326"/>
    </row>
    <row r="6327" spans="6:10">
      <c r="F6327"/>
      <c r="G6327"/>
      <c r="H6327"/>
      <c r="I6327"/>
      <c r="J6327"/>
    </row>
    <row r="6328" spans="6:10">
      <c r="F6328"/>
      <c r="G6328"/>
      <c r="H6328"/>
      <c r="I6328"/>
      <c r="J6328"/>
    </row>
    <row r="6329" spans="6:10">
      <c r="F6329"/>
      <c r="G6329"/>
      <c r="H6329"/>
      <c r="I6329"/>
      <c r="J6329"/>
    </row>
    <row r="6330" spans="6:10">
      <c r="F6330"/>
      <c r="G6330"/>
      <c r="H6330"/>
      <c r="I6330"/>
      <c r="J6330"/>
    </row>
    <row r="6331" spans="6:10">
      <c r="F6331"/>
      <c r="G6331"/>
      <c r="H6331"/>
      <c r="I6331"/>
      <c r="J6331"/>
    </row>
    <row r="6332" spans="6:10">
      <c r="F6332"/>
      <c r="G6332"/>
      <c r="H6332"/>
      <c r="I6332"/>
      <c r="J6332"/>
    </row>
    <row r="6333" spans="6:10">
      <c r="F6333"/>
      <c r="G6333"/>
      <c r="H6333"/>
      <c r="I6333"/>
      <c r="J6333"/>
    </row>
    <row r="6334" spans="6:10">
      <c r="F6334"/>
      <c r="G6334"/>
      <c r="H6334"/>
      <c r="I6334"/>
      <c r="J6334"/>
    </row>
    <row r="6335" spans="6:10">
      <c r="F6335"/>
      <c r="G6335"/>
      <c r="H6335"/>
      <c r="I6335"/>
      <c r="J6335"/>
    </row>
    <row r="6336" spans="6:10">
      <c r="F6336"/>
      <c r="G6336"/>
      <c r="H6336"/>
      <c r="I6336"/>
      <c r="J6336"/>
    </row>
    <row r="6337" spans="6:10">
      <c r="F6337"/>
      <c r="G6337"/>
      <c r="H6337"/>
      <c r="I6337"/>
      <c r="J6337"/>
    </row>
    <row r="6338" spans="6:10">
      <c r="F6338"/>
      <c r="G6338"/>
      <c r="H6338"/>
      <c r="I6338"/>
      <c r="J6338"/>
    </row>
    <row r="6339" spans="6:10">
      <c r="F6339"/>
      <c r="G6339"/>
      <c r="H6339"/>
      <c r="I6339"/>
      <c r="J6339"/>
    </row>
    <row r="6340" spans="6:10">
      <c r="F6340"/>
      <c r="G6340"/>
      <c r="H6340"/>
      <c r="I6340"/>
      <c r="J6340"/>
    </row>
    <row r="6341" spans="6:10">
      <c r="F6341"/>
      <c r="G6341"/>
      <c r="H6341"/>
      <c r="I6341"/>
      <c r="J6341"/>
    </row>
    <row r="6342" spans="6:10">
      <c r="F6342"/>
      <c r="G6342"/>
      <c r="H6342"/>
      <c r="I6342"/>
      <c r="J6342"/>
    </row>
    <row r="6343" spans="6:10">
      <c r="F6343"/>
      <c r="G6343"/>
      <c r="H6343"/>
      <c r="I6343"/>
      <c r="J6343"/>
    </row>
    <row r="6344" spans="6:10">
      <c r="F6344"/>
      <c r="G6344"/>
      <c r="H6344"/>
      <c r="I6344"/>
      <c r="J6344"/>
    </row>
    <row r="6345" spans="6:10">
      <c r="F6345"/>
      <c r="G6345"/>
      <c r="H6345"/>
      <c r="I6345"/>
      <c r="J6345"/>
    </row>
    <row r="6346" spans="6:10">
      <c r="F6346"/>
      <c r="G6346"/>
      <c r="H6346"/>
      <c r="I6346"/>
      <c r="J6346"/>
    </row>
    <row r="6347" spans="6:10">
      <c r="F6347"/>
      <c r="G6347"/>
      <c r="H6347"/>
      <c r="I6347"/>
      <c r="J6347"/>
    </row>
    <row r="6348" spans="6:10">
      <c r="F6348"/>
      <c r="G6348"/>
      <c r="H6348"/>
      <c r="I6348"/>
      <c r="J6348"/>
    </row>
    <row r="6349" spans="6:10">
      <c r="F6349"/>
      <c r="G6349"/>
      <c r="H6349"/>
      <c r="I6349"/>
      <c r="J6349"/>
    </row>
    <row r="6350" spans="6:10">
      <c r="F6350"/>
      <c r="G6350"/>
      <c r="H6350"/>
      <c r="I6350"/>
      <c r="J6350"/>
    </row>
    <row r="6351" spans="6:10">
      <c r="F6351"/>
      <c r="G6351"/>
      <c r="H6351"/>
      <c r="I6351"/>
      <c r="J6351"/>
    </row>
    <row r="6352" spans="6:10">
      <c r="F6352"/>
      <c r="G6352"/>
      <c r="H6352"/>
      <c r="I6352"/>
      <c r="J6352"/>
    </row>
    <row r="6353" spans="6:10">
      <c r="F6353"/>
      <c r="G6353"/>
      <c r="H6353"/>
      <c r="I6353"/>
      <c r="J6353"/>
    </row>
    <row r="6354" spans="6:10">
      <c r="F6354"/>
      <c r="G6354"/>
      <c r="H6354"/>
      <c r="I6354"/>
      <c r="J6354"/>
    </row>
    <row r="6355" spans="6:10">
      <c r="F6355"/>
      <c r="G6355"/>
      <c r="H6355"/>
      <c r="I6355"/>
      <c r="J6355"/>
    </row>
    <row r="6356" spans="6:10">
      <c r="F6356"/>
      <c r="G6356"/>
      <c r="H6356"/>
      <c r="I6356"/>
      <c r="J6356"/>
    </row>
    <row r="6357" spans="6:10">
      <c r="F6357"/>
      <c r="G6357"/>
      <c r="H6357"/>
      <c r="I6357"/>
      <c r="J6357"/>
    </row>
    <row r="6358" spans="6:10">
      <c r="F6358"/>
      <c r="G6358"/>
      <c r="H6358"/>
      <c r="I6358"/>
      <c r="J6358"/>
    </row>
    <row r="6359" spans="6:10">
      <c r="F6359"/>
      <c r="G6359"/>
      <c r="H6359"/>
      <c r="I6359"/>
      <c r="J6359"/>
    </row>
    <row r="6360" spans="6:10">
      <c r="F6360"/>
      <c r="G6360"/>
      <c r="H6360"/>
      <c r="I6360"/>
      <c r="J6360"/>
    </row>
    <row r="6361" spans="6:10">
      <c r="F6361"/>
      <c r="G6361"/>
      <c r="H6361"/>
      <c r="I6361"/>
      <c r="J6361"/>
    </row>
    <row r="6362" spans="6:10">
      <c r="F6362"/>
      <c r="G6362"/>
      <c r="H6362"/>
      <c r="I6362"/>
      <c r="J6362"/>
    </row>
    <row r="6363" spans="6:10">
      <c r="F6363"/>
      <c r="G6363"/>
      <c r="H6363"/>
      <c r="I6363"/>
      <c r="J6363"/>
    </row>
    <row r="6364" spans="6:10">
      <c r="F6364"/>
      <c r="G6364"/>
      <c r="H6364"/>
      <c r="I6364"/>
      <c r="J6364"/>
    </row>
    <row r="6365" spans="6:10">
      <c r="F6365"/>
      <c r="G6365"/>
      <c r="H6365"/>
      <c r="I6365"/>
      <c r="J6365"/>
    </row>
    <row r="6366" spans="6:10">
      <c r="F6366"/>
      <c r="G6366"/>
      <c r="H6366"/>
      <c r="I6366"/>
      <c r="J6366"/>
    </row>
    <row r="6367" spans="6:10">
      <c r="F6367"/>
      <c r="G6367"/>
      <c r="H6367"/>
      <c r="I6367"/>
      <c r="J6367"/>
    </row>
    <row r="6368" spans="6:10">
      <c r="F6368"/>
      <c r="G6368"/>
      <c r="H6368"/>
      <c r="I6368"/>
      <c r="J6368"/>
    </row>
    <row r="6369" spans="6:10">
      <c r="F6369"/>
      <c r="G6369"/>
      <c r="H6369"/>
      <c r="I6369"/>
      <c r="J6369"/>
    </row>
    <row r="6370" spans="6:10">
      <c r="F6370"/>
      <c r="G6370"/>
      <c r="H6370"/>
      <c r="I6370"/>
      <c r="J6370"/>
    </row>
    <row r="6371" spans="6:10">
      <c r="F6371"/>
      <c r="G6371"/>
      <c r="H6371"/>
      <c r="I6371"/>
      <c r="J6371"/>
    </row>
    <row r="6372" spans="6:10">
      <c r="F6372"/>
      <c r="G6372"/>
      <c r="H6372"/>
      <c r="I6372"/>
      <c r="J6372"/>
    </row>
    <row r="6373" spans="6:10">
      <c r="F6373"/>
      <c r="G6373"/>
      <c r="H6373"/>
      <c r="I6373"/>
      <c r="J6373"/>
    </row>
    <row r="6374" spans="6:10">
      <c r="F6374"/>
      <c r="G6374"/>
      <c r="H6374"/>
      <c r="I6374"/>
      <c r="J6374"/>
    </row>
    <row r="6375" spans="6:10">
      <c r="F6375"/>
      <c r="G6375"/>
      <c r="H6375"/>
      <c r="I6375"/>
      <c r="J6375"/>
    </row>
    <row r="6376" spans="6:10">
      <c r="F6376"/>
      <c r="G6376"/>
      <c r="H6376"/>
      <c r="I6376"/>
      <c r="J6376"/>
    </row>
    <row r="6377" spans="6:10">
      <c r="F6377"/>
      <c r="G6377"/>
      <c r="H6377"/>
      <c r="I6377"/>
      <c r="J6377"/>
    </row>
    <row r="6378" spans="6:10">
      <c r="F6378"/>
      <c r="G6378"/>
      <c r="H6378"/>
      <c r="I6378"/>
      <c r="J6378"/>
    </row>
    <row r="6379" spans="6:10">
      <c r="F6379"/>
      <c r="G6379"/>
      <c r="H6379"/>
      <c r="I6379"/>
      <c r="J6379"/>
    </row>
    <row r="6380" spans="6:10">
      <c r="F6380"/>
      <c r="G6380"/>
      <c r="H6380"/>
      <c r="I6380"/>
      <c r="J6380"/>
    </row>
    <row r="6381" spans="6:10">
      <c r="F6381"/>
      <c r="G6381"/>
      <c r="H6381"/>
      <c r="I6381"/>
      <c r="J6381"/>
    </row>
    <row r="6382" spans="6:10">
      <c r="F6382"/>
      <c r="G6382"/>
      <c r="H6382"/>
      <c r="I6382"/>
      <c r="J6382"/>
    </row>
    <row r="6383" spans="6:10">
      <c r="F6383"/>
      <c r="G6383"/>
      <c r="H6383"/>
      <c r="I6383"/>
      <c r="J6383"/>
    </row>
    <row r="6384" spans="6:10">
      <c r="F6384"/>
      <c r="G6384"/>
      <c r="H6384"/>
      <c r="I6384"/>
      <c r="J6384"/>
    </row>
    <row r="6385" spans="6:10">
      <c r="F6385"/>
      <c r="G6385"/>
      <c r="H6385"/>
      <c r="I6385"/>
      <c r="J6385"/>
    </row>
    <row r="6386" spans="6:10">
      <c r="F6386"/>
      <c r="G6386"/>
      <c r="H6386"/>
      <c r="I6386"/>
      <c r="J6386"/>
    </row>
    <row r="6387" spans="6:10">
      <c r="F6387"/>
      <c r="G6387"/>
      <c r="H6387"/>
      <c r="I6387"/>
      <c r="J6387"/>
    </row>
    <row r="6388" spans="6:10">
      <c r="F6388"/>
      <c r="G6388"/>
      <c r="H6388"/>
      <c r="I6388"/>
      <c r="J6388"/>
    </row>
    <row r="6389" spans="6:10">
      <c r="F6389"/>
      <c r="G6389"/>
      <c r="H6389"/>
      <c r="I6389"/>
      <c r="J6389"/>
    </row>
    <row r="6390" spans="6:10">
      <c r="F6390"/>
      <c r="G6390"/>
      <c r="H6390"/>
      <c r="I6390"/>
      <c r="J6390"/>
    </row>
    <row r="6391" spans="6:10">
      <c r="F6391"/>
      <c r="G6391"/>
      <c r="H6391"/>
      <c r="I6391"/>
      <c r="J6391"/>
    </row>
    <row r="6392" spans="6:10">
      <c r="F6392"/>
      <c r="G6392"/>
      <c r="H6392"/>
      <c r="I6392"/>
      <c r="J6392"/>
    </row>
    <row r="6393" spans="6:10">
      <c r="F6393"/>
      <c r="G6393"/>
      <c r="H6393"/>
      <c r="I6393"/>
      <c r="J6393"/>
    </row>
    <row r="6394" spans="6:10">
      <c r="F6394"/>
      <c r="G6394"/>
      <c r="H6394"/>
      <c r="I6394"/>
      <c r="J6394"/>
    </row>
    <row r="6395" spans="6:10">
      <c r="F6395"/>
      <c r="G6395"/>
      <c r="H6395"/>
      <c r="I6395"/>
      <c r="J6395"/>
    </row>
    <row r="6396" spans="6:10">
      <c r="F6396"/>
      <c r="G6396"/>
      <c r="H6396"/>
      <c r="I6396"/>
      <c r="J6396"/>
    </row>
    <row r="6397" spans="6:10">
      <c r="F6397"/>
      <c r="G6397"/>
      <c r="H6397"/>
      <c r="I6397"/>
      <c r="J6397"/>
    </row>
    <row r="6398" spans="6:10">
      <c r="F6398"/>
      <c r="G6398"/>
      <c r="H6398"/>
      <c r="I6398"/>
      <c r="J6398"/>
    </row>
    <row r="6399" spans="6:10">
      <c r="F6399"/>
      <c r="G6399"/>
      <c r="H6399"/>
      <c r="I6399"/>
      <c r="J6399"/>
    </row>
    <row r="6400" spans="6:10">
      <c r="F6400"/>
      <c r="G6400"/>
      <c r="H6400"/>
      <c r="I6400"/>
      <c r="J6400"/>
    </row>
    <row r="6401" spans="6:10">
      <c r="F6401"/>
      <c r="G6401"/>
      <c r="H6401"/>
      <c r="I6401"/>
      <c r="J6401"/>
    </row>
    <row r="6402" spans="6:10">
      <c r="F6402"/>
      <c r="G6402"/>
      <c r="H6402"/>
      <c r="I6402"/>
      <c r="J6402"/>
    </row>
    <row r="6403" spans="6:10">
      <c r="F6403"/>
      <c r="G6403"/>
      <c r="H6403"/>
      <c r="I6403"/>
      <c r="J6403"/>
    </row>
    <row r="6404" spans="6:10">
      <c r="F6404"/>
      <c r="G6404"/>
      <c r="H6404"/>
      <c r="I6404"/>
      <c r="J6404"/>
    </row>
    <row r="6405" spans="6:10">
      <c r="F6405"/>
      <c r="G6405"/>
      <c r="H6405"/>
      <c r="I6405"/>
      <c r="J6405"/>
    </row>
    <row r="6406" spans="6:10">
      <c r="F6406"/>
      <c r="G6406"/>
      <c r="H6406"/>
      <c r="I6406"/>
      <c r="J6406"/>
    </row>
    <row r="6407" spans="6:10">
      <c r="F6407"/>
      <c r="G6407"/>
      <c r="H6407"/>
      <c r="I6407"/>
      <c r="J6407"/>
    </row>
    <row r="6408" spans="6:10">
      <c r="F6408"/>
      <c r="G6408"/>
      <c r="H6408"/>
      <c r="I6408"/>
      <c r="J6408"/>
    </row>
    <row r="6409" spans="6:10">
      <c r="F6409"/>
      <c r="G6409"/>
      <c r="H6409"/>
      <c r="I6409"/>
      <c r="J6409"/>
    </row>
    <row r="6410" spans="6:10">
      <c r="F6410"/>
      <c r="G6410"/>
      <c r="H6410"/>
      <c r="I6410"/>
      <c r="J6410"/>
    </row>
    <row r="6411" spans="6:10">
      <c r="F6411"/>
      <c r="G6411"/>
      <c r="H6411"/>
      <c r="I6411"/>
      <c r="J6411"/>
    </row>
    <row r="6412" spans="6:10">
      <c r="F6412"/>
      <c r="G6412"/>
      <c r="H6412"/>
      <c r="I6412"/>
      <c r="J6412"/>
    </row>
    <row r="6413" spans="6:10">
      <c r="F6413"/>
      <c r="G6413"/>
      <c r="H6413"/>
      <c r="I6413"/>
      <c r="J6413"/>
    </row>
    <row r="6414" spans="6:10">
      <c r="F6414"/>
      <c r="G6414"/>
      <c r="H6414"/>
      <c r="I6414"/>
      <c r="J6414"/>
    </row>
    <row r="6415" spans="6:10">
      <c r="F6415"/>
      <c r="G6415"/>
      <c r="H6415"/>
      <c r="I6415"/>
      <c r="J6415"/>
    </row>
    <row r="6416" spans="6:10">
      <c r="F6416"/>
      <c r="G6416"/>
      <c r="H6416"/>
      <c r="I6416"/>
      <c r="J6416"/>
    </row>
    <row r="6417" spans="6:10">
      <c r="F6417"/>
      <c r="G6417"/>
      <c r="H6417"/>
      <c r="I6417"/>
      <c r="J6417"/>
    </row>
    <row r="6418" spans="6:10">
      <c r="F6418"/>
      <c r="G6418"/>
      <c r="H6418"/>
      <c r="I6418"/>
      <c r="J6418"/>
    </row>
    <row r="6419" spans="6:10">
      <c r="F6419"/>
      <c r="G6419"/>
      <c r="H6419"/>
      <c r="I6419"/>
      <c r="J6419"/>
    </row>
    <row r="6420" spans="6:10">
      <c r="F6420"/>
      <c r="G6420"/>
      <c r="H6420"/>
      <c r="I6420"/>
      <c r="J6420"/>
    </row>
    <row r="6421" spans="6:10">
      <c r="F6421"/>
      <c r="G6421"/>
      <c r="H6421"/>
      <c r="I6421"/>
      <c r="J6421"/>
    </row>
    <row r="6422" spans="6:10">
      <c r="F6422"/>
      <c r="G6422"/>
      <c r="H6422"/>
      <c r="I6422"/>
      <c r="J6422"/>
    </row>
    <row r="6423" spans="6:10">
      <c r="F6423"/>
      <c r="G6423"/>
      <c r="H6423"/>
      <c r="I6423"/>
      <c r="J6423"/>
    </row>
    <row r="6424" spans="6:10">
      <c r="F6424"/>
      <c r="G6424"/>
      <c r="H6424"/>
      <c r="I6424"/>
      <c r="J6424"/>
    </row>
    <row r="6425" spans="6:10">
      <c r="F6425"/>
      <c r="G6425"/>
      <c r="H6425"/>
      <c r="I6425"/>
      <c r="J6425"/>
    </row>
    <row r="6426" spans="6:10">
      <c r="F6426"/>
      <c r="G6426"/>
      <c r="H6426"/>
      <c r="I6426"/>
      <c r="J6426"/>
    </row>
    <row r="6427" spans="6:10">
      <c r="F6427"/>
      <c r="G6427"/>
      <c r="H6427"/>
      <c r="I6427"/>
      <c r="J6427"/>
    </row>
    <row r="6428" spans="6:10">
      <c r="F6428"/>
      <c r="G6428"/>
      <c r="H6428"/>
      <c r="I6428"/>
      <c r="J6428"/>
    </row>
    <row r="6429" spans="6:10">
      <c r="F6429"/>
      <c r="G6429"/>
      <c r="H6429"/>
      <c r="I6429"/>
      <c r="J6429"/>
    </row>
    <row r="6430" spans="6:10">
      <c r="F6430"/>
      <c r="G6430"/>
      <c r="H6430"/>
      <c r="I6430"/>
      <c r="J6430"/>
    </row>
    <row r="6431" spans="6:10">
      <c r="F6431"/>
      <c r="G6431"/>
      <c r="H6431"/>
      <c r="I6431"/>
      <c r="J6431"/>
    </row>
    <row r="6432" spans="6:10">
      <c r="F6432"/>
      <c r="G6432"/>
      <c r="H6432"/>
      <c r="I6432"/>
      <c r="J6432"/>
    </row>
    <row r="6433" spans="6:10">
      <c r="F6433"/>
      <c r="G6433"/>
      <c r="H6433"/>
      <c r="I6433"/>
      <c r="J6433"/>
    </row>
    <row r="6434" spans="6:10">
      <c r="F6434"/>
      <c r="G6434"/>
      <c r="H6434"/>
      <c r="I6434"/>
      <c r="J6434"/>
    </row>
    <row r="6435" spans="6:10">
      <c r="F6435"/>
      <c r="G6435"/>
      <c r="H6435"/>
      <c r="I6435"/>
      <c r="J6435"/>
    </row>
    <row r="6436" spans="6:10">
      <c r="F6436"/>
      <c r="G6436"/>
      <c r="H6436"/>
      <c r="I6436"/>
      <c r="J6436"/>
    </row>
    <row r="6437" spans="6:10">
      <c r="F6437"/>
      <c r="G6437"/>
      <c r="H6437"/>
      <c r="I6437"/>
      <c r="J6437"/>
    </row>
    <row r="6438" spans="6:10">
      <c r="F6438"/>
      <c r="G6438"/>
      <c r="H6438"/>
      <c r="I6438"/>
      <c r="J6438"/>
    </row>
    <row r="6439" spans="6:10">
      <c r="F6439"/>
      <c r="G6439"/>
      <c r="H6439"/>
      <c r="I6439"/>
      <c r="J6439"/>
    </row>
    <row r="6440" spans="6:10">
      <c r="F6440"/>
      <c r="G6440"/>
      <c r="H6440"/>
      <c r="I6440"/>
      <c r="J6440"/>
    </row>
    <row r="6441" spans="6:10">
      <c r="F6441"/>
      <c r="G6441"/>
      <c r="H6441"/>
      <c r="I6441"/>
      <c r="J6441"/>
    </row>
    <row r="6442" spans="6:10">
      <c r="F6442"/>
      <c r="G6442"/>
      <c r="H6442"/>
      <c r="I6442"/>
      <c r="J6442"/>
    </row>
    <row r="6443" spans="6:10">
      <c r="F6443"/>
      <c r="G6443"/>
      <c r="H6443"/>
      <c r="I6443"/>
      <c r="J6443"/>
    </row>
    <row r="6444" spans="6:10">
      <c r="F6444"/>
      <c r="G6444"/>
      <c r="H6444"/>
      <c r="I6444"/>
      <c r="J6444"/>
    </row>
    <row r="6445" spans="6:10">
      <c r="F6445"/>
      <c r="G6445"/>
      <c r="H6445"/>
      <c r="I6445"/>
      <c r="J6445"/>
    </row>
    <row r="6446" spans="6:10">
      <c r="F6446"/>
      <c r="G6446"/>
      <c r="H6446"/>
      <c r="I6446"/>
      <c r="J6446"/>
    </row>
    <row r="6447" spans="6:10">
      <c r="F6447"/>
      <c r="G6447"/>
      <c r="H6447"/>
      <c r="I6447"/>
      <c r="J6447"/>
    </row>
    <row r="6448" spans="6:10">
      <c r="F6448"/>
      <c r="G6448"/>
      <c r="H6448"/>
      <c r="I6448"/>
      <c r="J6448"/>
    </row>
    <row r="6449" spans="6:10">
      <c r="F6449"/>
      <c r="G6449"/>
      <c r="H6449"/>
      <c r="I6449"/>
      <c r="J6449"/>
    </row>
    <row r="6450" spans="6:10">
      <c r="F6450"/>
      <c r="G6450"/>
      <c r="H6450"/>
      <c r="I6450"/>
      <c r="J6450"/>
    </row>
    <row r="6451" spans="6:10">
      <c r="F6451"/>
      <c r="G6451"/>
      <c r="H6451"/>
      <c r="I6451"/>
      <c r="J6451"/>
    </row>
    <row r="6452" spans="6:10">
      <c r="F6452"/>
      <c r="G6452"/>
      <c r="H6452"/>
      <c r="I6452"/>
      <c r="J6452"/>
    </row>
    <row r="6453" spans="6:10">
      <c r="F6453"/>
      <c r="G6453"/>
      <c r="H6453"/>
      <c r="I6453"/>
      <c r="J6453"/>
    </row>
    <row r="6454" spans="6:10">
      <c r="F6454"/>
      <c r="G6454"/>
      <c r="H6454"/>
      <c r="I6454"/>
      <c r="J6454"/>
    </row>
    <row r="6455" spans="6:10">
      <c r="F6455"/>
      <c r="G6455"/>
      <c r="H6455"/>
      <c r="I6455"/>
      <c r="J6455"/>
    </row>
    <row r="6456" spans="6:10">
      <c r="F6456"/>
      <c r="G6456"/>
      <c r="H6456"/>
      <c r="I6456"/>
      <c r="J6456"/>
    </row>
    <row r="6457" spans="6:10">
      <c r="F6457"/>
      <c r="G6457"/>
      <c r="H6457"/>
      <c r="I6457"/>
      <c r="J6457"/>
    </row>
    <row r="6458" spans="6:10">
      <c r="F6458"/>
      <c r="G6458"/>
      <c r="H6458"/>
      <c r="I6458"/>
      <c r="J6458"/>
    </row>
    <row r="6459" spans="6:10">
      <c r="F6459"/>
      <c r="G6459"/>
      <c r="H6459"/>
      <c r="I6459"/>
      <c r="J6459"/>
    </row>
    <row r="6460" spans="6:10">
      <c r="F6460"/>
      <c r="G6460"/>
      <c r="H6460"/>
      <c r="I6460"/>
      <c r="J6460"/>
    </row>
    <row r="6461" spans="6:10">
      <c r="F6461"/>
      <c r="G6461"/>
      <c r="H6461"/>
      <c r="I6461"/>
      <c r="J6461"/>
    </row>
    <row r="6462" spans="6:10">
      <c r="F6462"/>
      <c r="G6462"/>
      <c r="H6462"/>
      <c r="I6462"/>
      <c r="J6462"/>
    </row>
    <row r="6463" spans="6:10">
      <c r="F6463"/>
      <c r="G6463"/>
      <c r="H6463"/>
      <c r="I6463"/>
      <c r="J6463"/>
    </row>
    <row r="6464" spans="6:10">
      <c r="F6464"/>
      <c r="G6464"/>
      <c r="H6464"/>
      <c r="I6464"/>
      <c r="J6464"/>
    </row>
    <row r="6465" spans="6:10">
      <c r="F6465"/>
      <c r="G6465"/>
      <c r="H6465"/>
      <c r="I6465"/>
      <c r="J6465"/>
    </row>
    <row r="6466" spans="6:10">
      <c r="F6466"/>
      <c r="G6466"/>
      <c r="H6466"/>
      <c r="I6466"/>
      <c r="J6466"/>
    </row>
    <row r="6467" spans="6:10">
      <c r="F6467"/>
      <c r="G6467"/>
      <c r="H6467"/>
      <c r="I6467"/>
      <c r="J6467"/>
    </row>
    <row r="6468" spans="6:10">
      <c r="F6468"/>
      <c r="G6468"/>
      <c r="H6468"/>
      <c r="I6468"/>
      <c r="J6468"/>
    </row>
    <row r="6469" spans="6:10">
      <c r="F6469"/>
      <c r="G6469"/>
      <c r="H6469"/>
      <c r="I6469"/>
      <c r="J6469"/>
    </row>
    <row r="6470" spans="6:10">
      <c r="F6470"/>
      <c r="G6470"/>
      <c r="H6470"/>
      <c r="I6470"/>
      <c r="J6470"/>
    </row>
    <row r="6471" spans="6:10">
      <c r="F6471"/>
      <c r="G6471"/>
      <c r="H6471"/>
      <c r="I6471"/>
      <c r="J6471"/>
    </row>
    <row r="6472" spans="6:10">
      <c r="F6472"/>
      <c r="G6472"/>
      <c r="H6472"/>
      <c r="I6472"/>
      <c r="J6472"/>
    </row>
    <row r="6473" spans="6:10">
      <c r="F6473"/>
      <c r="G6473"/>
      <c r="H6473"/>
      <c r="I6473"/>
      <c r="J6473"/>
    </row>
    <row r="6474" spans="6:10">
      <c r="F6474"/>
      <c r="G6474"/>
      <c r="H6474"/>
      <c r="I6474"/>
      <c r="J6474"/>
    </row>
    <row r="6475" spans="6:10">
      <c r="F6475"/>
      <c r="G6475"/>
      <c r="H6475"/>
      <c r="I6475"/>
      <c r="J6475"/>
    </row>
    <row r="6476" spans="6:10">
      <c r="F6476"/>
      <c r="G6476"/>
      <c r="H6476"/>
      <c r="I6476"/>
      <c r="J6476"/>
    </row>
    <row r="6477" spans="6:10">
      <c r="F6477"/>
      <c r="G6477"/>
      <c r="H6477"/>
      <c r="I6477"/>
      <c r="J6477"/>
    </row>
    <row r="6478" spans="6:10">
      <c r="F6478"/>
      <c r="G6478"/>
      <c r="H6478"/>
      <c r="I6478"/>
      <c r="J6478"/>
    </row>
    <row r="6479" spans="6:10">
      <c r="F6479"/>
      <c r="G6479"/>
      <c r="H6479"/>
      <c r="I6479"/>
      <c r="J6479"/>
    </row>
    <row r="6480" spans="6:10">
      <c r="F6480"/>
      <c r="G6480"/>
      <c r="H6480"/>
      <c r="I6480"/>
      <c r="J6480"/>
    </row>
    <row r="6481" spans="6:10">
      <c r="F6481"/>
      <c r="G6481"/>
      <c r="H6481"/>
      <c r="I6481"/>
      <c r="J6481"/>
    </row>
    <row r="6482" spans="6:10">
      <c r="F6482"/>
      <c r="G6482"/>
      <c r="H6482"/>
      <c r="I6482"/>
      <c r="J6482"/>
    </row>
    <row r="6483" spans="6:10">
      <c r="F6483"/>
      <c r="G6483"/>
      <c r="H6483"/>
      <c r="I6483"/>
      <c r="J6483"/>
    </row>
    <row r="6484" spans="6:10">
      <c r="F6484"/>
      <c r="G6484"/>
      <c r="H6484"/>
      <c r="I6484"/>
      <c r="J6484"/>
    </row>
    <row r="6485" spans="6:10">
      <c r="F6485"/>
      <c r="G6485"/>
      <c r="H6485"/>
      <c r="I6485"/>
      <c r="J6485"/>
    </row>
    <row r="6486" spans="6:10">
      <c r="F6486"/>
      <c r="G6486"/>
      <c r="H6486"/>
      <c r="I6486"/>
      <c r="J6486"/>
    </row>
    <row r="6487" spans="6:10">
      <c r="F6487"/>
      <c r="G6487"/>
      <c r="H6487"/>
      <c r="I6487"/>
      <c r="J6487"/>
    </row>
    <row r="6488" spans="6:10">
      <c r="F6488"/>
      <c r="G6488"/>
      <c r="H6488"/>
      <c r="I6488"/>
      <c r="J6488"/>
    </row>
    <row r="6489" spans="6:10">
      <c r="F6489"/>
      <c r="G6489"/>
      <c r="H6489"/>
      <c r="I6489"/>
      <c r="J6489"/>
    </row>
    <row r="6490" spans="6:10">
      <c r="F6490"/>
      <c r="G6490"/>
      <c r="H6490"/>
      <c r="I6490"/>
      <c r="J6490"/>
    </row>
    <row r="6491" spans="6:10">
      <c r="F6491"/>
      <c r="G6491"/>
      <c r="H6491"/>
      <c r="I6491"/>
      <c r="J6491"/>
    </row>
    <row r="6492" spans="6:10">
      <c r="F6492"/>
      <c r="G6492"/>
      <c r="H6492"/>
      <c r="I6492"/>
      <c r="J6492"/>
    </row>
    <row r="6493" spans="6:10">
      <c r="F6493"/>
      <c r="G6493"/>
      <c r="H6493"/>
      <c r="I6493"/>
      <c r="J6493"/>
    </row>
    <row r="6494" spans="6:10">
      <c r="F6494"/>
      <c r="G6494"/>
      <c r="H6494"/>
      <c r="I6494"/>
      <c r="J6494"/>
    </row>
    <row r="6495" spans="6:10">
      <c r="F6495"/>
      <c r="G6495"/>
      <c r="H6495"/>
      <c r="I6495"/>
      <c r="J6495"/>
    </row>
    <row r="6496" spans="6:10">
      <c r="F6496"/>
      <c r="G6496"/>
      <c r="H6496"/>
      <c r="I6496"/>
      <c r="J6496"/>
    </row>
    <row r="6497" spans="6:10">
      <c r="F6497"/>
      <c r="G6497"/>
      <c r="H6497"/>
      <c r="I6497"/>
      <c r="J6497"/>
    </row>
    <row r="6498" spans="6:10">
      <c r="F6498"/>
      <c r="G6498"/>
      <c r="H6498"/>
      <c r="I6498"/>
      <c r="J6498"/>
    </row>
    <row r="6499" spans="6:10">
      <c r="F6499"/>
      <c r="G6499"/>
      <c r="H6499"/>
      <c r="I6499"/>
      <c r="J6499"/>
    </row>
    <row r="6500" spans="6:10">
      <c r="F6500"/>
      <c r="G6500"/>
      <c r="H6500"/>
      <c r="I6500"/>
      <c r="J6500"/>
    </row>
    <row r="6501" spans="6:10">
      <c r="F6501"/>
      <c r="G6501"/>
      <c r="H6501"/>
      <c r="I6501"/>
      <c r="J6501"/>
    </row>
    <row r="6502" spans="6:10">
      <c r="F6502"/>
      <c r="G6502"/>
      <c r="H6502"/>
      <c r="I6502"/>
      <c r="J6502"/>
    </row>
    <row r="6503" spans="6:10">
      <c r="F6503"/>
      <c r="G6503"/>
      <c r="H6503"/>
      <c r="I6503"/>
      <c r="J6503"/>
    </row>
    <row r="6504" spans="6:10">
      <c r="F6504"/>
      <c r="G6504"/>
      <c r="H6504"/>
      <c r="I6504"/>
      <c r="J6504"/>
    </row>
    <row r="6505" spans="6:10">
      <c r="F6505"/>
      <c r="G6505"/>
      <c r="H6505"/>
      <c r="I6505"/>
      <c r="J6505"/>
    </row>
    <row r="6506" spans="6:10">
      <c r="F6506"/>
      <c r="G6506"/>
      <c r="H6506"/>
      <c r="I6506"/>
      <c r="J6506"/>
    </row>
    <row r="6507" spans="6:10">
      <c r="F6507"/>
      <c r="G6507"/>
      <c r="H6507"/>
      <c r="I6507"/>
      <c r="J6507"/>
    </row>
    <row r="6508" spans="6:10">
      <c r="F6508"/>
      <c r="G6508"/>
      <c r="H6508"/>
      <c r="I6508"/>
      <c r="J6508"/>
    </row>
    <row r="6509" spans="6:10">
      <c r="F6509"/>
      <c r="G6509"/>
      <c r="H6509"/>
      <c r="I6509"/>
      <c r="J6509"/>
    </row>
    <row r="6510" spans="6:10">
      <c r="F6510"/>
      <c r="G6510"/>
      <c r="H6510"/>
      <c r="I6510"/>
      <c r="J6510"/>
    </row>
    <row r="6511" spans="6:10">
      <c r="F6511"/>
      <c r="G6511"/>
      <c r="H6511"/>
      <c r="I6511"/>
      <c r="J6511"/>
    </row>
    <row r="6512" spans="6:10">
      <c r="F6512"/>
      <c r="G6512"/>
      <c r="H6512"/>
      <c r="I6512"/>
      <c r="J6512"/>
    </row>
    <row r="6513" spans="6:10">
      <c r="F6513"/>
      <c r="G6513"/>
      <c r="H6513"/>
      <c r="I6513"/>
      <c r="J6513"/>
    </row>
    <row r="6514" spans="6:10">
      <c r="F6514"/>
      <c r="G6514"/>
      <c r="H6514"/>
      <c r="I6514"/>
      <c r="J6514"/>
    </row>
    <row r="6515" spans="6:10">
      <c r="F6515"/>
      <c r="G6515"/>
      <c r="H6515"/>
      <c r="I6515"/>
      <c r="J6515"/>
    </row>
    <row r="6516" spans="6:10">
      <c r="F6516"/>
      <c r="G6516"/>
      <c r="H6516"/>
      <c r="I6516"/>
      <c r="J6516"/>
    </row>
    <row r="6517" spans="6:10">
      <c r="F6517"/>
      <c r="G6517"/>
      <c r="H6517"/>
      <c r="I6517"/>
      <c r="J6517"/>
    </row>
    <row r="6518" spans="6:10">
      <c r="F6518"/>
      <c r="G6518"/>
      <c r="H6518"/>
      <c r="I6518"/>
      <c r="J6518"/>
    </row>
    <row r="6519" spans="6:10">
      <c r="F6519"/>
      <c r="G6519"/>
      <c r="H6519"/>
      <c r="I6519"/>
      <c r="J6519"/>
    </row>
    <row r="6520" spans="6:10">
      <c r="F6520"/>
      <c r="G6520"/>
      <c r="H6520"/>
      <c r="I6520"/>
      <c r="J6520"/>
    </row>
    <row r="6521" spans="6:10">
      <c r="F6521"/>
      <c r="G6521"/>
      <c r="H6521"/>
      <c r="I6521"/>
      <c r="J6521"/>
    </row>
    <row r="6522" spans="6:10">
      <c r="F6522"/>
      <c r="G6522"/>
      <c r="H6522"/>
      <c r="I6522"/>
      <c r="J6522"/>
    </row>
    <row r="6523" spans="6:10">
      <c r="F6523"/>
      <c r="G6523"/>
      <c r="H6523"/>
      <c r="I6523"/>
      <c r="J6523"/>
    </row>
    <row r="6524" spans="6:10">
      <c r="F6524"/>
      <c r="G6524"/>
      <c r="H6524"/>
      <c r="I6524"/>
      <c r="J6524"/>
    </row>
    <row r="6525" spans="6:10">
      <c r="F6525"/>
      <c r="G6525"/>
      <c r="H6525"/>
      <c r="I6525"/>
      <c r="J6525"/>
    </row>
    <row r="6526" spans="6:10">
      <c r="F6526"/>
      <c r="G6526"/>
      <c r="H6526"/>
      <c r="I6526"/>
      <c r="J6526"/>
    </row>
    <row r="6527" spans="6:10">
      <c r="F6527"/>
      <c r="G6527"/>
      <c r="H6527"/>
      <c r="I6527"/>
      <c r="J6527"/>
    </row>
    <row r="6528" spans="6:10">
      <c r="F6528"/>
      <c r="G6528"/>
      <c r="H6528"/>
      <c r="I6528"/>
      <c r="J6528"/>
    </row>
    <row r="6529" spans="6:10">
      <c r="F6529"/>
      <c r="G6529"/>
      <c r="H6529"/>
      <c r="I6529"/>
      <c r="J6529"/>
    </row>
    <row r="6530" spans="6:10">
      <c r="F6530"/>
      <c r="G6530"/>
      <c r="H6530"/>
      <c r="I6530"/>
      <c r="J6530"/>
    </row>
    <row r="6531" spans="6:10">
      <c r="F6531"/>
      <c r="G6531"/>
      <c r="H6531"/>
      <c r="I6531"/>
      <c r="J6531"/>
    </row>
    <row r="6532" spans="6:10">
      <c r="F6532"/>
      <c r="G6532"/>
      <c r="H6532"/>
      <c r="I6532"/>
      <c r="J6532"/>
    </row>
    <row r="6533" spans="6:10">
      <c r="F6533"/>
      <c r="G6533"/>
      <c r="H6533"/>
      <c r="I6533"/>
      <c r="J6533"/>
    </row>
    <row r="6534" spans="6:10">
      <c r="F6534"/>
      <c r="G6534"/>
      <c r="H6534"/>
      <c r="I6534"/>
      <c r="J6534"/>
    </row>
    <row r="6535" spans="6:10">
      <c r="F6535"/>
      <c r="G6535"/>
      <c r="H6535"/>
      <c r="I6535"/>
      <c r="J6535"/>
    </row>
    <row r="6536" spans="6:10">
      <c r="F6536"/>
      <c r="G6536"/>
      <c r="H6536"/>
      <c r="I6536"/>
      <c r="J6536"/>
    </row>
    <row r="6537" spans="6:10">
      <c r="F6537"/>
      <c r="G6537"/>
      <c r="H6537"/>
      <c r="I6537"/>
      <c r="J6537"/>
    </row>
    <row r="6538" spans="6:10">
      <c r="F6538"/>
      <c r="G6538"/>
      <c r="H6538"/>
      <c r="I6538"/>
      <c r="J6538"/>
    </row>
    <row r="6539" spans="6:10">
      <c r="F6539"/>
      <c r="G6539"/>
      <c r="H6539"/>
      <c r="I6539"/>
      <c r="J6539"/>
    </row>
    <row r="6540" spans="6:10">
      <c r="F6540"/>
      <c r="G6540"/>
      <c r="H6540"/>
      <c r="I6540"/>
      <c r="J6540"/>
    </row>
    <row r="6541" spans="6:10">
      <c r="F6541"/>
      <c r="G6541"/>
      <c r="H6541"/>
      <c r="I6541"/>
      <c r="J6541"/>
    </row>
    <row r="6542" spans="6:10">
      <c r="F6542"/>
      <c r="G6542"/>
      <c r="H6542"/>
      <c r="I6542"/>
      <c r="J6542"/>
    </row>
    <row r="6543" spans="6:10">
      <c r="F6543"/>
      <c r="G6543"/>
      <c r="H6543"/>
      <c r="I6543"/>
      <c r="J6543"/>
    </row>
    <row r="6544" spans="6:10">
      <c r="F6544"/>
      <c r="G6544"/>
      <c r="H6544"/>
      <c r="I6544"/>
      <c r="J6544"/>
    </row>
    <row r="6545" spans="6:10">
      <c r="F6545"/>
      <c r="G6545"/>
      <c r="H6545"/>
      <c r="I6545"/>
      <c r="J6545"/>
    </row>
    <row r="6546" spans="6:10">
      <c r="F6546"/>
      <c r="G6546"/>
      <c r="H6546"/>
      <c r="I6546"/>
      <c r="J6546"/>
    </row>
    <row r="6547" spans="6:10">
      <c r="F6547"/>
      <c r="G6547"/>
      <c r="H6547"/>
      <c r="I6547"/>
      <c r="J6547"/>
    </row>
    <row r="6548" spans="6:10">
      <c r="F6548"/>
      <c r="G6548"/>
      <c r="H6548"/>
      <c r="I6548"/>
      <c r="J6548"/>
    </row>
    <row r="6549" spans="6:10">
      <c r="F6549"/>
      <c r="G6549"/>
      <c r="H6549"/>
      <c r="I6549"/>
      <c r="J6549"/>
    </row>
    <row r="6550" spans="6:10">
      <c r="F6550"/>
      <c r="G6550"/>
      <c r="H6550"/>
      <c r="I6550"/>
      <c r="J6550"/>
    </row>
    <row r="6551" spans="6:10">
      <c r="F6551"/>
      <c r="G6551"/>
      <c r="H6551"/>
      <c r="I6551"/>
      <c r="J6551"/>
    </row>
    <row r="6552" spans="6:10">
      <c r="F6552"/>
      <c r="G6552"/>
      <c r="H6552"/>
      <c r="I6552"/>
      <c r="J6552"/>
    </row>
    <row r="6553" spans="6:10">
      <c r="F6553"/>
      <c r="G6553"/>
      <c r="H6553"/>
      <c r="I6553"/>
      <c r="J6553"/>
    </row>
    <row r="6554" spans="6:10">
      <c r="F6554"/>
      <c r="G6554"/>
      <c r="H6554"/>
      <c r="I6554"/>
      <c r="J6554"/>
    </row>
    <row r="6555" spans="6:10">
      <c r="F6555"/>
      <c r="G6555"/>
      <c r="H6555"/>
      <c r="I6555"/>
      <c r="J6555"/>
    </row>
    <row r="6556" spans="6:10">
      <c r="F6556"/>
      <c r="G6556"/>
      <c r="H6556"/>
      <c r="I6556"/>
      <c r="J6556"/>
    </row>
    <row r="6557" spans="6:10">
      <c r="F6557"/>
      <c r="G6557"/>
      <c r="H6557"/>
      <c r="I6557"/>
      <c r="J6557"/>
    </row>
    <row r="6558" spans="6:10">
      <c r="F6558"/>
      <c r="G6558"/>
      <c r="H6558"/>
      <c r="I6558"/>
      <c r="J6558"/>
    </row>
    <row r="6559" spans="6:10">
      <c r="F6559"/>
      <c r="G6559"/>
      <c r="H6559"/>
      <c r="I6559"/>
      <c r="J6559"/>
    </row>
    <row r="6560" spans="6:10">
      <c r="F6560"/>
      <c r="G6560"/>
      <c r="H6560"/>
      <c r="I6560"/>
      <c r="J6560"/>
    </row>
    <row r="6561" spans="6:10">
      <c r="F6561"/>
      <c r="G6561"/>
      <c r="H6561"/>
      <c r="I6561"/>
      <c r="J6561"/>
    </row>
    <row r="6562" spans="6:10">
      <c r="F6562"/>
      <c r="G6562"/>
      <c r="H6562"/>
      <c r="I6562"/>
      <c r="J6562"/>
    </row>
    <row r="6563" spans="6:10">
      <c r="F6563"/>
      <c r="G6563"/>
      <c r="H6563"/>
      <c r="I6563"/>
      <c r="J6563"/>
    </row>
    <row r="6564" spans="6:10">
      <c r="F6564"/>
      <c r="G6564"/>
      <c r="H6564"/>
      <c r="I6564"/>
      <c r="J6564"/>
    </row>
    <row r="6565" spans="6:10">
      <c r="F6565"/>
      <c r="G6565"/>
      <c r="H6565"/>
      <c r="I6565"/>
      <c r="J6565"/>
    </row>
    <row r="6566" spans="6:10">
      <c r="F6566"/>
      <c r="G6566"/>
      <c r="H6566"/>
      <c r="I6566"/>
      <c r="J6566"/>
    </row>
    <row r="6567" spans="6:10">
      <c r="F6567"/>
      <c r="G6567"/>
      <c r="H6567"/>
      <c r="I6567"/>
      <c r="J6567"/>
    </row>
    <row r="6568" spans="6:10">
      <c r="F6568"/>
      <c r="G6568"/>
      <c r="H6568"/>
      <c r="I6568"/>
      <c r="J6568"/>
    </row>
    <row r="6569" spans="6:10">
      <c r="F6569"/>
      <c r="G6569"/>
      <c r="H6569"/>
      <c r="I6569"/>
      <c r="J6569"/>
    </row>
    <row r="6570" spans="6:10">
      <c r="F6570"/>
      <c r="G6570"/>
      <c r="H6570"/>
      <c r="I6570"/>
      <c r="J6570"/>
    </row>
    <row r="6571" spans="6:10">
      <c r="F6571"/>
      <c r="G6571"/>
      <c r="H6571"/>
      <c r="I6571"/>
      <c r="J6571"/>
    </row>
    <row r="6572" spans="6:10">
      <c r="F6572"/>
      <c r="G6572"/>
      <c r="H6572"/>
      <c r="I6572"/>
      <c r="J6572"/>
    </row>
    <row r="6573" spans="6:10">
      <c r="F6573"/>
      <c r="G6573"/>
      <c r="H6573"/>
      <c r="I6573"/>
      <c r="J6573"/>
    </row>
    <row r="6574" spans="6:10">
      <c r="F6574"/>
      <c r="G6574"/>
      <c r="H6574"/>
      <c r="I6574"/>
      <c r="J6574"/>
    </row>
    <row r="6575" spans="6:10">
      <c r="F6575"/>
      <c r="G6575"/>
      <c r="H6575"/>
      <c r="I6575"/>
      <c r="J6575"/>
    </row>
    <row r="6576" spans="6:10">
      <c r="F6576"/>
      <c r="G6576"/>
      <c r="H6576"/>
      <c r="I6576"/>
      <c r="J6576"/>
    </row>
    <row r="6577" spans="6:10">
      <c r="F6577"/>
      <c r="G6577"/>
      <c r="H6577"/>
      <c r="I6577"/>
      <c r="J6577"/>
    </row>
    <row r="6578" spans="6:10">
      <c r="F6578"/>
      <c r="G6578"/>
      <c r="H6578"/>
      <c r="I6578"/>
      <c r="J6578"/>
    </row>
    <row r="6579" spans="6:10">
      <c r="F6579"/>
      <c r="G6579"/>
      <c r="H6579"/>
      <c r="I6579"/>
      <c r="J6579"/>
    </row>
    <row r="6580" spans="6:10">
      <c r="F6580"/>
      <c r="G6580"/>
      <c r="H6580"/>
      <c r="I6580"/>
      <c r="J6580"/>
    </row>
    <row r="6581" spans="6:10">
      <c r="F6581"/>
      <c r="G6581"/>
      <c r="H6581"/>
      <c r="I6581"/>
      <c r="J6581"/>
    </row>
    <row r="6582" spans="6:10">
      <c r="F6582"/>
      <c r="G6582"/>
      <c r="H6582"/>
      <c r="I6582"/>
      <c r="J6582"/>
    </row>
    <row r="6583" spans="6:10">
      <c r="F6583"/>
      <c r="G6583"/>
      <c r="H6583"/>
      <c r="I6583"/>
      <c r="J6583"/>
    </row>
    <row r="6584" spans="6:10">
      <c r="F6584"/>
      <c r="G6584"/>
      <c r="H6584"/>
      <c r="I6584"/>
      <c r="J6584"/>
    </row>
    <row r="6585" spans="6:10">
      <c r="F6585"/>
      <c r="G6585"/>
      <c r="H6585"/>
      <c r="I6585"/>
      <c r="J6585"/>
    </row>
    <row r="6586" spans="6:10">
      <c r="F6586"/>
      <c r="G6586"/>
      <c r="H6586"/>
      <c r="I6586"/>
      <c r="J6586"/>
    </row>
    <row r="6587" spans="6:10">
      <c r="F6587"/>
      <c r="G6587"/>
      <c r="H6587"/>
      <c r="I6587"/>
      <c r="J6587"/>
    </row>
    <row r="6588" spans="6:10">
      <c r="F6588"/>
      <c r="G6588"/>
      <c r="H6588"/>
      <c r="I6588"/>
      <c r="J6588"/>
    </row>
    <row r="6589" spans="6:10">
      <c r="F6589"/>
      <c r="G6589"/>
      <c r="H6589"/>
      <c r="I6589"/>
      <c r="J6589"/>
    </row>
    <row r="6590" spans="6:10">
      <c r="F6590"/>
      <c r="G6590"/>
      <c r="H6590"/>
      <c r="I6590"/>
      <c r="J6590"/>
    </row>
    <row r="6591" spans="6:10">
      <c r="F6591"/>
      <c r="G6591"/>
      <c r="H6591"/>
      <c r="I6591"/>
      <c r="J6591"/>
    </row>
    <row r="6592" spans="6:10">
      <c r="F6592"/>
      <c r="G6592"/>
      <c r="H6592"/>
      <c r="I6592"/>
      <c r="J6592"/>
    </row>
    <row r="6593" spans="6:10">
      <c r="F6593"/>
      <c r="G6593"/>
      <c r="H6593"/>
      <c r="I6593"/>
      <c r="J6593"/>
    </row>
    <row r="6594" spans="6:10">
      <c r="F6594"/>
      <c r="G6594"/>
      <c r="H6594"/>
      <c r="I6594"/>
      <c r="J6594"/>
    </row>
    <row r="6595" spans="6:10">
      <c r="F6595"/>
      <c r="G6595"/>
      <c r="H6595"/>
      <c r="I6595"/>
      <c r="J6595"/>
    </row>
    <row r="6596" spans="6:10">
      <c r="F6596"/>
      <c r="G6596"/>
      <c r="H6596"/>
      <c r="I6596"/>
      <c r="J6596"/>
    </row>
    <row r="6597" spans="6:10">
      <c r="F6597"/>
      <c r="G6597"/>
      <c r="H6597"/>
      <c r="I6597"/>
      <c r="J6597"/>
    </row>
    <row r="6598" spans="6:10">
      <c r="F6598"/>
      <c r="G6598"/>
      <c r="H6598"/>
      <c r="I6598"/>
      <c r="J6598"/>
    </row>
    <row r="6599" spans="6:10">
      <c r="F6599"/>
      <c r="G6599"/>
      <c r="H6599"/>
      <c r="I6599"/>
      <c r="J6599"/>
    </row>
    <row r="6600" spans="6:10">
      <c r="F6600"/>
      <c r="G6600"/>
      <c r="H6600"/>
      <c r="I6600"/>
      <c r="J6600"/>
    </row>
    <row r="6601" spans="6:10">
      <c r="F6601"/>
      <c r="G6601"/>
      <c r="H6601"/>
      <c r="I6601"/>
      <c r="J6601"/>
    </row>
    <row r="6602" spans="6:10">
      <c r="F6602"/>
      <c r="G6602"/>
      <c r="H6602"/>
      <c r="I6602"/>
      <c r="J6602"/>
    </row>
    <row r="6603" spans="6:10">
      <c r="F6603"/>
      <c r="G6603"/>
      <c r="H6603"/>
      <c r="I6603"/>
      <c r="J6603"/>
    </row>
    <row r="6604" spans="6:10">
      <c r="F6604"/>
      <c r="G6604"/>
      <c r="H6604"/>
      <c r="I6604"/>
      <c r="J6604"/>
    </row>
    <row r="6605" spans="6:10">
      <c r="F6605"/>
      <c r="G6605"/>
      <c r="H6605"/>
      <c r="I6605"/>
      <c r="J6605"/>
    </row>
    <row r="6606" spans="6:10">
      <c r="F6606"/>
      <c r="G6606"/>
      <c r="H6606"/>
      <c r="I6606"/>
      <c r="J6606"/>
    </row>
    <row r="6607" spans="6:10">
      <c r="F6607"/>
      <c r="G6607"/>
      <c r="H6607"/>
      <c r="I6607"/>
      <c r="J6607"/>
    </row>
    <row r="6608" spans="6:10">
      <c r="F6608"/>
      <c r="G6608"/>
      <c r="H6608"/>
      <c r="I6608"/>
      <c r="J6608"/>
    </row>
    <row r="6609" spans="6:10">
      <c r="F6609"/>
      <c r="G6609"/>
      <c r="H6609"/>
      <c r="I6609"/>
      <c r="J6609"/>
    </row>
    <row r="6610" spans="6:10">
      <c r="F6610"/>
      <c r="G6610"/>
      <c r="H6610"/>
      <c r="I6610"/>
      <c r="J6610"/>
    </row>
    <row r="6611" spans="6:10">
      <c r="F6611"/>
      <c r="G6611"/>
      <c r="H6611"/>
      <c r="I6611"/>
      <c r="J6611"/>
    </row>
    <row r="6612" spans="6:10">
      <c r="F6612"/>
      <c r="G6612"/>
      <c r="H6612"/>
      <c r="I6612"/>
      <c r="J6612"/>
    </row>
    <row r="6613" spans="6:10">
      <c r="F6613"/>
      <c r="G6613"/>
      <c r="H6613"/>
      <c r="I6613"/>
      <c r="J6613"/>
    </row>
    <row r="6614" spans="6:10">
      <c r="F6614"/>
      <c r="G6614"/>
      <c r="H6614"/>
      <c r="I6614"/>
      <c r="J6614"/>
    </row>
    <row r="6615" spans="6:10">
      <c r="F6615"/>
      <c r="G6615"/>
      <c r="H6615"/>
      <c r="I6615"/>
      <c r="J6615"/>
    </row>
    <row r="6616" spans="6:10">
      <c r="F6616"/>
      <c r="G6616"/>
      <c r="H6616"/>
      <c r="I6616"/>
      <c r="J6616"/>
    </row>
    <row r="6617" spans="6:10">
      <c r="F6617"/>
      <c r="G6617"/>
      <c r="H6617"/>
      <c r="I6617"/>
      <c r="J6617"/>
    </row>
    <row r="6618" spans="6:10">
      <c r="F6618"/>
      <c r="G6618"/>
      <c r="H6618"/>
      <c r="I6618"/>
      <c r="J6618"/>
    </row>
    <row r="6619" spans="6:10">
      <c r="F6619"/>
      <c r="G6619"/>
      <c r="H6619"/>
      <c r="I6619"/>
      <c r="J6619"/>
    </row>
    <row r="6620" spans="6:10">
      <c r="F6620"/>
      <c r="G6620"/>
      <c r="H6620"/>
      <c r="I6620"/>
      <c r="J6620"/>
    </row>
    <row r="6621" spans="6:10">
      <c r="F6621"/>
      <c r="G6621"/>
      <c r="H6621"/>
      <c r="I6621"/>
      <c r="J6621"/>
    </row>
    <row r="6622" spans="6:10">
      <c r="F6622"/>
      <c r="G6622"/>
      <c r="H6622"/>
      <c r="I6622"/>
      <c r="J6622"/>
    </row>
    <row r="6623" spans="6:10">
      <c r="F6623"/>
      <c r="G6623"/>
      <c r="H6623"/>
      <c r="I6623"/>
      <c r="J6623"/>
    </row>
    <row r="6624" spans="6:10">
      <c r="F6624"/>
      <c r="G6624"/>
      <c r="H6624"/>
      <c r="I6624"/>
      <c r="J6624"/>
    </row>
    <row r="6625" spans="6:10">
      <c r="F6625"/>
      <c r="G6625"/>
      <c r="H6625"/>
      <c r="I6625"/>
      <c r="J6625"/>
    </row>
    <row r="6626" spans="6:10">
      <c r="F6626"/>
      <c r="G6626"/>
      <c r="H6626"/>
      <c r="I6626"/>
      <c r="J6626"/>
    </row>
    <row r="6627" spans="6:10">
      <c r="F6627"/>
      <c r="G6627"/>
      <c r="H6627"/>
      <c r="I6627"/>
      <c r="J6627"/>
    </row>
    <row r="6628" spans="6:10">
      <c r="F6628"/>
      <c r="G6628"/>
      <c r="H6628"/>
      <c r="I6628"/>
      <c r="J6628"/>
    </row>
    <row r="6629" spans="6:10">
      <c r="F6629"/>
      <c r="G6629"/>
      <c r="H6629"/>
      <c r="I6629"/>
      <c r="J6629"/>
    </row>
    <row r="6630" spans="6:10">
      <c r="F6630"/>
      <c r="G6630"/>
      <c r="H6630"/>
      <c r="I6630"/>
      <c r="J6630"/>
    </row>
    <row r="6631" spans="6:10">
      <c r="F6631"/>
      <c r="G6631"/>
      <c r="H6631"/>
      <c r="I6631"/>
      <c r="J6631"/>
    </row>
    <row r="6632" spans="6:10">
      <c r="F6632"/>
      <c r="G6632"/>
      <c r="H6632"/>
      <c r="I6632"/>
      <c r="J6632"/>
    </row>
    <row r="6633" spans="6:10">
      <c r="F6633"/>
      <c r="G6633"/>
      <c r="H6633"/>
      <c r="I6633"/>
      <c r="J6633"/>
    </row>
    <row r="6634" spans="6:10">
      <c r="F6634"/>
      <c r="G6634"/>
      <c r="H6634"/>
      <c r="I6634"/>
      <c r="J6634"/>
    </row>
    <row r="6635" spans="6:10">
      <c r="F6635"/>
      <c r="G6635"/>
      <c r="H6635"/>
      <c r="I6635"/>
      <c r="J6635"/>
    </row>
    <row r="6636" spans="6:10">
      <c r="F6636"/>
      <c r="G6636"/>
      <c r="H6636"/>
      <c r="I6636"/>
      <c r="J6636"/>
    </row>
    <row r="6637" spans="6:10">
      <c r="F6637"/>
      <c r="G6637"/>
      <c r="H6637"/>
      <c r="I6637"/>
      <c r="J6637"/>
    </row>
    <row r="6638" spans="6:10">
      <c r="F6638"/>
      <c r="G6638"/>
      <c r="H6638"/>
      <c r="I6638"/>
      <c r="J6638"/>
    </row>
    <row r="6639" spans="6:10">
      <c r="F6639"/>
      <c r="G6639"/>
      <c r="H6639"/>
      <c r="I6639"/>
      <c r="J6639"/>
    </row>
    <row r="6640" spans="6:10">
      <c r="F6640"/>
      <c r="G6640"/>
      <c r="H6640"/>
      <c r="I6640"/>
      <c r="J6640"/>
    </row>
    <row r="6641" spans="6:10">
      <c r="F6641"/>
      <c r="G6641"/>
      <c r="H6641"/>
      <c r="I6641"/>
      <c r="J6641"/>
    </row>
    <row r="6642" spans="6:10">
      <c r="F6642"/>
      <c r="G6642"/>
      <c r="H6642"/>
      <c r="I6642"/>
      <c r="J6642"/>
    </row>
    <row r="6643" spans="6:10">
      <c r="F6643"/>
      <c r="G6643"/>
      <c r="H6643"/>
      <c r="I6643"/>
      <c r="J6643"/>
    </row>
    <row r="6644" spans="6:10">
      <c r="F6644"/>
      <c r="G6644"/>
      <c r="H6644"/>
      <c r="I6644"/>
      <c r="J6644"/>
    </row>
    <row r="6645" spans="6:10">
      <c r="F6645"/>
      <c r="G6645"/>
      <c r="H6645"/>
      <c r="I6645"/>
      <c r="J6645"/>
    </row>
    <row r="6646" spans="6:10">
      <c r="F6646"/>
      <c r="G6646"/>
      <c r="H6646"/>
      <c r="I6646"/>
      <c r="J6646"/>
    </row>
    <row r="6647" spans="6:10">
      <c r="F6647"/>
      <c r="G6647"/>
      <c r="H6647"/>
      <c r="I6647"/>
      <c r="J6647"/>
    </row>
    <row r="6648" spans="6:10">
      <c r="F6648"/>
      <c r="G6648"/>
      <c r="H6648"/>
      <c r="I6648"/>
      <c r="J6648"/>
    </row>
    <row r="6649" spans="6:10">
      <c r="F6649"/>
      <c r="G6649"/>
      <c r="H6649"/>
      <c r="I6649"/>
      <c r="J6649"/>
    </row>
    <row r="6650" spans="6:10">
      <c r="F6650"/>
      <c r="G6650"/>
      <c r="H6650"/>
      <c r="I6650"/>
      <c r="J6650"/>
    </row>
    <row r="6651" spans="6:10">
      <c r="F6651"/>
      <c r="G6651"/>
      <c r="H6651"/>
      <c r="I6651"/>
      <c r="J6651"/>
    </row>
    <row r="6652" spans="6:10">
      <c r="F6652"/>
      <c r="G6652"/>
      <c r="H6652"/>
      <c r="I6652"/>
      <c r="J6652"/>
    </row>
    <row r="6653" spans="6:10">
      <c r="F6653"/>
      <c r="G6653"/>
      <c r="H6653"/>
      <c r="I6653"/>
      <c r="J6653"/>
    </row>
    <row r="6654" spans="6:10">
      <c r="F6654"/>
      <c r="G6654"/>
      <c r="H6654"/>
      <c r="I6654"/>
      <c r="J6654"/>
    </row>
    <row r="6655" spans="6:10">
      <c r="F6655"/>
      <c r="G6655"/>
      <c r="H6655"/>
      <c r="I6655"/>
      <c r="J6655"/>
    </row>
    <row r="6656" spans="6:10">
      <c r="F6656"/>
      <c r="G6656"/>
      <c r="H6656"/>
      <c r="I6656"/>
      <c r="J6656"/>
    </row>
    <row r="6657" spans="6:10">
      <c r="F6657"/>
      <c r="G6657"/>
      <c r="H6657"/>
      <c r="I6657"/>
      <c r="J6657"/>
    </row>
    <row r="6658" spans="6:10">
      <c r="F6658"/>
      <c r="G6658"/>
      <c r="H6658"/>
      <c r="I6658"/>
      <c r="J6658"/>
    </row>
    <row r="6659" spans="6:10">
      <c r="F6659"/>
      <c r="G6659"/>
      <c r="H6659"/>
      <c r="I6659"/>
      <c r="J6659"/>
    </row>
    <row r="6660" spans="6:10">
      <c r="F6660"/>
      <c r="G6660"/>
      <c r="H6660"/>
      <c r="I6660"/>
      <c r="J6660"/>
    </row>
    <row r="6661" spans="6:10">
      <c r="F6661"/>
      <c r="G6661"/>
      <c r="H6661"/>
      <c r="I6661"/>
      <c r="J6661"/>
    </row>
    <row r="6662" spans="6:10">
      <c r="F6662"/>
      <c r="G6662"/>
      <c r="H6662"/>
      <c r="I6662"/>
      <c r="J6662"/>
    </row>
    <row r="6663" spans="6:10">
      <c r="F6663"/>
      <c r="G6663"/>
      <c r="H6663"/>
      <c r="I6663"/>
      <c r="J6663"/>
    </row>
    <row r="6664" spans="6:10">
      <c r="F6664"/>
      <c r="G6664"/>
      <c r="H6664"/>
      <c r="I6664"/>
      <c r="J6664"/>
    </row>
    <row r="6665" spans="6:10">
      <c r="F6665"/>
      <c r="G6665"/>
      <c r="H6665"/>
      <c r="I6665"/>
      <c r="J6665"/>
    </row>
    <row r="6666" spans="6:10">
      <c r="F6666"/>
      <c r="G6666"/>
      <c r="H6666"/>
      <c r="I6666"/>
      <c r="J6666"/>
    </row>
    <row r="6667" spans="6:10">
      <c r="F6667"/>
      <c r="G6667"/>
      <c r="H6667"/>
      <c r="I6667"/>
      <c r="J6667"/>
    </row>
    <row r="6668" spans="6:10">
      <c r="F6668"/>
      <c r="G6668"/>
      <c r="H6668"/>
      <c r="I6668"/>
      <c r="J6668"/>
    </row>
    <row r="6669" spans="6:10">
      <c r="F6669"/>
      <c r="G6669"/>
      <c r="H6669"/>
      <c r="I6669"/>
      <c r="J6669"/>
    </row>
    <row r="6670" spans="6:10">
      <c r="F6670"/>
      <c r="G6670"/>
      <c r="H6670"/>
      <c r="I6670"/>
      <c r="J6670"/>
    </row>
    <row r="6671" spans="6:10">
      <c r="F6671"/>
      <c r="G6671"/>
      <c r="H6671"/>
      <c r="I6671"/>
      <c r="J6671"/>
    </row>
    <row r="6672" spans="6:10">
      <c r="F6672"/>
      <c r="G6672"/>
      <c r="H6672"/>
      <c r="I6672"/>
      <c r="J6672"/>
    </row>
    <row r="6673" spans="6:10">
      <c r="F6673"/>
      <c r="G6673"/>
      <c r="H6673"/>
      <c r="I6673"/>
      <c r="J6673"/>
    </row>
    <row r="6674" spans="6:10">
      <c r="F6674"/>
      <c r="G6674"/>
      <c r="H6674"/>
      <c r="I6674"/>
      <c r="J6674"/>
    </row>
    <row r="6675" spans="6:10">
      <c r="F6675"/>
      <c r="G6675"/>
      <c r="H6675"/>
      <c r="I6675"/>
      <c r="J6675"/>
    </row>
    <row r="6676" spans="6:10">
      <c r="F6676"/>
      <c r="G6676"/>
      <c r="H6676"/>
      <c r="I6676"/>
      <c r="J6676"/>
    </row>
    <row r="6677" spans="6:10">
      <c r="F6677"/>
      <c r="G6677"/>
      <c r="H6677"/>
      <c r="I6677"/>
      <c r="J6677"/>
    </row>
    <row r="6678" spans="6:10">
      <c r="F6678"/>
      <c r="G6678"/>
      <c r="H6678"/>
      <c r="I6678"/>
      <c r="J6678"/>
    </row>
    <row r="6679" spans="6:10">
      <c r="F6679"/>
      <c r="G6679"/>
      <c r="H6679"/>
      <c r="I6679"/>
      <c r="J6679"/>
    </row>
    <row r="6680" spans="6:10">
      <c r="F6680"/>
      <c r="G6680"/>
      <c r="H6680"/>
      <c r="I6680"/>
      <c r="J6680"/>
    </row>
    <row r="6681" spans="6:10">
      <c r="F6681"/>
      <c r="G6681"/>
      <c r="H6681"/>
      <c r="I6681"/>
      <c r="J6681"/>
    </row>
    <row r="6682" spans="6:10">
      <c r="F6682"/>
      <c r="G6682"/>
      <c r="H6682"/>
      <c r="I6682"/>
      <c r="J6682"/>
    </row>
    <row r="6683" spans="6:10">
      <c r="F6683"/>
      <c r="G6683"/>
      <c r="H6683"/>
      <c r="I6683"/>
      <c r="J6683"/>
    </row>
    <row r="6684" spans="6:10">
      <c r="F6684"/>
      <c r="G6684"/>
      <c r="H6684"/>
      <c r="I6684"/>
      <c r="J6684"/>
    </row>
    <row r="6685" spans="6:10">
      <c r="F6685"/>
      <c r="G6685"/>
      <c r="H6685"/>
      <c r="I6685"/>
      <c r="J6685"/>
    </row>
    <row r="6686" spans="6:10">
      <c r="F6686"/>
      <c r="G6686"/>
      <c r="H6686"/>
      <c r="I6686"/>
      <c r="J6686"/>
    </row>
    <row r="6687" spans="6:10">
      <c r="F6687"/>
      <c r="G6687"/>
      <c r="H6687"/>
      <c r="I6687"/>
      <c r="J6687"/>
    </row>
    <row r="6688" spans="6:10">
      <c r="F6688"/>
      <c r="G6688"/>
      <c r="H6688"/>
      <c r="I6688"/>
      <c r="J6688"/>
    </row>
    <row r="6689" spans="6:10">
      <c r="F6689"/>
      <c r="G6689"/>
      <c r="H6689"/>
      <c r="I6689"/>
      <c r="J6689"/>
    </row>
    <row r="6690" spans="6:10">
      <c r="F6690"/>
      <c r="G6690"/>
      <c r="H6690"/>
      <c r="I6690"/>
      <c r="J6690"/>
    </row>
    <row r="6691" spans="6:10">
      <c r="F6691"/>
      <c r="G6691"/>
      <c r="H6691"/>
      <c r="I6691"/>
      <c r="J6691"/>
    </row>
    <row r="6692" spans="6:10">
      <c r="F6692"/>
      <c r="G6692"/>
      <c r="H6692"/>
      <c r="I6692"/>
      <c r="J6692"/>
    </row>
    <row r="6693" spans="6:10">
      <c r="F6693"/>
      <c r="G6693"/>
      <c r="H6693"/>
      <c r="I6693"/>
      <c r="J6693"/>
    </row>
    <row r="6694" spans="6:10">
      <c r="F6694"/>
      <c r="G6694"/>
      <c r="H6694"/>
      <c r="I6694"/>
      <c r="J6694"/>
    </row>
    <row r="6695" spans="6:10">
      <c r="F6695"/>
      <c r="G6695"/>
      <c r="H6695"/>
      <c r="I6695"/>
      <c r="J6695"/>
    </row>
    <row r="6696" spans="6:10">
      <c r="F6696"/>
      <c r="G6696"/>
      <c r="H6696"/>
      <c r="I6696"/>
      <c r="J6696"/>
    </row>
    <row r="6697" spans="6:10">
      <c r="F6697"/>
      <c r="G6697"/>
      <c r="H6697"/>
      <c r="I6697"/>
      <c r="J6697"/>
    </row>
    <row r="6698" spans="6:10">
      <c r="F6698"/>
      <c r="G6698"/>
      <c r="H6698"/>
      <c r="I6698"/>
      <c r="J6698"/>
    </row>
    <row r="6699" spans="6:10">
      <c r="F6699"/>
      <c r="G6699"/>
      <c r="H6699"/>
      <c r="I6699"/>
      <c r="J6699"/>
    </row>
    <row r="6700" spans="6:10">
      <c r="F6700"/>
      <c r="G6700"/>
      <c r="H6700"/>
      <c r="I6700"/>
      <c r="J6700"/>
    </row>
    <row r="6701" spans="6:10">
      <c r="F6701"/>
      <c r="G6701"/>
      <c r="H6701"/>
      <c r="I6701"/>
      <c r="J6701"/>
    </row>
    <row r="6702" spans="6:10">
      <c r="F6702"/>
      <c r="G6702"/>
      <c r="H6702"/>
      <c r="I6702"/>
      <c r="J6702"/>
    </row>
    <row r="6703" spans="6:10">
      <c r="F6703"/>
      <c r="G6703"/>
      <c r="H6703"/>
      <c r="I6703"/>
      <c r="J6703"/>
    </row>
    <row r="6704" spans="6:10">
      <c r="F6704"/>
      <c r="G6704"/>
      <c r="H6704"/>
      <c r="I6704"/>
      <c r="J6704"/>
    </row>
    <row r="6705" spans="6:10">
      <c r="F6705"/>
      <c r="G6705"/>
      <c r="H6705"/>
      <c r="I6705"/>
      <c r="J6705"/>
    </row>
    <row r="6706" spans="6:10">
      <c r="F6706"/>
      <c r="G6706"/>
      <c r="H6706"/>
      <c r="I6706"/>
      <c r="J6706"/>
    </row>
    <row r="6707" spans="6:10">
      <c r="F6707"/>
      <c r="G6707"/>
      <c r="H6707"/>
      <c r="I6707"/>
      <c r="J6707"/>
    </row>
    <row r="6708" spans="6:10">
      <c r="F6708"/>
      <c r="G6708"/>
      <c r="H6708"/>
      <c r="I6708"/>
      <c r="J6708"/>
    </row>
    <row r="6709" spans="6:10">
      <c r="F6709"/>
      <c r="G6709"/>
      <c r="H6709"/>
      <c r="I6709"/>
      <c r="J6709"/>
    </row>
    <row r="6710" spans="6:10">
      <c r="F6710"/>
      <c r="G6710"/>
      <c r="H6710"/>
      <c r="I6710"/>
      <c r="J6710"/>
    </row>
    <row r="6711" spans="6:10">
      <c r="F6711"/>
      <c r="G6711"/>
      <c r="H6711"/>
      <c r="I6711"/>
      <c r="J6711"/>
    </row>
    <row r="6712" spans="6:10">
      <c r="F6712"/>
      <c r="G6712"/>
      <c r="H6712"/>
      <c r="I6712"/>
      <c r="J6712"/>
    </row>
    <row r="6713" spans="6:10">
      <c r="F6713"/>
      <c r="G6713"/>
      <c r="H6713"/>
      <c r="I6713"/>
      <c r="J6713"/>
    </row>
    <row r="6714" spans="6:10">
      <c r="F6714"/>
      <c r="G6714"/>
      <c r="H6714"/>
      <c r="I6714"/>
      <c r="J6714"/>
    </row>
    <row r="6715" spans="6:10">
      <c r="F6715"/>
      <c r="G6715"/>
      <c r="H6715"/>
      <c r="I6715"/>
      <c r="J6715"/>
    </row>
    <row r="6716" spans="6:10">
      <c r="F6716"/>
      <c r="G6716"/>
      <c r="H6716"/>
      <c r="I6716"/>
      <c r="J6716"/>
    </row>
    <row r="6717" spans="6:10">
      <c r="F6717"/>
      <c r="G6717"/>
      <c r="H6717"/>
      <c r="I6717"/>
      <c r="J6717"/>
    </row>
    <row r="6718" spans="6:10">
      <c r="F6718"/>
      <c r="G6718"/>
      <c r="H6718"/>
      <c r="I6718"/>
      <c r="J6718"/>
    </row>
    <row r="6719" spans="6:10">
      <c r="F6719"/>
      <c r="G6719"/>
      <c r="H6719"/>
      <c r="I6719"/>
      <c r="J6719"/>
    </row>
    <row r="6720" spans="6:10">
      <c r="F6720"/>
      <c r="G6720"/>
      <c r="H6720"/>
      <c r="I6720"/>
      <c r="J6720"/>
    </row>
    <row r="6721" spans="6:10">
      <c r="F6721"/>
      <c r="G6721"/>
      <c r="H6721"/>
      <c r="I6721"/>
      <c r="J6721"/>
    </row>
    <row r="6722" spans="6:10">
      <c r="F6722"/>
      <c r="G6722"/>
      <c r="H6722"/>
      <c r="I6722"/>
      <c r="J6722"/>
    </row>
    <row r="6723" spans="6:10">
      <c r="F6723"/>
      <c r="G6723"/>
      <c r="H6723"/>
      <c r="I6723"/>
      <c r="J6723"/>
    </row>
    <row r="6724" spans="6:10">
      <c r="F6724"/>
      <c r="G6724"/>
      <c r="H6724"/>
      <c r="I6724"/>
      <c r="J6724"/>
    </row>
    <row r="6725" spans="6:10">
      <c r="F6725"/>
      <c r="G6725"/>
      <c r="H6725"/>
      <c r="I6725"/>
      <c r="J6725"/>
    </row>
    <row r="6726" spans="6:10">
      <c r="F6726"/>
      <c r="G6726"/>
      <c r="H6726"/>
      <c r="I6726"/>
      <c r="J6726"/>
    </row>
    <row r="6727" spans="6:10">
      <c r="F6727"/>
      <c r="G6727"/>
      <c r="H6727"/>
      <c r="I6727"/>
      <c r="J6727"/>
    </row>
    <row r="6728" spans="6:10">
      <c r="F6728"/>
      <c r="G6728"/>
      <c r="H6728"/>
      <c r="I6728"/>
      <c r="J6728"/>
    </row>
    <row r="6729" spans="6:10">
      <c r="F6729"/>
      <c r="G6729"/>
      <c r="H6729"/>
      <c r="I6729"/>
      <c r="J6729"/>
    </row>
    <row r="6730" spans="6:10">
      <c r="F6730"/>
      <c r="G6730"/>
      <c r="H6730"/>
      <c r="I6730"/>
      <c r="J6730"/>
    </row>
    <row r="6731" spans="6:10">
      <c r="F6731"/>
      <c r="G6731"/>
      <c r="H6731"/>
      <c r="I6731"/>
      <c r="J6731"/>
    </row>
    <row r="6732" spans="6:10">
      <c r="F6732"/>
      <c r="G6732"/>
      <c r="H6732"/>
      <c r="I6732"/>
      <c r="J6732"/>
    </row>
    <row r="6733" spans="6:10">
      <c r="F6733"/>
      <c r="G6733"/>
      <c r="H6733"/>
      <c r="I6733"/>
      <c r="J6733"/>
    </row>
    <row r="6734" spans="6:10">
      <c r="F6734"/>
      <c r="G6734"/>
      <c r="H6734"/>
      <c r="I6734"/>
      <c r="J6734"/>
    </row>
    <row r="6735" spans="6:10">
      <c r="F6735"/>
      <c r="G6735"/>
      <c r="H6735"/>
      <c r="I6735"/>
      <c r="J6735"/>
    </row>
    <row r="6736" spans="6:10">
      <c r="F6736"/>
      <c r="G6736"/>
      <c r="H6736"/>
      <c r="I6736"/>
      <c r="J6736"/>
    </row>
    <row r="6737" spans="6:10">
      <c r="F6737"/>
      <c r="G6737"/>
      <c r="H6737"/>
      <c r="I6737"/>
      <c r="J6737"/>
    </row>
    <row r="6738" spans="6:10">
      <c r="F6738"/>
      <c r="G6738"/>
      <c r="H6738"/>
      <c r="I6738"/>
      <c r="J6738"/>
    </row>
    <row r="6739" spans="6:10">
      <c r="F6739"/>
      <c r="G6739"/>
      <c r="H6739"/>
      <c r="I6739"/>
      <c r="J6739"/>
    </row>
    <row r="6740" spans="6:10">
      <c r="F6740"/>
      <c r="G6740"/>
      <c r="H6740"/>
      <c r="I6740"/>
      <c r="J6740"/>
    </row>
    <row r="6741" spans="6:10">
      <c r="F6741"/>
      <c r="G6741"/>
      <c r="H6741"/>
      <c r="I6741"/>
      <c r="J6741"/>
    </row>
    <row r="6742" spans="6:10">
      <c r="F6742"/>
      <c r="G6742"/>
      <c r="H6742"/>
      <c r="I6742"/>
      <c r="J6742"/>
    </row>
    <row r="6743" spans="6:10">
      <c r="F6743"/>
      <c r="G6743"/>
      <c r="H6743"/>
      <c r="I6743"/>
      <c r="J6743"/>
    </row>
    <row r="6744" spans="6:10">
      <c r="F6744"/>
      <c r="G6744"/>
      <c r="H6744"/>
      <c r="I6744"/>
      <c r="J6744"/>
    </row>
    <row r="6745" spans="6:10">
      <c r="F6745"/>
      <c r="G6745"/>
      <c r="H6745"/>
      <c r="I6745"/>
      <c r="J6745"/>
    </row>
    <row r="6746" spans="6:10">
      <c r="F6746"/>
      <c r="G6746"/>
      <c r="H6746"/>
      <c r="I6746"/>
      <c r="J6746"/>
    </row>
    <row r="6747" spans="6:10">
      <c r="F6747"/>
      <c r="G6747"/>
      <c r="H6747"/>
      <c r="I6747"/>
      <c r="J6747"/>
    </row>
    <row r="6748" spans="6:10">
      <c r="F6748"/>
      <c r="G6748"/>
      <c r="H6748"/>
      <c r="I6748"/>
      <c r="J6748"/>
    </row>
    <row r="6749" spans="6:10">
      <c r="F6749"/>
      <c r="G6749"/>
      <c r="H6749"/>
      <c r="I6749"/>
      <c r="J6749"/>
    </row>
    <row r="6750" spans="6:10">
      <c r="F6750"/>
      <c r="G6750"/>
      <c r="H6750"/>
      <c r="I6750"/>
      <c r="J6750"/>
    </row>
    <row r="6751" spans="6:10">
      <c r="F6751"/>
      <c r="G6751"/>
      <c r="H6751"/>
      <c r="I6751"/>
      <c r="J6751"/>
    </row>
    <row r="6752" spans="6:10">
      <c r="F6752"/>
      <c r="G6752"/>
      <c r="H6752"/>
      <c r="I6752"/>
      <c r="J6752"/>
    </row>
    <row r="6753" spans="6:10">
      <c r="F6753"/>
      <c r="G6753"/>
      <c r="H6753"/>
      <c r="I6753"/>
      <c r="J6753"/>
    </row>
    <row r="6754" spans="6:10">
      <c r="F6754"/>
      <c r="G6754"/>
      <c r="H6754"/>
      <c r="I6754"/>
      <c r="J6754"/>
    </row>
    <row r="6755" spans="6:10">
      <c r="F6755"/>
      <c r="G6755"/>
      <c r="H6755"/>
      <c r="I6755"/>
      <c r="J6755"/>
    </row>
    <row r="6756" spans="6:10">
      <c r="F6756"/>
      <c r="G6756"/>
      <c r="H6756"/>
      <c r="I6756"/>
      <c r="J6756"/>
    </row>
    <row r="6757" spans="6:10">
      <c r="F6757"/>
      <c r="G6757"/>
      <c r="H6757"/>
      <c r="I6757"/>
      <c r="J6757"/>
    </row>
    <row r="6758" spans="6:10">
      <c r="F6758"/>
      <c r="G6758"/>
      <c r="H6758"/>
      <c r="I6758"/>
      <c r="J6758"/>
    </row>
    <row r="6759" spans="6:10">
      <c r="F6759"/>
      <c r="G6759"/>
      <c r="H6759"/>
      <c r="I6759"/>
      <c r="J6759"/>
    </row>
    <row r="6760" spans="6:10">
      <c r="F6760"/>
      <c r="G6760"/>
      <c r="H6760"/>
      <c r="I6760"/>
      <c r="J6760"/>
    </row>
    <row r="6761" spans="6:10">
      <c r="F6761"/>
      <c r="G6761"/>
      <c r="H6761"/>
      <c r="I6761"/>
      <c r="J6761"/>
    </row>
    <row r="6762" spans="6:10">
      <c r="F6762"/>
      <c r="G6762"/>
      <c r="H6762"/>
      <c r="I6762"/>
      <c r="J6762"/>
    </row>
    <row r="6763" spans="6:10">
      <c r="F6763"/>
      <c r="G6763"/>
      <c r="H6763"/>
      <c r="I6763"/>
      <c r="J6763"/>
    </row>
    <row r="6764" spans="6:10">
      <c r="F6764"/>
      <c r="G6764"/>
      <c r="H6764"/>
      <c r="I6764"/>
      <c r="J6764"/>
    </row>
    <row r="6765" spans="6:10">
      <c r="F6765"/>
      <c r="G6765"/>
      <c r="H6765"/>
      <c r="I6765"/>
      <c r="J6765"/>
    </row>
    <row r="6766" spans="6:10">
      <c r="F6766"/>
      <c r="G6766"/>
      <c r="H6766"/>
      <c r="I6766"/>
      <c r="J6766"/>
    </row>
    <row r="6767" spans="6:10">
      <c r="F6767"/>
      <c r="G6767"/>
      <c r="H6767"/>
      <c r="I6767"/>
      <c r="J6767"/>
    </row>
    <row r="6768" spans="6:10">
      <c r="F6768"/>
      <c r="G6768"/>
      <c r="H6768"/>
      <c r="I6768"/>
      <c r="J6768"/>
    </row>
    <row r="6769" spans="6:10">
      <c r="F6769"/>
      <c r="G6769"/>
      <c r="H6769"/>
      <c r="I6769"/>
      <c r="J6769"/>
    </row>
    <row r="6770" spans="6:10">
      <c r="F6770"/>
      <c r="G6770"/>
      <c r="H6770"/>
      <c r="I6770"/>
      <c r="J6770"/>
    </row>
    <row r="6771" spans="6:10">
      <c r="F6771"/>
      <c r="G6771"/>
      <c r="H6771"/>
      <c r="I6771"/>
      <c r="J6771"/>
    </row>
    <row r="6772" spans="6:10">
      <c r="F6772"/>
      <c r="G6772"/>
      <c r="H6772"/>
      <c r="I6772"/>
      <c r="J6772"/>
    </row>
    <row r="6773" spans="6:10">
      <c r="F6773"/>
      <c r="G6773"/>
      <c r="H6773"/>
      <c r="I6773"/>
      <c r="J6773"/>
    </row>
    <row r="6774" spans="6:10">
      <c r="F6774"/>
      <c r="G6774"/>
      <c r="H6774"/>
      <c r="I6774"/>
      <c r="J6774"/>
    </row>
    <row r="6775" spans="6:10">
      <c r="F6775"/>
      <c r="G6775"/>
      <c r="H6775"/>
      <c r="I6775"/>
      <c r="J6775"/>
    </row>
    <row r="6776" spans="6:10">
      <c r="F6776"/>
      <c r="G6776"/>
      <c r="H6776"/>
      <c r="I6776"/>
      <c r="J6776"/>
    </row>
    <row r="6777" spans="6:10">
      <c r="F6777"/>
      <c r="G6777"/>
      <c r="H6777"/>
      <c r="I6777"/>
      <c r="J6777"/>
    </row>
    <row r="6778" spans="6:10">
      <c r="F6778"/>
      <c r="G6778"/>
      <c r="H6778"/>
      <c r="I6778"/>
      <c r="J6778"/>
    </row>
    <row r="6779" spans="6:10">
      <c r="F6779"/>
      <c r="G6779"/>
      <c r="H6779"/>
      <c r="I6779"/>
      <c r="J6779"/>
    </row>
    <row r="6780" spans="6:10">
      <c r="F6780"/>
      <c r="G6780"/>
      <c r="H6780"/>
      <c r="I6780"/>
      <c r="J6780"/>
    </row>
    <row r="6781" spans="6:10">
      <c r="F6781"/>
      <c r="G6781"/>
      <c r="H6781"/>
      <c r="I6781"/>
      <c r="J6781"/>
    </row>
    <row r="6782" spans="6:10">
      <c r="F6782"/>
      <c r="G6782"/>
      <c r="H6782"/>
      <c r="I6782"/>
      <c r="J6782"/>
    </row>
    <row r="6783" spans="6:10">
      <c r="F6783"/>
      <c r="G6783"/>
      <c r="H6783"/>
      <c r="I6783"/>
      <c r="J6783"/>
    </row>
    <row r="6784" spans="6:10">
      <c r="F6784"/>
      <c r="G6784"/>
      <c r="H6784"/>
      <c r="I6784"/>
      <c r="J6784"/>
    </row>
    <row r="6785" spans="6:10">
      <c r="F6785"/>
      <c r="G6785"/>
      <c r="H6785"/>
      <c r="I6785"/>
      <c r="J6785"/>
    </row>
    <row r="6786" spans="6:10">
      <c r="F6786"/>
      <c r="G6786"/>
      <c r="H6786"/>
      <c r="I6786"/>
      <c r="J6786"/>
    </row>
    <row r="6787" spans="6:10">
      <c r="F6787"/>
      <c r="G6787"/>
      <c r="H6787"/>
      <c r="I6787"/>
      <c r="J6787"/>
    </row>
    <row r="6788" spans="6:10">
      <c r="F6788"/>
      <c r="G6788"/>
      <c r="H6788"/>
      <c r="I6788"/>
      <c r="J6788"/>
    </row>
    <row r="6789" spans="6:10">
      <c r="F6789"/>
      <c r="G6789"/>
      <c r="H6789"/>
      <c r="I6789"/>
      <c r="J6789"/>
    </row>
    <row r="6790" spans="6:10">
      <c r="F6790"/>
      <c r="G6790"/>
      <c r="H6790"/>
      <c r="I6790"/>
      <c r="J6790"/>
    </row>
    <row r="6791" spans="6:10">
      <c r="F6791"/>
      <c r="G6791"/>
      <c r="H6791"/>
      <c r="I6791"/>
      <c r="J6791"/>
    </row>
    <row r="6792" spans="6:10">
      <c r="F6792"/>
      <c r="G6792"/>
      <c r="H6792"/>
      <c r="I6792"/>
      <c r="J6792"/>
    </row>
    <row r="6793" spans="6:10">
      <c r="F6793"/>
      <c r="G6793"/>
      <c r="H6793"/>
      <c r="I6793"/>
      <c r="J6793"/>
    </row>
    <row r="6794" spans="6:10">
      <c r="F6794"/>
      <c r="G6794"/>
      <c r="H6794"/>
      <c r="I6794"/>
      <c r="J6794"/>
    </row>
    <row r="6795" spans="6:10">
      <c r="F6795"/>
      <c r="G6795"/>
      <c r="H6795"/>
      <c r="I6795"/>
      <c r="J6795"/>
    </row>
    <row r="6796" spans="6:10">
      <c r="F6796"/>
      <c r="G6796"/>
      <c r="H6796"/>
      <c r="I6796"/>
      <c r="J6796"/>
    </row>
    <row r="6797" spans="6:10">
      <c r="F6797"/>
      <c r="G6797"/>
      <c r="H6797"/>
      <c r="I6797"/>
      <c r="J6797"/>
    </row>
    <row r="6798" spans="6:10">
      <c r="F6798"/>
      <c r="G6798"/>
      <c r="H6798"/>
      <c r="I6798"/>
      <c r="J6798"/>
    </row>
    <row r="6799" spans="6:10">
      <c r="F6799"/>
      <c r="G6799"/>
      <c r="H6799"/>
      <c r="I6799"/>
      <c r="J6799"/>
    </row>
    <row r="6800" spans="6:10">
      <c r="F6800"/>
      <c r="G6800"/>
      <c r="H6800"/>
      <c r="I6800"/>
      <c r="J6800"/>
    </row>
    <row r="6801" spans="6:10">
      <c r="F6801"/>
      <c r="G6801"/>
      <c r="H6801"/>
      <c r="I6801"/>
      <c r="J6801"/>
    </row>
    <row r="6802" spans="6:10">
      <c r="F6802"/>
      <c r="G6802"/>
      <c r="H6802"/>
      <c r="I6802"/>
      <c r="J6802"/>
    </row>
    <row r="6803" spans="6:10">
      <c r="F6803"/>
      <c r="G6803"/>
      <c r="H6803"/>
      <c r="I6803"/>
      <c r="J6803"/>
    </row>
    <row r="6804" spans="6:10">
      <c r="F6804"/>
      <c r="G6804"/>
      <c r="H6804"/>
      <c r="I6804"/>
      <c r="J6804"/>
    </row>
    <row r="6805" spans="6:10">
      <c r="F6805"/>
      <c r="G6805"/>
      <c r="H6805"/>
      <c r="I6805"/>
      <c r="J6805"/>
    </row>
    <row r="6806" spans="6:10">
      <c r="F6806"/>
      <c r="G6806"/>
      <c r="H6806"/>
      <c r="I6806"/>
      <c r="J6806"/>
    </row>
    <row r="6807" spans="6:10">
      <c r="F6807"/>
      <c r="G6807"/>
      <c r="H6807"/>
      <c r="I6807"/>
      <c r="J6807"/>
    </row>
    <row r="6808" spans="6:10">
      <c r="F6808"/>
      <c r="G6808"/>
      <c r="H6808"/>
      <c r="I6808"/>
      <c r="J6808"/>
    </row>
    <row r="6809" spans="6:10">
      <c r="F6809"/>
      <c r="G6809"/>
      <c r="H6809"/>
      <c r="I6809"/>
      <c r="J6809"/>
    </row>
    <row r="6810" spans="6:10">
      <c r="F6810"/>
      <c r="G6810"/>
      <c r="H6810"/>
      <c r="I6810"/>
      <c r="J6810"/>
    </row>
    <row r="6811" spans="6:10">
      <c r="F6811"/>
      <c r="G6811"/>
      <c r="H6811"/>
      <c r="I6811"/>
      <c r="J6811"/>
    </row>
    <row r="6812" spans="6:10">
      <c r="F6812"/>
      <c r="G6812"/>
      <c r="H6812"/>
      <c r="I6812"/>
      <c r="J6812"/>
    </row>
    <row r="6813" spans="6:10">
      <c r="F6813"/>
      <c r="G6813"/>
      <c r="H6813"/>
      <c r="I6813"/>
      <c r="J6813"/>
    </row>
    <row r="6814" spans="6:10">
      <c r="F6814"/>
      <c r="G6814"/>
      <c r="H6814"/>
      <c r="I6814"/>
      <c r="J6814"/>
    </row>
    <row r="6815" spans="6:10">
      <c r="F6815"/>
      <c r="G6815"/>
      <c r="H6815"/>
      <c r="I6815"/>
      <c r="J6815"/>
    </row>
    <row r="6816" spans="6:10">
      <c r="F6816"/>
      <c r="G6816"/>
      <c r="H6816"/>
      <c r="I6816"/>
      <c r="J6816"/>
    </row>
    <row r="6817" spans="6:10">
      <c r="F6817"/>
      <c r="G6817"/>
      <c r="H6817"/>
      <c r="I6817"/>
      <c r="J6817"/>
    </row>
    <row r="6818" spans="6:10">
      <c r="F6818"/>
      <c r="G6818"/>
      <c r="H6818"/>
      <c r="I6818"/>
      <c r="J6818"/>
    </row>
    <row r="6819" spans="6:10">
      <c r="F6819"/>
      <c r="G6819"/>
      <c r="H6819"/>
      <c r="I6819"/>
      <c r="J6819"/>
    </row>
    <row r="6820" spans="6:10">
      <c r="F6820"/>
      <c r="G6820"/>
      <c r="H6820"/>
      <c r="I6820"/>
      <c r="J6820"/>
    </row>
    <row r="6821" spans="6:10">
      <c r="F6821"/>
      <c r="G6821"/>
      <c r="H6821"/>
      <c r="I6821"/>
      <c r="J6821"/>
    </row>
    <row r="6822" spans="6:10">
      <c r="F6822"/>
      <c r="G6822"/>
      <c r="H6822"/>
      <c r="I6822"/>
      <c r="J6822"/>
    </row>
    <row r="6823" spans="6:10">
      <c r="F6823"/>
      <c r="G6823"/>
      <c r="H6823"/>
      <c r="I6823"/>
      <c r="J6823"/>
    </row>
    <row r="6824" spans="6:10">
      <c r="F6824"/>
      <c r="G6824"/>
      <c r="H6824"/>
      <c r="I6824"/>
      <c r="J6824"/>
    </row>
    <row r="6825" spans="6:10">
      <c r="F6825"/>
      <c r="G6825"/>
      <c r="H6825"/>
      <c r="I6825"/>
      <c r="J6825"/>
    </row>
    <row r="6826" spans="6:10">
      <c r="F6826"/>
      <c r="G6826"/>
      <c r="H6826"/>
      <c r="I6826"/>
      <c r="J6826"/>
    </row>
    <row r="6827" spans="6:10">
      <c r="F6827"/>
      <c r="G6827"/>
      <c r="H6827"/>
      <c r="I6827"/>
      <c r="J6827"/>
    </row>
    <row r="6828" spans="6:10">
      <c r="F6828"/>
      <c r="G6828"/>
      <c r="H6828"/>
      <c r="I6828"/>
      <c r="J6828"/>
    </row>
    <row r="6829" spans="6:10">
      <c r="F6829"/>
      <c r="G6829"/>
      <c r="H6829"/>
      <c r="I6829"/>
      <c r="J6829"/>
    </row>
    <row r="6830" spans="6:10">
      <c r="F6830"/>
      <c r="G6830"/>
      <c r="H6830"/>
      <c r="I6830"/>
      <c r="J6830"/>
    </row>
    <row r="6831" spans="6:10">
      <c r="F6831"/>
      <c r="G6831"/>
      <c r="H6831"/>
      <c r="I6831"/>
      <c r="J6831"/>
    </row>
    <row r="6832" spans="6:10">
      <c r="F6832"/>
      <c r="G6832"/>
      <c r="H6832"/>
      <c r="I6832"/>
      <c r="J6832"/>
    </row>
    <row r="6833" spans="6:10">
      <c r="F6833"/>
      <c r="G6833"/>
      <c r="H6833"/>
      <c r="I6833"/>
      <c r="J6833"/>
    </row>
    <row r="6834" spans="6:10">
      <c r="F6834"/>
      <c r="G6834"/>
      <c r="H6834"/>
      <c r="I6834"/>
      <c r="J6834"/>
    </row>
    <row r="6835" spans="6:10">
      <c r="F6835"/>
      <c r="G6835"/>
      <c r="H6835"/>
      <c r="I6835"/>
      <c r="J6835"/>
    </row>
    <row r="6836" spans="6:10">
      <c r="F6836"/>
      <c r="G6836"/>
      <c r="H6836"/>
      <c r="I6836"/>
      <c r="J6836"/>
    </row>
    <row r="6837" spans="6:10">
      <c r="F6837"/>
      <c r="G6837"/>
      <c r="H6837"/>
      <c r="I6837"/>
      <c r="J6837"/>
    </row>
    <row r="6838" spans="6:10">
      <c r="F6838"/>
      <c r="G6838"/>
      <c r="H6838"/>
      <c r="I6838"/>
      <c r="J6838"/>
    </row>
    <row r="6839" spans="6:10">
      <c r="F6839"/>
      <c r="G6839"/>
      <c r="H6839"/>
      <c r="I6839"/>
      <c r="J6839"/>
    </row>
    <row r="6840" spans="6:10">
      <c r="F6840"/>
      <c r="G6840"/>
      <c r="H6840"/>
      <c r="I6840"/>
      <c r="J6840"/>
    </row>
    <row r="6841" spans="6:10">
      <c r="F6841"/>
      <c r="G6841"/>
      <c r="H6841"/>
      <c r="I6841"/>
      <c r="J6841"/>
    </row>
    <row r="6842" spans="6:10">
      <c r="F6842"/>
      <c r="G6842"/>
      <c r="H6842"/>
      <c r="I6842"/>
      <c r="J6842"/>
    </row>
    <row r="6843" spans="6:10">
      <c r="F6843"/>
      <c r="G6843"/>
      <c r="H6843"/>
      <c r="I6843"/>
      <c r="J6843"/>
    </row>
    <row r="6844" spans="6:10">
      <c r="F6844"/>
      <c r="G6844"/>
      <c r="H6844"/>
      <c r="I6844"/>
      <c r="J6844"/>
    </row>
    <row r="6845" spans="6:10">
      <c r="F6845"/>
      <c r="G6845"/>
      <c r="H6845"/>
      <c r="I6845"/>
      <c r="J6845"/>
    </row>
    <row r="6846" spans="6:10">
      <c r="F6846"/>
      <c r="G6846"/>
      <c r="H6846"/>
      <c r="I6846"/>
      <c r="J6846"/>
    </row>
    <row r="6847" spans="6:10">
      <c r="F6847"/>
      <c r="G6847"/>
      <c r="H6847"/>
      <c r="I6847"/>
      <c r="J6847"/>
    </row>
    <row r="6848" spans="6:10">
      <c r="F6848"/>
      <c r="G6848"/>
      <c r="H6848"/>
      <c r="I6848"/>
      <c r="J6848"/>
    </row>
    <row r="6849" spans="6:10">
      <c r="F6849"/>
      <c r="G6849"/>
      <c r="H6849"/>
      <c r="I6849"/>
      <c r="J6849"/>
    </row>
    <row r="6850" spans="6:10">
      <c r="F6850"/>
      <c r="G6850"/>
      <c r="H6850"/>
      <c r="I6850"/>
      <c r="J6850"/>
    </row>
    <row r="6851" spans="6:10">
      <c r="F6851"/>
      <c r="G6851"/>
      <c r="H6851"/>
      <c r="I6851"/>
      <c r="J6851"/>
    </row>
    <row r="6852" spans="6:10">
      <c r="F6852"/>
      <c r="G6852"/>
      <c r="H6852"/>
      <c r="I6852"/>
      <c r="J6852"/>
    </row>
    <row r="6853" spans="6:10">
      <c r="F6853"/>
      <c r="G6853"/>
      <c r="H6853"/>
      <c r="I6853"/>
      <c r="J6853"/>
    </row>
    <row r="6854" spans="6:10">
      <c r="F6854"/>
      <c r="G6854"/>
      <c r="H6854"/>
      <c r="I6854"/>
      <c r="J6854"/>
    </row>
    <row r="6855" spans="6:10">
      <c r="F6855"/>
      <c r="G6855"/>
      <c r="H6855"/>
      <c r="I6855"/>
      <c r="J6855"/>
    </row>
    <row r="6856" spans="6:10">
      <c r="F6856"/>
      <c r="G6856"/>
      <c r="H6856"/>
      <c r="I6856"/>
      <c r="J6856"/>
    </row>
    <row r="6857" spans="6:10">
      <c r="F6857"/>
      <c r="G6857"/>
      <c r="H6857"/>
      <c r="I6857"/>
      <c r="J6857"/>
    </row>
    <row r="6858" spans="6:10">
      <c r="F6858"/>
      <c r="G6858"/>
      <c r="H6858"/>
      <c r="I6858"/>
      <c r="J6858"/>
    </row>
    <row r="6859" spans="6:10">
      <c r="F6859"/>
      <c r="G6859"/>
      <c r="H6859"/>
      <c r="I6859"/>
      <c r="J6859"/>
    </row>
    <row r="6860" spans="6:10">
      <c r="F6860"/>
      <c r="G6860"/>
      <c r="H6860"/>
      <c r="I6860"/>
      <c r="J6860"/>
    </row>
    <row r="6861" spans="6:10">
      <c r="F6861"/>
      <c r="G6861"/>
      <c r="H6861"/>
      <c r="I6861"/>
      <c r="J6861"/>
    </row>
    <row r="6862" spans="6:10">
      <c r="F6862"/>
      <c r="G6862"/>
      <c r="H6862"/>
      <c r="I6862"/>
      <c r="J6862"/>
    </row>
    <row r="6863" spans="6:10">
      <c r="F6863"/>
      <c r="G6863"/>
      <c r="H6863"/>
      <c r="I6863"/>
      <c r="J6863"/>
    </row>
    <row r="6864" spans="6:10">
      <c r="F6864"/>
      <c r="G6864"/>
      <c r="H6864"/>
      <c r="I6864"/>
      <c r="J6864"/>
    </row>
    <row r="6865" spans="6:10">
      <c r="F6865"/>
      <c r="G6865"/>
      <c r="H6865"/>
      <c r="I6865"/>
      <c r="J6865"/>
    </row>
    <row r="6866" spans="6:10">
      <c r="F6866"/>
      <c r="G6866"/>
      <c r="H6866"/>
      <c r="I6866"/>
      <c r="J6866"/>
    </row>
    <row r="6867" spans="6:10">
      <c r="F6867"/>
      <c r="G6867"/>
      <c r="H6867"/>
      <c r="I6867"/>
      <c r="J6867"/>
    </row>
    <row r="6868" spans="6:10">
      <c r="F6868"/>
      <c r="G6868"/>
      <c r="H6868"/>
      <c r="I6868"/>
      <c r="J6868"/>
    </row>
    <row r="6869" spans="6:10">
      <c r="F6869"/>
      <c r="G6869"/>
      <c r="H6869"/>
      <c r="I6869"/>
      <c r="J6869"/>
    </row>
    <row r="6870" spans="6:10">
      <c r="F6870"/>
      <c r="G6870"/>
      <c r="H6870"/>
      <c r="I6870"/>
      <c r="J6870"/>
    </row>
    <row r="6871" spans="6:10">
      <c r="F6871"/>
      <c r="G6871"/>
      <c r="H6871"/>
      <c r="I6871"/>
      <c r="J6871"/>
    </row>
    <row r="6872" spans="6:10">
      <c r="F6872"/>
      <c r="G6872"/>
      <c r="H6872"/>
      <c r="I6872"/>
      <c r="J6872"/>
    </row>
    <row r="6873" spans="6:10">
      <c r="F6873"/>
      <c r="G6873"/>
      <c r="H6873"/>
      <c r="I6873"/>
      <c r="J6873"/>
    </row>
    <row r="6874" spans="6:10">
      <c r="F6874"/>
      <c r="G6874"/>
      <c r="H6874"/>
      <c r="I6874"/>
      <c r="J6874"/>
    </row>
    <row r="6875" spans="6:10">
      <c r="F6875"/>
      <c r="G6875"/>
      <c r="H6875"/>
      <c r="I6875"/>
      <c r="J6875"/>
    </row>
    <row r="6876" spans="6:10">
      <c r="F6876"/>
      <c r="G6876"/>
      <c r="H6876"/>
      <c r="I6876"/>
      <c r="J6876"/>
    </row>
    <row r="6877" spans="6:10">
      <c r="F6877"/>
      <c r="G6877"/>
      <c r="H6877"/>
      <c r="I6877"/>
      <c r="J6877"/>
    </row>
    <row r="6878" spans="6:10">
      <c r="F6878"/>
      <c r="G6878"/>
      <c r="H6878"/>
      <c r="I6878"/>
      <c r="J6878"/>
    </row>
    <row r="6879" spans="6:10">
      <c r="F6879"/>
      <c r="G6879"/>
      <c r="H6879"/>
      <c r="I6879"/>
      <c r="J6879"/>
    </row>
    <row r="6880" spans="6:10">
      <c r="F6880"/>
      <c r="G6880"/>
      <c r="H6880"/>
      <c r="I6880"/>
      <c r="J6880"/>
    </row>
    <row r="6881" spans="6:10">
      <c r="F6881"/>
      <c r="G6881"/>
      <c r="H6881"/>
      <c r="I6881"/>
      <c r="J6881"/>
    </row>
    <row r="6882" spans="6:10">
      <c r="F6882"/>
      <c r="G6882"/>
      <c r="H6882"/>
      <c r="I6882"/>
      <c r="J6882"/>
    </row>
    <row r="6883" spans="6:10">
      <c r="F6883"/>
      <c r="G6883"/>
      <c r="H6883"/>
      <c r="I6883"/>
      <c r="J6883"/>
    </row>
    <row r="6884" spans="6:10">
      <c r="F6884"/>
      <c r="G6884"/>
      <c r="H6884"/>
      <c r="I6884"/>
      <c r="J6884"/>
    </row>
    <row r="6885" spans="6:10">
      <c r="F6885"/>
      <c r="G6885"/>
      <c r="H6885"/>
      <c r="I6885"/>
      <c r="J6885"/>
    </row>
    <row r="6886" spans="6:10">
      <c r="F6886"/>
      <c r="G6886"/>
      <c r="H6886"/>
      <c r="I6886"/>
      <c r="J6886"/>
    </row>
    <row r="6887" spans="6:10">
      <c r="F6887"/>
      <c r="G6887"/>
      <c r="H6887"/>
      <c r="I6887"/>
      <c r="J6887"/>
    </row>
    <row r="6888" spans="6:10">
      <c r="F6888"/>
      <c r="G6888"/>
      <c r="H6888"/>
      <c r="I6888"/>
      <c r="J6888"/>
    </row>
    <row r="6889" spans="6:10">
      <c r="F6889"/>
      <c r="G6889"/>
      <c r="H6889"/>
      <c r="I6889"/>
      <c r="J6889"/>
    </row>
    <row r="6890" spans="6:10">
      <c r="F6890"/>
      <c r="G6890"/>
      <c r="H6890"/>
      <c r="I6890"/>
      <c r="J6890"/>
    </row>
    <row r="6891" spans="6:10">
      <c r="F6891"/>
      <c r="G6891"/>
      <c r="H6891"/>
      <c r="I6891"/>
      <c r="J6891"/>
    </row>
    <row r="6892" spans="6:10">
      <c r="F6892"/>
      <c r="G6892"/>
      <c r="H6892"/>
      <c r="I6892"/>
      <c r="J6892"/>
    </row>
    <row r="6893" spans="6:10">
      <c r="F6893"/>
      <c r="G6893"/>
      <c r="H6893"/>
      <c r="I6893"/>
      <c r="J6893"/>
    </row>
    <row r="6894" spans="6:10">
      <c r="F6894"/>
      <c r="G6894"/>
      <c r="H6894"/>
      <c r="I6894"/>
      <c r="J6894"/>
    </row>
    <row r="6895" spans="6:10">
      <c r="F6895"/>
      <c r="G6895"/>
      <c r="H6895"/>
      <c r="I6895"/>
      <c r="J6895"/>
    </row>
    <row r="6896" spans="6:10">
      <c r="F6896"/>
      <c r="G6896"/>
      <c r="H6896"/>
      <c r="I6896"/>
      <c r="J6896"/>
    </row>
    <row r="6897" spans="6:10">
      <c r="F6897"/>
      <c r="G6897"/>
      <c r="H6897"/>
      <c r="I6897"/>
      <c r="J6897"/>
    </row>
    <row r="6898" spans="6:10">
      <c r="F6898"/>
      <c r="G6898"/>
      <c r="H6898"/>
      <c r="I6898"/>
      <c r="J6898"/>
    </row>
    <row r="6899" spans="6:10">
      <c r="F6899"/>
      <c r="G6899"/>
      <c r="H6899"/>
      <c r="I6899"/>
      <c r="J6899"/>
    </row>
    <row r="6900" spans="6:10">
      <c r="F6900"/>
      <c r="G6900"/>
      <c r="H6900"/>
      <c r="I6900"/>
      <c r="J6900"/>
    </row>
    <row r="6901" spans="6:10">
      <c r="F6901"/>
      <c r="G6901"/>
      <c r="H6901"/>
      <c r="I6901"/>
      <c r="J6901"/>
    </row>
    <row r="6902" spans="6:10">
      <c r="F6902"/>
      <c r="G6902"/>
      <c r="H6902"/>
      <c r="I6902"/>
      <c r="J6902"/>
    </row>
    <row r="6903" spans="6:10">
      <c r="F6903"/>
      <c r="G6903"/>
      <c r="H6903"/>
      <c r="I6903"/>
      <c r="J6903"/>
    </row>
    <row r="6904" spans="6:10">
      <c r="F6904"/>
      <c r="G6904"/>
      <c r="H6904"/>
      <c r="I6904"/>
      <c r="J6904"/>
    </row>
    <row r="6905" spans="6:10">
      <c r="F6905"/>
      <c r="G6905"/>
      <c r="H6905"/>
      <c r="I6905"/>
      <c r="J6905"/>
    </row>
    <row r="6906" spans="6:10">
      <c r="F6906"/>
      <c r="G6906"/>
      <c r="H6906"/>
      <c r="I6906"/>
      <c r="J6906"/>
    </row>
    <row r="6907" spans="6:10">
      <c r="F6907"/>
      <c r="G6907"/>
      <c r="H6907"/>
      <c r="I6907"/>
      <c r="J6907"/>
    </row>
    <row r="6908" spans="6:10">
      <c r="F6908"/>
      <c r="G6908"/>
      <c r="H6908"/>
      <c r="I6908"/>
      <c r="J6908"/>
    </row>
    <row r="6909" spans="6:10">
      <c r="F6909"/>
      <c r="G6909"/>
      <c r="H6909"/>
      <c r="I6909"/>
      <c r="J6909"/>
    </row>
    <row r="6910" spans="6:10">
      <c r="F6910"/>
      <c r="G6910"/>
      <c r="H6910"/>
      <c r="I6910"/>
      <c r="J6910"/>
    </row>
    <row r="6911" spans="6:10">
      <c r="F6911"/>
      <c r="G6911"/>
      <c r="H6911"/>
      <c r="I6911"/>
      <c r="J6911"/>
    </row>
    <row r="6912" spans="6:10">
      <c r="F6912"/>
      <c r="G6912"/>
      <c r="H6912"/>
      <c r="I6912"/>
      <c r="J6912"/>
    </row>
    <row r="6913" spans="6:10">
      <c r="F6913"/>
      <c r="G6913"/>
      <c r="H6913"/>
      <c r="I6913"/>
      <c r="J6913"/>
    </row>
    <row r="6914" spans="6:10">
      <c r="F6914"/>
      <c r="G6914"/>
      <c r="H6914"/>
      <c r="I6914"/>
      <c r="J6914"/>
    </row>
    <row r="6915" spans="6:10">
      <c r="F6915"/>
      <c r="G6915"/>
      <c r="H6915"/>
      <c r="I6915"/>
      <c r="J6915"/>
    </row>
    <row r="6916" spans="6:10">
      <c r="F6916"/>
      <c r="G6916"/>
      <c r="H6916"/>
      <c r="I6916"/>
      <c r="J6916"/>
    </row>
    <row r="6917" spans="6:10">
      <c r="F6917"/>
      <c r="G6917"/>
      <c r="H6917"/>
      <c r="I6917"/>
      <c r="J6917"/>
    </row>
    <row r="6918" spans="6:10">
      <c r="F6918"/>
      <c r="G6918"/>
      <c r="H6918"/>
      <c r="I6918"/>
      <c r="J6918"/>
    </row>
    <row r="6919" spans="6:10">
      <c r="F6919"/>
      <c r="G6919"/>
      <c r="H6919"/>
      <c r="I6919"/>
      <c r="J6919"/>
    </row>
    <row r="6920" spans="6:10">
      <c r="F6920"/>
      <c r="G6920"/>
      <c r="H6920"/>
      <c r="I6920"/>
      <c r="J6920"/>
    </row>
    <row r="6921" spans="6:10">
      <c r="F6921"/>
      <c r="G6921"/>
      <c r="H6921"/>
      <c r="I6921"/>
      <c r="J6921"/>
    </row>
    <row r="6922" spans="6:10">
      <c r="F6922"/>
      <c r="G6922"/>
      <c r="H6922"/>
      <c r="I6922"/>
      <c r="J6922"/>
    </row>
    <row r="6923" spans="6:10">
      <c r="F6923"/>
      <c r="G6923"/>
      <c r="H6923"/>
      <c r="I6923"/>
      <c r="J6923"/>
    </row>
    <row r="6924" spans="6:10">
      <c r="F6924"/>
      <c r="G6924"/>
      <c r="H6924"/>
      <c r="I6924"/>
      <c r="J6924"/>
    </row>
    <row r="6925" spans="6:10">
      <c r="F6925"/>
      <c r="G6925"/>
      <c r="H6925"/>
      <c r="I6925"/>
      <c r="J6925"/>
    </row>
    <row r="6926" spans="6:10">
      <c r="F6926"/>
      <c r="G6926"/>
      <c r="H6926"/>
      <c r="I6926"/>
      <c r="J6926"/>
    </row>
    <row r="6927" spans="6:10">
      <c r="F6927"/>
      <c r="G6927"/>
      <c r="H6927"/>
      <c r="I6927"/>
      <c r="J6927"/>
    </row>
    <row r="6928" spans="6:10">
      <c r="F6928"/>
      <c r="G6928"/>
      <c r="H6928"/>
      <c r="I6928"/>
      <c r="J6928"/>
    </row>
    <row r="6929" spans="6:10">
      <c r="F6929"/>
      <c r="G6929"/>
      <c r="H6929"/>
      <c r="I6929"/>
      <c r="J6929"/>
    </row>
    <row r="6930" spans="6:10">
      <c r="F6930"/>
      <c r="G6930"/>
      <c r="H6930"/>
      <c r="I6930"/>
      <c r="J6930"/>
    </row>
    <row r="6931" spans="6:10">
      <c r="F6931"/>
      <c r="G6931"/>
      <c r="H6931"/>
      <c r="I6931"/>
      <c r="J6931"/>
    </row>
    <row r="6932" spans="6:10">
      <c r="F6932"/>
      <c r="G6932"/>
      <c r="H6932"/>
      <c r="I6932"/>
      <c r="J6932"/>
    </row>
    <row r="6933" spans="6:10">
      <c r="F6933"/>
      <c r="G6933"/>
      <c r="H6933"/>
      <c r="I6933"/>
      <c r="J6933"/>
    </row>
    <row r="6934" spans="6:10">
      <c r="F6934"/>
      <c r="G6934"/>
      <c r="H6934"/>
      <c r="I6934"/>
      <c r="J6934"/>
    </row>
    <row r="6935" spans="6:10">
      <c r="F6935"/>
      <c r="G6935"/>
      <c r="H6935"/>
      <c r="I6935"/>
      <c r="J6935"/>
    </row>
    <row r="6936" spans="6:10">
      <c r="F6936"/>
      <c r="G6936"/>
      <c r="H6936"/>
      <c r="I6936"/>
      <c r="J6936"/>
    </row>
    <row r="6937" spans="6:10">
      <c r="F6937"/>
      <c r="G6937"/>
      <c r="H6937"/>
      <c r="I6937"/>
      <c r="J6937"/>
    </row>
    <row r="6938" spans="6:10">
      <c r="F6938"/>
      <c r="G6938"/>
      <c r="H6938"/>
      <c r="I6938"/>
      <c r="J6938"/>
    </row>
    <row r="6939" spans="6:10">
      <c r="F6939"/>
      <c r="G6939"/>
      <c r="H6939"/>
      <c r="I6939"/>
      <c r="J6939"/>
    </row>
    <row r="6940" spans="6:10">
      <c r="F6940"/>
      <c r="G6940"/>
      <c r="H6940"/>
      <c r="I6940"/>
      <c r="J6940"/>
    </row>
    <row r="6941" spans="6:10">
      <c r="F6941"/>
      <c r="G6941"/>
      <c r="H6941"/>
      <c r="I6941"/>
      <c r="J6941"/>
    </row>
    <row r="6942" spans="6:10">
      <c r="F6942"/>
      <c r="G6942"/>
      <c r="H6942"/>
      <c r="I6942"/>
      <c r="J6942"/>
    </row>
    <row r="6943" spans="6:10">
      <c r="F6943"/>
      <c r="G6943"/>
      <c r="H6943"/>
      <c r="I6943"/>
      <c r="J6943"/>
    </row>
    <row r="6944" spans="6:10">
      <c r="F6944"/>
      <c r="G6944"/>
      <c r="H6944"/>
      <c r="I6944"/>
      <c r="J6944"/>
    </row>
    <row r="6945" spans="6:10">
      <c r="F6945"/>
      <c r="G6945"/>
      <c r="H6945"/>
      <c r="I6945"/>
      <c r="J6945"/>
    </row>
    <row r="6946" spans="6:10">
      <c r="F6946"/>
      <c r="G6946"/>
      <c r="H6946"/>
      <c r="I6946"/>
      <c r="J6946"/>
    </row>
    <row r="6947" spans="6:10">
      <c r="F6947"/>
      <c r="G6947"/>
      <c r="H6947"/>
      <c r="I6947"/>
      <c r="J6947"/>
    </row>
    <row r="6948" spans="6:10">
      <c r="F6948"/>
      <c r="G6948"/>
      <c r="H6948"/>
      <c r="I6948"/>
      <c r="J6948"/>
    </row>
    <row r="6949" spans="6:10">
      <c r="F6949"/>
      <c r="G6949"/>
      <c r="H6949"/>
      <c r="I6949"/>
      <c r="J6949"/>
    </row>
    <row r="6950" spans="6:10">
      <c r="F6950"/>
      <c r="G6950"/>
      <c r="H6950"/>
      <c r="I6950"/>
      <c r="J6950"/>
    </row>
    <row r="6951" spans="6:10">
      <c r="F6951"/>
      <c r="G6951"/>
      <c r="H6951"/>
      <c r="I6951"/>
      <c r="J6951"/>
    </row>
    <row r="6952" spans="6:10">
      <c r="F6952"/>
      <c r="G6952"/>
      <c r="H6952"/>
      <c r="I6952"/>
      <c r="J6952"/>
    </row>
    <row r="6953" spans="6:10">
      <c r="F6953"/>
      <c r="G6953"/>
      <c r="H6953"/>
      <c r="I6953"/>
      <c r="J6953"/>
    </row>
    <row r="6954" spans="6:10">
      <c r="F6954"/>
      <c r="G6954"/>
      <c r="H6954"/>
      <c r="I6954"/>
      <c r="J6954"/>
    </row>
    <row r="6955" spans="6:10">
      <c r="F6955"/>
      <c r="G6955"/>
      <c r="H6955"/>
      <c r="I6955"/>
      <c r="J6955"/>
    </row>
    <row r="6956" spans="6:10">
      <c r="F6956"/>
      <c r="G6956"/>
      <c r="H6956"/>
      <c r="I6956"/>
      <c r="J6956"/>
    </row>
    <row r="6957" spans="6:10">
      <c r="F6957"/>
      <c r="G6957"/>
      <c r="H6957"/>
      <c r="I6957"/>
      <c r="J6957"/>
    </row>
    <row r="6958" spans="6:10">
      <c r="F6958"/>
      <c r="G6958"/>
      <c r="H6958"/>
      <c r="I6958"/>
      <c r="J6958"/>
    </row>
    <row r="6959" spans="6:10">
      <c r="F6959"/>
      <c r="G6959"/>
      <c r="H6959"/>
      <c r="I6959"/>
      <c r="J6959"/>
    </row>
    <row r="6960" spans="6:10">
      <c r="F6960"/>
      <c r="G6960"/>
      <c r="H6960"/>
      <c r="I6960"/>
      <c r="J6960"/>
    </row>
    <row r="6961" spans="6:10">
      <c r="F6961"/>
      <c r="G6961"/>
      <c r="H6961"/>
      <c r="I6961"/>
      <c r="J6961"/>
    </row>
    <row r="6962" spans="6:10">
      <c r="F6962"/>
      <c r="G6962"/>
      <c r="H6962"/>
      <c r="I6962"/>
      <c r="J6962"/>
    </row>
    <row r="6963" spans="6:10">
      <c r="F6963"/>
      <c r="G6963"/>
      <c r="H6963"/>
      <c r="I6963"/>
      <c r="J6963"/>
    </row>
    <row r="6964" spans="6:10">
      <c r="F6964"/>
      <c r="G6964"/>
      <c r="H6964"/>
      <c r="I6964"/>
      <c r="J6964"/>
    </row>
    <row r="6965" spans="6:10">
      <c r="F6965"/>
      <c r="G6965"/>
      <c r="H6965"/>
      <c r="I6965"/>
      <c r="J6965"/>
    </row>
    <row r="6966" spans="6:10">
      <c r="F6966"/>
      <c r="G6966"/>
      <c r="H6966"/>
      <c r="I6966"/>
      <c r="J6966"/>
    </row>
    <row r="6967" spans="6:10">
      <c r="F6967"/>
      <c r="G6967"/>
      <c r="H6967"/>
      <c r="I6967"/>
      <c r="J6967"/>
    </row>
    <row r="6968" spans="6:10">
      <c r="F6968"/>
      <c r="G6968"/>
      <c r="H6968"/>
      <c r="I6968"/>
      <c r="J6968"/>
    </row>
    <row r="6969" spans="6:10">
      <c r="F6969"/>
      <c r="G6969"/>
      <c r="H6969"/>
      <c r="I6969"/>
      <c r="J6969"/>
    </row>
    <row r="6970" spans="6:10">
      <c r="F6970"/>
      <c r="G6970"/>
      <c r="H6970"/>
      <c r="I6970"/>
      <c r="J6970"/>
    </row>
    <row r="6971" spans="6:10">
      <c r="F6971"/>
      <c r="G6971"/>
      <c r="H6971"/>
      <c r="I6971"/>
      <c r="J6971"/>
    </row>
    <row r="6972" spans="6:10">
      <c r="F6972"/>
      <c r="G6972"/>
      <c r="H6972"/>
      <c r="I6972"/>
      <c r="J6972"/>
    </row>
    <row r="6973" spans="6:10">
      <c r="F6973"/>
      <c r="G6973"/>
      <c r="H6973"/>
      <c r="I6973"/>
      <c r="J6973"/>
    </row>
    <row r="6974" spans="6:10">
      <c r="F6974"/>
      <c r="G6974"/>
      <c r="H6974"/>
      <c r="I6974"/>
      <c r="J6974"/>
    </row>
    <row r="6975" spans="6:10">
      <c r="F6975"/>
      <c r="G6975"/>
      <c r="H6975"/>
      <c r="I6975"/>
      <c r="J6975"/>
    </row>
    <row r="6976" spans="6:10">
      <c r="F6976"/>
      <c r="G6976"/>
      <c r="H6976"/>
      <c r="I6976"/>
      <c r="J6976"/>
    </row>
    <row r="6977" spans="6:10">
      <c r="F6977"/>
      <c r="G6977"/>
      <c r="H6977"/>
      <c r="I6977"/>
      <c r="J6977"/>
    </row>
    <row r="6978" spans="6:10">
      <c r="F6978"/>
      <c r="G6978"/>
      <c r="H6978"/>
      <c r="I6978"/>
      <c r="J6978"/>
    </row>
    <row r="6979" spans="6:10">
      <c r="F6979"/>
      <c r="G6979"/>
      <c r="H6979"/>
      <c r="I6979"/>
      <c r="J6979"/>
    </row>
    <row r="6980" spans="6:10">
      <c r="F6980"/>
      <c r="G6980"/>
      <c r="H6980"/>
      <c r="I6980"/>
      <c r="J6980"/>
    </row>
    <row r="6981" spans="6:10">
      <c r="F6981"/>
      <c r="G6981"/>
      <c r="H6981"/>
      <c r="I6981"/>
      <c r="J6981"/>
    </row>
    <row r="6982" spans="6:10">
      <c r="F6982"/>
      <c r="G6982"/>
      <c r="H6982"/>
      <c r="I6982"/>
      <c r="J6982"/>
    </row>
    <row r="6983" spans="6:10">
      <c r="F6983"/>
      <c r="G6983"/>
      <c r="H6983"/>
      <c r="I6983"/>
      <c r="J6983"/>
    </row>
    <row r="6984" spans="6:10">
      <c r="F6984"/>
      <c r="G6984"/>
      <c r="H6984"/>
      <c r="I6984"/>
      <c r="J6984"/>
    </row>
    <row r="6985" spans="6:10">
      <c r="F6985"/>
      <c r="G6985"/>
      <c r="H6985"/>
      <c r="I6985"/>
      <c r="J6985"/>
    </row>
    <row r="6986" spans="6:10">
      <c r="F6986"/>
      <c r="G6986"/>
      <c r="H6986"/>
      <c r="I6986"/>
      <c r="J6986"/>
    </row>
    <row r="6987" spans="6:10">
      <c r="F6987"/>
      <c r="G6987"/>
      <c r="H6987"/>
      <c r="I6987"/>
      <c r="J6987"/>
    </row>
    <row r="6988" spans="6:10">
      <c r="F6988"/>
      <c r="G6988"/>
      <c r="H6988"/>
      <c r="I6988"/>
      <c r="J6988"/>
    </row>
    <row r="6989" spans="6:10">
      <c r="F6989"/>
      <c r="G6989"/>
      <c r="H6989"/>
      <c r="I6989"/>
      <c r="J6989"/>
    </row>
    <row r="6990" spans="6:10">
      <c r="F6990"/>
      <c r="G6990"/>
      <c r="H6990"/>
      <c r="I6990"/>
      <c r="J6990"/>
    </row>
    <row r="6991" spans="6:10">
      <c r="F6991"/>
      <c r="G6991"/>
      <c r="H6991"/>
      <c r="I6991"/>
      <c r="J6991"/>
    </row>
    <row r="6992" spans="6:10">
      <c r="F6992"/>
      <c r="G6992"/>
      <c r="H6992"/>
      <c r="I6992"/>
      <c r="J6992"/>
    </row>
    <row r="6993" spans="6:10">
      <c r="F6993"/>
      <c r="G6993"/>
      <c r="H6993"/>
      <c r="I6993"/>
      <c r="J6993"/>
    </row>
    <row r="6994" spans="6:10">
      <c r="F6994"/>
      <c r="G6994"/>
      <c r="H6994"/>
      <c r="I6994"/>
      <c r="J6994"/>
    </row>
    <row r="6995" spans="6:10">
      <c r="F6995"/>
      <c r="G6995"/>
      <c r="H6995"/>
      <c r="I6995"/>
      <c r="J6995"/>
    </row>
    <row r="6996" spans="6:10">
      <c r="F6996"/>
      <c r="G6996"/>
      <c r="H6996"/>
      <c r="I6996"/>
      <c r="J6996"/>
    </row>
    <row r="6997" spans="6:10">
      <c r="F6997"/>
      <c r="G6997"/>
      <c r="H6997"/>
      <c r="I6997"/>
      <c r="J6997"/>
    </row>
    <row r="6998" spans="6:10">
      <c r="F6998"/>
      <c r="G6998"/>
      <c r="H6998"/>
      <c r="I6998"/>
      <c r="J6998"/>
    </row>
    <row r="6999" spans="6:10">
      <c r="F6999"/>
      <c r="G6999"/>
      <c r="H6999"/>
      <c r="I6999"/>
      <c r="J6999"/>
    </row>
    <row r="7000" spans="6:10">
      <c r="F7000"/>
      <c r="G7000"/>
      <c r="H7000"/>
      <c r="I7000"/>
      <c r="J7000"/>
    </row>
    <row r="7001" spans="6:10">
      <c r="F7001"/>
      <c r="G7001"/>
      <c r="H7001"/>
      <c r="I7001"/>
      <c r="J7001"/>
    </row>
    <row r="7002" spans="6:10">
      <c r="F7002"/>
      <c r="G7002"/>
      <c r="H7002"/>
      <c r="I7002"/>
      <c r="J7002"/>
    </row>
    <row r="7003" spans="6:10">
      <c r="F7003"/>
      <c r="G7003"/>
      <c r="H7003"/>
      <c r="I7003"/>
      <c r="J7003"/>
    </row>
    <row r="7004" spans="6:10">
      <c r="F7004"/>
      <c r="G7004"/>
      <c r="H7004"/>
      <c r="I7004"/>
      <c r="J7004"/>
    </row>
    <row r="7005" spans="6:10">
      <c r="F7005"/>
      <c r="G7005"/>
      <c r="H7005"/>
      <c r="I7005"/>
      <c r="J7005"/>
    </row>
    <row r="7006" spans="6:10">
      <c r="F7006"/>
      <c r="G7006"/>
      <c r="H7006"/>
      <c r="I7006"/>
      <c r="J7006"/>
    </row>
    <row r="7007" spans="6:10">
      <c r="F7007"/>
      <c r="G7007"/>
      <c r="H7007"/>
      <c r="I7007"/>
      <c r="J7007"/>
    </row>
    <row r="7008" spans="6:10">
      <c r="F7008"/>
      <c r="G7008"/>
      <c r="H7008"/>
      <c r="I7008"/>
      <c r="J7008"/>
    </row>
    <row r="7009" spans="6:10">
      <c r="F7009"/>
      <c r="G7009"/>
      <c r="H7009"/>
      <c r="I7009"/>
      <c r="J7009"/>
    </row>
    <row r="7010" spans="6:10">
      <c r="F7010"/>
      <c r="G7010"/>
      <c r="H7010"/>
      <c r="I7010"/>
      <c r="J7010"/>
    </row>
    <row r="7011" spans="6:10">
      <c r="F7011"/>
      <c r="G7011"/>
      <c r="H7011"/>
      <c r="I7011"/>
      <c r="J7011"/>
    </row>
    <row r="7012" spans="6:10">
      <c r="F7012"/>
      <c r="G7012"/>
      <c r="H7012"/>
      <c r="I7012"/>
      <c r="J7012"/>
    </row>
    <row r="7013" spans="6:10">
      <c r="F7013"/>
      <c r="G7013"/>
      <c r="H7013"/>
      <c r="I7013"/>
      <c r="J7013"/>
    </row>
    <row r="7014" spans="6:10">
      <c r="F7014"/>
      <c r="G7014"/>
      <c r="H7014"/>
      <c r="I7014"/>
      <c r="J7014"/>
    </row>
    <row r="7015" spans="6:10">
      <c r="F7015"/>
      <c r="G7015"/>
      <c r="H7015"/>
      <c r="I7015"/>
      <c r="J7015"/>
    </row>
    <row r="7016" spans="6:10">
      <c r="F7016"/>
      <c r="G7016"/>
      <c r="H7016"/>
      <c r="I7016"/>
      <c r="J7016"/>
    </row>
    <row r="7017" spans="6:10">
      <c r="F7017"/>
      <c r="G7017"/>
      <c r="H7017"/>
      <c r="I7017"/>
      <c r="J7017"/>
    </row>
    <row r="7018" spans="6:10">
      <c r="F7018"/>
      <c r="G7018"/>
      <c r="H7018"/>
      <c r="I7018"/>
      <c r="J7018"/>
    </row>
    <row r="7019" spans="6:10">
      <c r="F7019"/>
      <c r="G7019"/>
      <c r="H7019"/>
      <c r="I7019"/>
      <c r="J7019"/>
    </row>
    <row r="7020" spans="6:10">
      <c r="F7020"/>
      <c r="G7020"/>
      <c r="H7020"/>
      <c r="I7020"/>
      <c r="J7020"/>
    </row>
    <row r="7021" spans="6:10">
      <c r="F7021"/>
      <c r="G7021"/>
      <c r="H7021"/>
      <c r="I7021"/>
      <c r="J7021"/>
    </row>
    <row r="7022" spans="6:10">
      <c r="F7022"/>
      <c r="G7022"/>
      <c r="H7022"/>
      <c r="I7022"/>
      <c r="J7022"/>
    </row>
    <row r="7023" spans="6:10">
      <c r="F7023"/>
      <c r="G7023"/>
      <c r="H7023"/>
      <c r="I7023"/>
      <c r="J7023"/>
    </row>
    <row r="7024" spans="6:10">
      <c r="F7024"/>
      <c r="G7024"/>
      <c r="H7024"/>
      <c r="I7024"/>
      <c r="J7024"/>
    </row>
    <row r="7025" spans="6:10">
      <c r="F7025"/>
      <c r="G7025"/>
      <c r="H7025"/>
      <c r="I7025"/>
      <c r="J7025"/>
    </row>
    <row r="7026" spans="6:10">
      <c r="F7026"/>
      <c r="G7026"/>
      <c r="H7026"/>
      <c r="I7026"/>
      <c r="J7026"/>
    </row>
    <row r="7027" spans="6:10">
      <c r="F7027"/>
      <c r="G7027"/>
      <c r="H7027"/>
      <c r="I7027"/>
      <c r="J7027"/>
    </row>
    <row r="7028" spans="6:10">
      <c r="F7028"/>
      <c r="G7028"/>
      <c r="H7028"/>
      <c r="I7028"/>
      <c r="J7028"/>
    </row>
    <row r="7029" spans="6:10">
      <c r="F7029"/>
      <c r="G7029"/>
      <c r="H7029"/>
      <c r="I7029"/>
      <c r="J7029"/>
    </row>
    <row r="7030" spans="6:10">
      <c r="F7030"/>
      <c r="G7030"/>
      <c r="H7030"/>
      <c r="I7030"/>
      <c r="J7030"/>
    </row>
    <row r="7031" spans="6:10">
      <c r="F7031"/>
      <c r="G7031"/>
      <c r="H7031"/>
      <c r="I7031"/>
      <c r="J7031"/>
    </row>
    <row r="7032" spans="6:10">
      <c r="F7032"/>
      <c r="G7032"/>
      <c r="H7032"/>
      <c r="I7032"/>
      <c r="J7032"/>
    </row>
    <row r="7033" spans="6:10">
      <c r="F7033"/>
      <c r="G7033"/>
      <c r="H7033"/>
      <c r="I7033"/>
      <c r="J7033"/>
    </row>
    <row r="7034" spans="6:10">
      <c r="F7034"/>
      <c r="G7034"/>
      <c r="H7034"/>
      <c r="I7034"/>
      <c r="J7034"/>
    </row>
    <row r="7035" spans="6:10">
      <c r="F7035"/>
      <c r="G7035"/>
      <c r="H7035"/>
      <c r="I7035"/>
      <c r="J7035"/>
    </row>
    <row r="7036" spans="6:10">
      <c r="F7036"/>
      <c r="G7036"/>
      <c r="H7036"/>
      <c r="I7036"/>
      <c r="J7036"/>
    </row>
    <row r="7037" spans="6:10">
      <c r="F7037"/>
      <c r="G7037"/>
      <c r="H7037"/>
      <c r="I7037"/>
      <c r="J7037"/>
    </row>
    <row r="7038" spans="6:10">
      <c r="F7038"/>
      <c r="G7038"/>
      <c r="H7038"/>
      <c r="I7038"/>
      <c r="J7038"/>
    </row>
    <row r="7039" spans="6:10">
      <c r="F7039"/>
      <c r="G7039"/>
      <c r="H7039"/>
      <c r="I7039"/>
      <c r="J7039"/>
    </row>
    <row r="7040" spans="6:10">
      <c r="F7040"/>
      <c r="G7040"/>
      <c r="H7040"/>
      <c r="I7040"/>
      <c r="J7040"/>
    </row>
    <row r="7041" spans="6:10">
      <c r="F7041"/>
      <c r="G7041"/>
      <c r="H7041"/>
      <c r="I7041"/>
      <c r="J7041"/>
    </row>
    <row r="7042" spans="6:10">
      <c r="F7042"/>
      <c r="G7042"/>
      <c r="H7042"/>
      <c r="I7042"/>
      <c r="J7042"/>
    </row>
    <row r="7043" spans="6:10">
      <c r="F7043"/>
      <c r="G7043"/>
      <c r="H7043"/>
      <c r="I7043"/>
      <c r="J7043"/>
    </row>
    <row r="7044" spans="6:10">
      <c r="F7044"/>
      <c r="G7044"/>
      <c r="H7044"/>
      <c r="I7044"/>
      <c r="J7044"/>
    </row>
    <row r="7045" spans="6:10">
      <c r="F7045"/>
      <c r="G7045"/>
      <c r="H7045"/>
      <c r="I7045"/>
      <c r="J7045"/>
    </row>
    <row r="7046" spans="6:10">
      <c r="F7046"/>
      <c r="G7046"/>
      <c r="H7046"/>
      <c r="I7046"/>
      <c r="J7046"/>
    </row>
    <row r="7047" spans="6:10">
      <c r="F7047"/>
      <c r="G7047"/>
      <c r="H7047"/>
      <c r="I7047"/>
      <c r="J7047"/>
    </row>
    <row r="7048" spans="6:10">
      <c r="F7048"/>
      <c r="G7048"/>
      <c r="H7048"/>
      <c r="I7048"/>
      <c r="J7048"/>
    </row>
    <row r="7049" spans="6:10">
      <c r="F7049"/>
      <c r="G7049"/>
      <c r="H7049"/>
      <c r="I7049"/>
      <c r="J7049"/>
    </row>
    <row r="7050" spans="6:10">
      <c r="F7050"/>
      <c r="G7050"/>
      <c r="H7050"/>
      <c r="I7050"/>
      <c r="J7050"/>
    </row>
    <row r="7051" spans="6:10">
      <c r="F7051"/>
      <c r="G7051"/>
      <c r="H7051"/>
      <c r="I7051"/>
      <c r="J7051"/>
    </row>
    <row r="7052" spans="6:10">
      <c r="F7052"/>
      <c r="G7052"/>
      <c r="H7052"/>
      <c r="I7052"/>
      <c r="J7052"/>
    </row>
    <row r="7053" spans="6:10">
      <c r="F7053"/>
      <c r="G7053"/>
      <c r="H7053"/>
      <c r="I7053"/>
      <c r="J7053"/>
    </row>
    <row r="7054" spans="6:10">
      <c r="F7054"/>
      <c r="G7054"/>
      <c r="H7054"/>
      <c r="I7054"/>
      <c r="J7054"/>
    </row>
    <row r="7055" spans="6:10">
      <c r="F7055"/>
      <c r="G7055"/>
      <c r="H7055"/>
      <c r="I7055"/>
      <c r="J7055"/>
    </row>
    <row r="7056" spans="6:10">
      <c r="F7056"/>
      <c r="G7056"/>
      <c r="H7056"/>
      <c r="I7056"/>
      <c r="J7056"/>
    </row>
    <row r="7057" spans="6:10">
      <c r="F7057"/>
      <c r="G7057"/>
      <c r="H7057"/>
      <c r="I7057"/>
      <c r="J7057"/>
    </row>
    <row r="7058" spans="6:10">
      <c r="F7058"/>
      <c r="G7058"/>
      <c r="H7058"/>
      <c r="I7058"/>
      <c r="J7058"/>
    </row>
    <row r="7059" spans="6:10">
      <c r="F7059"/>
      <c r="G7059"/>
      <c r="H7059"/>
      <c r="I7059"/>
      <c r="J7059"/>
    </row>
    <row r="7060" spans="6:10">
      <c r="F7060"/>
      <c r="G7060"/>
      <c r="H7060"/>
      <c r="I7060"/>
      <c r="J7060"/>
    </row>
    <row r="7061" spans="6:10">
      <c r="F7061"/>
      <c r="G7061"/>
      <c r="H7061"/>
      <c r="I7061"/>
      <c r="J7061"/>
    </row>
    <row r="7062" spans="6:10">
      <c r="F7062"/>
      <c r="G7062"/>
      <c r="H7062"/>
      <c r="I7062"/>
      <c r="J7062"/>
    </row>
    <row r="7063" spans="6:10">
      <c r="F7063"/>
      <c r="G7063"/>
      <c r="H7063"/>
      <c r="I7063"/>
      <c r="J7063"/>
    </row>
    <row r="7064" spans="6:10">
      <c r="F7064"/>
      <c r="G7064"/>
      <c r="H7064"/>
      <c r="I7064"/>
      <c r="J7064"/>
    </row>
    <row r="7065" spans="6:10">
      <c r="F7065"/>
      <c r="G7065"/>
      <c r="H7065"/>
      <c r="I7065"/>
      <c r="J7065"/>
    </row>
    <row r="7066" spans="6:10">
      <c r="F7066"/>
      <c r="G7066"/>
      <c r="H7066"/>
      <c r="I7066"/>
      <c r="J7066"/>
    </row>
    <row r="7067" spans="6:10">
      <c r="F7067"/>
      <c r="G7067"/>
      <c r="H7067"/>
      <c r="I7067"/>
      <c r="J7067"/>
    </row>
    <row r="7068" spans="6:10">
      <c r="F7068"/>
      <c r="G7068"/>
      <c r="H7068"/>
      <c r="I7068"/>
      <c r="J7068"/>
    </row>
    <row r="7069" spans="6:10">
      <c r="F7069"/>
      <c r="G7069"/>
      <c r="H7069"/>
      <c r="I7069"/>
      <c r="J7069"/>
    </row>
    <row r="7070" spans="6:10">
      <c r="F7070"/>
      <c r="G7070"/>
      <c r="H7070"/>
      <c r="I7070"/>
      <c r="J7070"/>
    </row>
    <row r="7071" spans="6:10">
      <c r="F7071"/>
      <c r="G7071"/>
      <c r="H7071"/>
      <c r="I7071"/>
      <c r="J7071"/>
    </row>
    <row r="7072" spans="6:10">
      <c r="F7072"/>
      <c r="G7072"/>
      <c r="H7072"/>
      <c r="I7072"/>
      <c r="J7072"/>
    </row>
    <row r="7073" spans="6:10">
      <c r="F7073"/>
      <c r="G7073"/>
      <c r="H7073"/>
      <c r="I7073"/>
      <c r="J7073"/>
    </row>
  </sheetData>
  <autoFilter ref="A1:J1" xr:uid="{BB1A7395-167F-4494-9963-5FD68699F15C}">
    <sortState xmlns:xlrd2="http://schemas.microsoft.com/office/spreadsheetml/2017/richdata2" ref="A2:J7073">
      <sortCondition ref="A1"/>
    </sortState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DF69-D4AC-4375-ACB7-0125E6FE3E04}">
  <dimension ref="A1:V5097"/>
  <sheetViews>
    <sheetView tabSelected="1" topLeftCell="B46" zoomScale="85" zoomScaleNormal="85" workbookViewId="0">
      <selection activeCell="D16" sqref="D16"/>
    </sheetView>
  </sheetViews>
  <sheetFormatPr defaultRowHeight="14.4"/>
  <cols>
    <col min="1" max="1" width="33.44140625" customWidth="1"/>
    <col min="2" max="2" width="23.88671875" customWidth="1"/>
    <col min="3" max="3" width="23.44140625" customWidth="1"/>
    <col min="4" max="4" width="17.88671875" customWidth="1"/>
    <col min="5" max="5" width="27.88671875" customWidth="1"/>
    <col min="6" max="6" width="37.77734375" customWidth="1"/>
    <col min="7" max="7" width="42.5546875" customWidth="1"/>
    <col min="11" max="11" width="27.33203125" customWidth="1"/>
    <col min="12" max="12" width="22.77734375" customWidth="1"/>
    <col min="13" max="13" width="12" customWidth="1"/>
    <col min="14" max="14" width="16" customWidth="1"/>
    <col min="15" max="15" width="17.21875" customWidth="1"/>
    <col min="16" max="16" width="10.44140625" bestFit="1" customWidth="1"/>
    <col min="17" max="17" width="13.109375" customWidth="1"/>
    <col min="19" max="19" width="15.5546875" customWidth="1"/>
    <col min="20" max="20" width="16.44140625" customWidth="1"/>
  </cols>
  <sheetData>
    <row r="1" spans="1:22" ht="75" customHeight="1">
      <c r="C1" s="21"/>
      <c r="E1" t="s">
        <v>3064</v>
      </c>
      <c r="F1" t="s">
        <v>3065</v>
      </c>
      <c r="K1" s="2" t="s">
        <v>3140</v>
      </c>
      <c r="L1" s="2" t="s">
        <v>3141</v>
      </c>
      <c r="M1" t="s">
        <v>3069</v>
      </c>
      <c r="N1" t="s">
        <v>3070</v>
      </c>
      <c r="O1" t="s">
        <v>3071</v>
      </c>
      <c r="P1" t="s">
        <v>3074</v>
      </c>
      <c r="Q1" t="s">
        <v>3075</v>
      </c>
      <c r="R1" t="s">
        <v>3076</v>
      </c>
      <c r="S1" t="s">
        <v>3072</v>
      </c>
      <c r="T1" t="s">
        <v>3073</v>
      </c>
      <c r="U1" t="s">
        <v>3077</v>
      </c>
    </row>
    <row r="2" spans="1:22">
      <c r="A2" s="1">
        <v>42881.224999999999</v>
      </c>
      <c r="B2" s="19">
        <v>42421</v>
      </c>
      <c r="C2" s="21">
        <v>0.74861111111111112</v>
      </c>
      <c r="D2" s="20" t="s">
        <v>3044</v>
      </c>
      <c r="E2" t="s">
        <v>0</v>
      </c>
      <c r="G2" t="s">
        <v>3015</v>
      </c>
      <c r="H2">
        <v>25</v>
      </c>
      <c r="I2">
        <f>ROUNDUP((H2*1.24), 0)</f>
        <v>31</v>
      </c>
      <c r="J2">
        <f>ROUNDUP(H2*0.6, 0)</f>
        <v>15</v>
      </c>
      <c r="K2">
        <f>SUM(H2:H108)</f>
        <v>1865</v>
      </c>
      <c r="L2">
        <v>1005</v>
      </c>
      <c r="M2">
        <v>10</v>
      </c>
      <c r="N2">
        <v>5</v>
      </c>
      <c r="O2">
        <v>324</v>
      </c>
      <c r="P2">
        <v>75</v>
      </c>
      <c r="Q2" s="24">
        <f>(L2/K2)*100</f>
        <v>53.887399463806972</v>
      </c>
      <c r="R2" s="24">
        <f>(M2/K2)*100</f>
        <v>0.53619302949061665</v>
      </c>
      <c r="S2" s="24">
        <f>(N2/K2)*100</f>
        <v>0.26809651474530832</v>
      </c>
      <c r="T2" s="24">
        <f>(O2/K2)*100</f>
        <v>17.372654155495979</v>
      </c>
      <c r="U2" s="24">
        <f>(P2/K2)*100</f>
        <v>4.0214477211796247</v>
      </c>
      <c r="V2" s="24">
        <f>SUM(Q2:U2)</f>
        <v>76.085790884718506</v>
      </c>
    </row>
    <row r="3" spans="1:22">
      <c r="A3" s="1">
        <v>42881.111805555556</v>
      </c>
      <c r="B3" s="19">
        <v>42421</v>
      </c>
      <c r="C3" s="21">
        <v>0.59930555555555554</v>
      </c>
      <c r="D3" s="20" t="s">
        <v>3040</v>
      </c>
      <c r="E3" t="s">
        <v>0</v>
      </c>
      <c r="F3" t="s">
        <v>10</v>
      </c>
      <c r="G3" t="s">
        <v>3017</v>
      </c>
      <c r="H3">
        <v>25</v>
      </c>
      <c r="I3">
        <f t="shared" ref="I3:I66" si="0">ROUNDUP((H3*1.24), 0)</f>
        <v>31</v>
      </c>
      <c r="J3">
        <f t="shared" ref="J3:J40" si="1">ROUNDUP(H3*0.6, 0)</f>
        <v>15</v>
      </c>
      <c r="K3" t="s">
        <v>3078</v>
      </c>
      <c r="L3" t="s">
        <v>3080</v>
      </c>
      <c r="M3" t="s">
        <v>3079</v>
      </c>
      <c r="N3" t="s">
        <v>33</v>
      </c>
      <c r="O3" t="s">
        <v>3081</v>
      </c>
      <c r="P3" t="s">
        <v>3082</v>
      </c>
    </row>
    <row r="4" spans="1:22">
      <c r="A4" s="1">
        <v>42881.089583333334</v>
      </c>
      <c r="B4" s="19">
        <v>42421</v>
      </c>
      <c r="C4" s="21">
        <v>0.58472222222222225</v>
      </c>
      <c r="D4" s="20" t="s">
        <v>3040</v>
      </c>
      <c r="E4" t="s">
        <v>0</v>
      </c>
      <c r="F4" t="s">
        <v>313</v>
      </c>
      <c r="G4" t="s">
        <v>2672</v>
      </c>
      <c r="H4">
        <v>2</v>
      </c>
      <c r="I4">
        <f t="shared" si="0"/>
        <v>3</v>
      </c>
      <c r="J4">
        <f t="shared" si="1"/>
        <v>2</v>
      </c>
      <c r="K4">
        <f t="shared" ref="K4:P4" si="2">K2/60</f>
        <v>31.083333333333332</v>
      </c>
      <c r="L4" s="24">
        <f t="shared" si="2"/>
        <v>16.75</v>
      </c>
      <c r="M4">
        <f t="shared" si="2"/>
        <v>0.16666666666666666</v>
      </c>
      <c r="N4" s="24">
        <f t="shared" si="2"/>
        <v>8.3333333333333329E-2</v>
      </c>
      <c r="O4" s="24">
        <f t="shared" si="2"/>
        <v>5.4</v>
      </c>
      <c r="P4" s="24">
        <f t="shared" si="2"/>
        <v>1.25</v>
      </c>
    </row>
    <row r="5" spans="1:22">
      <c r="A5" s="1">
        <v>42881.227083333331</v>
      </c>
      <c r="B5" s="19">
        <v>42421</v>
      </c>
      <c r="C5" s="21">
        <v>0.58402777777777781</v>
      </c>
      <c r="D5" s="20" t="s">
        <v>3040</v>
      </c>
      <c r="E5" t="s">
        <v>0</v>
      </c>
      <c r="F5" t="s">
        <v>313</v>
      </c>
      <c r="G5" t="s">
        <v>3019</v>
      </c>
      <c r="H5">
        <v>2</v>
      </c>
      <c r="I5">
        <f t="shared" si="0"/>
        <v>3</v>
      </c>
      <c r="J5">
        <f t="shared" si="1"/>
        <v>2</v>
      </c>
    </row>
    <row r="6" spans="1:22">
      <c r="A6" s="1">
        <v>42880.833333333336</v>
      </c>
      <c r="B6" s="19">
        <v>42421</v>
      </c>
      <c r="C6" s="21">
        <v>0.58333333333333337</v>
      </c>
      <c r="D6" s="20" t="s">
        <v>3040</v>
      </c>
      <c r="E6" t="s">
        <v>149</v>
      </c>
      <c r="F6" t="s">
        <v>150</v>
      </c>
      <c r="G6" t="s">
        <v>3021</v>
      </c>
      <c r="H6">
        <v>50</v>
      </c>
      <c r="I6">
        <f t="shared" si="0"/>
        <v>62</v>
      </c>
      <c r="J6">
        <f t="shared" si="1"/>
        <v>30</v>
      </c>
    </row>
    <row r="7" spans="1:22">
      <c r="A7" s="1">
        <v>42880.716666666667</v>
      </c>
      <c r="B7" s="19">
        <v>42421</v>
      </c>
      <c r="C7" s="21">
        <v>0.58194444444444449</v>
      </c>
      <c r="D7" s="20" t="s">
        <v>3039</v>
      </c>
      <c r="E7" t="s">
        <v>0</v>
      </c>
      <c r="F7" t="s">
        <v>313</v>
      </c>
      <c r="G7" t="s">
        <v>2672</v>
      </c>
      <c r="H7">
        <v>4</v>
      </c>
      <c r="I7">
        <f t="shared" si="0"/>
        <v>5</v>
      </c>
      <c r="J7">
        <f t="shared" si="1"/>
        <v>3</v>
      </c>
    </row>
    <row r="8" spans="1:22">
      <c r="A8" s="1">
        <v>42880.698611111111</v>
      </c>
      <c r="B8" s="19">
        <v>42421</v>
      </c>
      <c r="C8" s="21">
        <v>0.57916666666666672</v>
      </c>
      <c r="D8" s="20" t="s">
        <v>3039</v>
      </c>
      <c r="E8" t="s">
        <v>0</v>
      </c>
      <c r="F8" t="s">
        <v>1</v>
      </c>
      <c r="H8">
        <v>19</v>
      </c>
      <c r="I8">
        <f t="shared" si="0"/>
        <v>24</v>
      </c>
      <c r="J8">
        <f t="shared" si="1"/>
        <v>12</v>
      </c>
    </row>
    <row r="9" spans="1:22">
      <c r="A9" s="1">
        <v>42880.669444444444</v>
      </c>
      <c r="B9" s="19">
        <v>42421</v>
      </c>
      <c r="C9" s="21">
        <v>0.57916666666666672</v>
      </c>
      <c r="D9" s="20" t="s">
        <v>3039</v>
      </c>
      <c r="E9" t="s">
        <v>0</v>
      </c>
      <c r="F9" t="s">
        <v>75</v>
      </c>
      <c r="H9">
        <v>13</v>
      </c>
      <c r="I9">
        <f t="shared" si="0"/>
        <v>17</v>
      </c>
      <c r="J9">
        <f t="shared" si="1"/>
        <v>8</v>
      </c>
    </row>
    <row r="10" spans="1:22">
      <c r="A10" s="1">
        <v>42880.540972222225</v>
      </c>
      <c r="B10" s="19">
        <v>42421</v>
      </c>
      <c r="C10" s="21">
        <v>0.99375000000000002</v>
      </c>
      <c r="D10" s="20" t="s">
        <v>3063</v>
      </c>
      <c r="E10" t="s">
        <v>2</v>
      </c>
      <c r="G10" t="s">
        <v>3011</v>
      </c>
      <c r="H10">
        <v>34</v>
      </c>
      <c r="I10">
        <f t="shared" si="0"/>
        <v>43</v>
      </c>
      <c r="J10">
        <f t="shared" si="1"/>
        <v>21</v>
      </c>
    </row>
    <row r="11" spans="1:22">
      <c r="A11" s="1">
        <v>42880.495138888888</v>
      </c>
      <c r="B11" s="19">
        <v>42421</v>
      </c>
      <c r="C11" s="21">
        <v>0.97569444444444442</v>
      </c>
      <c r="D11" s="20" t="s">
        <v>3063</v>
      </c>
      <c r="E11" t="s">
        <v>6</v>
      </c>
      <c r="F11" t="s">
        <v>26</v>
      </c>
      <c r="G11" t="s">
        <v>453</v>
      </c>
      <c r="H11">
        <v>19</v>
      </c>
      <c r="I11">
        <f t="shared" si="0"/>
        <v>24</v>
      </c>
      <c r="J11">
        <f t="shared" si="1"/>
        <v>12</v>
      </c>
    </row>
    <row r="12" spans="1:22">
      <c r="A12" s="1">
        <v>42880.479166666664</v>
      </c>
      <c r="B12" s="19">
        <v>42421</v>
      </c>
      <c r="C12" s="21">
        <v>0.95</v>
      </c>
      <c r="D12" s="20" t="s">
        <v>3049</v>
      </c>
      <c r="E12" t="s">
        <v>2</v>
      </c>
      <c r="F12" t="s">
        <v>56</v>
      </c>
      <c r="G12" t="s">
        <v>3012</v>
      </c>
      <c r="H12">
        <v>25</v>
      </c>
      <c r="I12">
        <f t="shared" si="0"/>
        <v>31</v>
      </c>
      <c r="J12">
        <f t="shared" si="1"/>
        <v>15</v>
      </c>
    </row>
    <row r="13" spans="1:22">
      <c r="A13" s="1">
        <v>42880.434027777781</v>
      </c>
      <c r="B13" s="19">
        <v>42421</v>
      </c>
      <c r="C13" s="21">
        <v>0.92013888888888884</v>
      </c>
      <c r="D13" s="20" t="s">
        <v>3049</v>
      </c>
      <c r="E13" t="s">
        <v>2</v>
      </c>
      <c r="G13" t="s">
        <v>3013</v>
      </c>
      <c r="H13">
        <v>7</v>
      </c>
      <c r="I13">
        <f t="shared" si="0"/>
        <v>9</v>
      </c>
      <c r="J13">
        <f t="shared" si="1"/>
        <v>5</v>
      </c>
    </row>
    <row r="14" spans="1:22">
      <c r="A14" s="1">
        <v>42880.375</v>
      </c>
      <c r="B14" s="19">
        <v>42421</v>
      </c>
      <c r="C14" s="21">
        <v>0.76041666666666663</v>
      </c>
      <c r="D14" s="20" t="s">
        <v>3045</v>
      </c>
      <c r="E14" t="s">
        <v>6</v>
      </c>
      <c r="F14" t="s">
        <v>26</v>
      </c>
      <c r="G14" t="s">
        <v>3014</v>
      </c>
      <c r="H14">
        <v>19</v>
      </c>
      <c r="I14">
        <f t="shared" si="0"/>
        <v>24</v>
      </c>
      <c r="J14">
        <f t="shared" si="1"/>
        <v>12</v>
      </c>
    </row>
    <row r="15" spans="1:22">
      <c r="A15" s="1">
        <v>42880.311111111114</v>
      </c>
      <c r="B15" s="19">
        <v>42421</v>
      </c>
      <c r="C15" s="21">
        <v>0.71736111111111112</v>
      </c>
      <c r="D15" s="20" t="s">
        <v>3044</v>
      </c>
      <c r="E15" t="s">
        <v>6</v>
      </c>
      <c r="F15" t="s">
        <v>26</v>
      </c>
      <c r="G15" t="s">
        <v>3014</v>
      </c>
      <c r="H15">
        <v>19</v>
      </c>
      <c r="I15">
        <f t="shared" si="0"/>
        <v>24</v>
      </c>
      <c r="J15">
        <f t="shared" si="1"/>
        <v>12</v>
      </c>
    </row>
    <row r="16" spans="1:22">
      <c r="A16" s="1">
        <v>42880.30972222222</v>
      </c>
      <c r="B16" s="19">
        <v>42421</v>
      </c>
      <c r="C16" s="21">
        <v>0.7055555555555556</v>
      </c>
      <c r="D16" s="20" t="s">
        <v>3043</v>
      </c>
      <c r="E16" t="s">
        <v>6</v>
      </c>
      <c r="F16" t="s">
        <v>26</v>
      </c>
      <c r="G16" t="s">
        <v>3016</v>
      </c>
      <c r="H16">
        <v>13</v>
      </c>
      <c r="I16">
        <f t="shared" si="0"/>
        <v>17</v>
      </c>
      <c r="J16">
        <f t="shared" si="1"/>
        <v>8</v>
      </c>
    </row>
    <row r="17" spans="1:11">
      <c r="A17" s="1">
        <v>42880.171527777777</v>
      </c>
      <c r="B17" s="19">
        <v>42421</v>
      </c>
      <c r="C17" s="21">
        <v>0.68819444444444444</v>
      </c>
      <c r="D17" s="20" t="s">
        <v>3043</v>
      </c>
      <c r="E17" t="s">
        <v>6</v>
      </c>
      <c r="F17" t="s">
        <v>26</v>
      </c>
      <c r="G17" t="s">
        <v>3016</v>
      </c>
      <c r="H17">
        <v>13</v>
      </c>
      <c r="I17">
        <f t="shared" si="0"/>
        <v>17</v>
      </c>
      <c r="J17">
        <f t="shared" si="1"/>
        <v>8</v>
      </c>
    </row>
    <row r="18" spans="1:11">
      <c r="A18" s="1">
        <v>42880.148611111108</v>
      </c>
      <c r="B18" s="19">
        <v>42421</v>
      </c>
      <c r="C18" s="21">
        <v>0.59097222222222223</v>
      </c>
      <c r="D18" s="20" t="s">
        <v>3040</v>
      </c>
      <c r="E18" t="s">
        <v>2</v>
      </c>
      <c r="F18" t="s">
        <v>5</v>
      </c>
      <c r="G18" t="s">
        <v>3018</v>
      </c>
      <c r="H18">
        <v>50</v>
      </c>
      <c r="I18">
        <f t="shared" si="0"/>
        <v>62</v>
      </c>
      <c r="J18">
        <f t="shared" si="1"/>
        <v>30</v>
      </c>
    </row>
    <row r="19" spans="1:11">
      <c r="A19" s="1">
        <v>42880.147916666669</v>
      </c>
      <c r="B19" s="19">
        <v>42421</v>
      </c>
      <c r="C19" s="21">
        <v>0.59097222222222223</v>
      </c>
      <c r="D19" s="20" t="s">
        <v>3040</v>
      </c>
      <c r="E19" t="s">
        <v>2</v>
      </c>
      <c r="F19" t="s">
        <v>5</v>
      </c>
      <c r="G19" t="s">
        <v>3018</v>
      </c>
      <c r="H19">
        <v>13</v>
      </c>
      <c r="I19">
        <f t="shared" si="0"/>
        <v>17</v>
      </c>
      <c r="J19">
        <f t="shared" si="1"/>
        <v>8</v>
      </c>
    </row>
    <row r="20" spans="1:11">
      <c r="A20" s="1">
        <v>42880.918749999997</v>
      </c>
      <c r="B20" s="19">
        <v>42421</v>
      </c>
      <c r="C20" s="21">
        <v>0.5854166666666667</v>
      </c>
      <c r="D20" s="20" t="s">
        <v>3040</v>
      </c>
      <c r="E20" t="s">
        <v>2</v>
      </c>
      <c r="F20" t="s">
        <v>5</v>
      </c>
      <c r="G20" t="s">
        <v>3018</v>
      </c>
      <c r="H20">
        <v>56</v>
      </c>
      <c r="I20">
        <f t="shared" si="0"/>
        <v>70</v>
      </c>
      <c r="J20">
        <f t="shared" si="1"/>
        <v>34</v>
      </c>
    </row>
    <row r="21" spans="1:11">
      <c r="A21" s="1">
        <v>42880.908333333333</v>
      </c>
      <c r="B21" s="19">
        <v>42421</v>
      </c>
      <c r="C21" s="21">
        <v>0.58472222222222225</v>
      </c>
      <c r="D21" s="20" t="s">
        <v>3040</v>
      </c>
      <c r="E21" t="s">
        <v>2</v>
      </c>
      <c r="F21" t="s">
        <v>5</v>
      </c>
      <c r="G21" t="s">
        <v>3018</v>
      </c>
      <c r="H21">
        <v>13</v>
      </c>
      <c r="I21">
        <f t="shared" si="0"/>
        <v>17</v>
      </c>
      <c r="J21">
        <f t="shared" si="1"/>
        <v>8</v>
      </c>
    </row>
    <row r="22" spans="1:11">
      <c r="A22" s="1">
        <v>42880.65625</v>
      </c>
      <c r="B22" s="19">
        <v>42421</v>
      </c>
      <c r="C22" s="21">
        <v>0.58402777777777781</v>
      </c>
      <c r="D22" s="20" t="s">
        <v>3040</v>
      </c>
      <c r="E22" t="s">
        <v>6</v>
      </c>
      <c r="F22" t="s">
        <v>7</v>
      </c>
      <c r="G22" t="s">
        <v>3020</v>
      </c>
      <c r="H22">
        <v>31</v>
      </c>
      <c r="I22">
        <f t="shared" si="0"/>
        <v>39</v>
      </c>
      <c r="J22">
        <f t="shared" si="1"/>
        <v>19</v>
      </c>
    </row>
    <row r="23" spans="1:11">
      <c r="A23" s="1">
        <v>42880.604861111111</v>
      </c>
      <c r="B23" s="19">
        <v>42421</v>
      </c>
      <c r="C23" s="21">
        <v>0.58333333333333337</v>
      </c>
      <c r="D23" s="20" t="s">
        <v>3040</v>
      </c>
      <c r="E23" t="s">
        <v>2</v>
      </c>
      <c r="F23" t="s">
        <v>5</v>
      </c>
      <c r="G23" t="s">
        <v>3018</v>
      </c>
      <c r="H23">
        <v>31</v>
      </c>
      <c r="I23">
        <f t="shared" si="0"/>
        <v>39</v>
      </c>
      <c r="J23">
        <f t="shared" si="1"/>
        <v>19</v>
      </c>
    </row>
    <row r="24" spans="1:11">
      <c r="A24" s="1">
        <v>42880.39166666667</v>
      </c>
      <c r="B24" s="19">
        <v>42421</v>
      </c>
      <c r="C24" s="21">
        <v>0.58263888888888893</v>
      </c>
      <c r="D24" s="20" t="s">
        <v>3039</v>
      </c>
      <c r="E24" t="s">
        <v>2</v>
      </c>
      <c r="F24" t="s">
        <v>5</v>
      </c>
      <c r="G24" t="s">
        <v>3018</v>
      </c>
      <c r="H24">
        <v>22</v>
      </c>
      <c r="I24">
        <f t="shared" si="0"/>
        <v>28</v>
      </c>
      <c r="J24">
        <f t="shared" si="1"/>
        <v>14</v>
      </c>
    </row>
    <row r="25" spans="1:11" s="25" customFormat="1" ht="15" thickBot="1">
      <c r="A25" s="1">
        <v>42880.24722222222</v>
      </c>
      <c r="B25" s="19">
        <v>42421</v>
      </c>
      <c r="C25" s="21">
        <v>0.58263888888888893</v>
      </c>
      <c r="D25" s="20" t="s">
        <v>3039</v>
      </c>
      <c r="E25" t="s">
        <v>6</v>
      </c>
      <c r="F25" t="s">
        <v>7</v>
      </c>
      <c r="G25" t="s">
        <v>3022</v>
      </c>
      <c r="H25">
        <v>19</v>
      </c>
      <c r="I25">
        <f t="shared" si="0"/>
        <v>24</v>
      </c>
      <c r="J25">
        <f t="shared" si="1"/>
        <v>12</v>
      </c>
      <c r="K25"/>
    </row>
    <row r="26" spans="1:11">
      <c r="A26" s="1">
        <v>42879.759027777778</v>
      </c>
      <c r="B26" s="19">
        <v>42421</v>
      </c>
      <c r="C26" s="21">
        <v>0.57986111111111116</v>
      </c>
      <c r="D26" s="20" t="s">
        <v>3039</v>
      </c>
      <c r="E26" t="s">
        <v>6</v>
      </c>
      <c r="F26" t="s">
        <v>61</v>
      </c>
      <c r="G26" t="s">
        <v>3023</v>
      </c>
      <c r="H26">
        <v>3</v>
      </c>
      <c r="I26">
        <f t="shared" si="0"/>
        <v>4</v>
      </c>
      <c r="J26">
        <f t="shared" si="1"/>
        <v>2</v>
      </c>
    </row>
    <row r="27" spans="1:11">
      <c r="A27" s="1">
        <v>42879.657638888886</v>
      </c>
      <c r="B27" s="19">
        <v>42421</v>
      </c>
      <c r="C27" s="21">
        <v>0.57986111111111116</v>
      </c>
      <c r="D27" s="20" t="s">
        <v>3039</v>
      </c>
      <c r="E27" t="s">
        <v>6</v>
      </c>
      <c r="F27" t="s">
        <v>7</v>
      </c>
      <c r="G27" t="s">
        <v>3022</v>
      </c>
      <c r="H27">
        <v>31</v>
      </c>
      <c r="I27">
        <f t="shared" si="0"/>
        <v>39</v>
      </c>
      <c r="J27">
        <f t="shared" si="1"/>
        <v>19</v>
      </c>
    </row>
    <row r="28" spans="1:11">
      <c r="A28" s="1">
        <v>42879.5</v>
      </c>
      <c r="B28" s="19">
        <v>42422</v>
      </c>
      <c r="C28" s="21">
        <v>0.73402777777777772</v>
      </c>
      <c r="D28" s="20" t="s">
        <v>3044</v>
      </c>
      <c r="E28" t="s">
        <v>0</v>
      </c>
      <c r="G28" t="s">
        <v>2995</v>
      </c>
      <c r="H28">
        <v>25</v>
      </c>
      <c r="I28">
        <f t="shared" si="0"/>
        <v>31</v>
      </c>
      <c r="J28">
        <f t="shared" si="1"/>
        <v>15</v>
      </c>
    </row>
    <row r="29" spans="1:11">
      <c r="A29" s="1">
        <v>42879.375</v>
      </c>
      <c r="B29" s="19">
        <v>42422</v>
      </c>
      <c r="C29" s="21">
        <v>0.58125000000000004</v>
      </c>
      <c r="D29" s="20" t="s">
        <v>3039</v>
      </c>
      <c r="E29" t="s">
        <v>0</v>
      </c>
      <c r="G29" t="s">
        <v>2980</v>
      </c>
      <c r="H29">
        <v>7</v>
      </c>
      <c r="I29">
        <f t="shared" si="0"/>
        <v>9</v>
      </c>
      <c r="J29">
        <f t="shared" si="1"/>
        <v>5</v>
      </c>
    </row>
    <row r="30" spans="1:11">
      <c r="A30" s="1">
        <v>42879.212500000001</v>
      </c>
      <c r="B30" s="19">
        <v>42422</v>
      </c>
      <c r="C30" s="21">
        <v>0.57013888888888886</v>
      </c>
      <c r="D30" s="20" t="s">
        <v>3039</v>
      </c>
      <c r="E30" t="s">
        <v>18</v>
      </c>
      <c r="F30" t="s">
        <v>19</v>
      </c>
      <c r="H30">
        <v>25</v>
      </c>
      <c r="I30">
        <f t="shared" si="0"/>
        <v>31</v>
      </c>
      <c r="J30">
        <f t="shared" si="1"/>
        <v>15</v>
      </c>
    </row>
    <row r="31" spans="1:11">
      <c r="A31" s="1">
        <v>42879.916666666664</v>
      </c>
      <c r="B31" s="19">
        <v>42422</v>
      </c>
      <c r="C31" s="21">
        <v>0.55138888888888893</v>
      </c>
      <c r="D31" s="20" t="s">
        <v>3039</v>
      </c>
      <c r="E31" t="s">
        <v>0</v>
      </c>
      <c r="G31" t="s">
        <v>3000</v>
      </c>
      <c r="H31">
        <v>4</v>
      </c>
      <c r="I31">
        <f t="shared" si="0"/>
        <v>5</v>
      </c>
      <c r="J31">
        <f t="shared" si="1"/>
        <v>3</v>
      </c>
    </row>
    <row r="32" spans="1:11">
      <c r="A32" s="1">
        <v>42879.584027777775</v>
      </c>
      <c r="B32" s="19">
        <v>42422</v>
      </c>
      <c r="C32" s="21">
        <v>0.55000000000000004</v>
      </c>
      <c r="D32" s="20" t="s">
        <v>3039</v>
      </c>
      <c r="E32" t="s">
        <v>0</v>
      </c>
      <c r="F32" t="s">
        <v>313</v>
      </c>
      <c r="G32" t="s">
        <v>3002</v>
      </c>
      <c r="H32">
        <v>3</v>
      </c>
      <c r="I32">
        <f t="shared" si="0"/>
        <v>4</v>
      </c>
      <c r="J32">
        <f t="shared" si="1"/>
        <v>2</v>
      </c>
    </row>
    <row r="33" spans="1:10">
      <c r="A33" s="1">
        <v>42879.517361111109</v>
      </c>
      <c r="B33" s="19">
        <v>42422</v>
      </c>
      <c r="C33" s="21">
        <v>0.5493055555555556</v>
      </c>
      <c r="D33" s="20" t="s">
        <v>3039</v>
      </c>
      <c r="E33" t="s">
        <v>77</v>
      </c>
      <c r="G33" t="s">
        <v>3003</v>
      </c>
      <c r="H33">
        <v>13</v>
      </c>
      <c r="I33">
        <f t="shared" si="0"/>
        <v>17</v>
      </c>
      <c r="J33">
        <f t="shared" si="1"/>
        <v>8</v>
      </c>
    </row>
    <row r="34" spans="1:10">
      <c r="A34" s="1">
        <v>42879.248611111114</v>
      </c>
      <c r="B34" s="19">
        <v>42422</v>
      </c>
      <c r="C34" s="21">
        <v>0.54861111111111116</v>
      </c>
      <c r="D34" s="20" t="s">
        <v>3039</v>
      </c>
      <c r="E34" t="s">
        <v>0</v>
      </c>
      <c r="F34" t="s">
        <v>313</v>
      </c>
      <c r="G34" t="s">
        <v>3004</v>
      </c>
      <c r="H34">
        <v>2</v>
      </c>
      <c r="I34">
        <f t="shared" si="0"/>
        <v>3</v>
      </c>
      <c r="J34">
        <f t="shared" si="1"/>
        <v>2</v>
      </c>
    </row>
    <row r="35" spans="1:10">
      <c r="A35" s="1">
        <v>42878.92083333333</v>
      </c>
      <c r="B35" s="19">
        <v>42422</v>
      </c>
      <c r="C35" s="21">
        <v>0.54652777777777772</v>
      </c>
      <c r="D35" s="20" t="s">
        <v>3039</v>
      </c>
      <c r="E35" t="s">
        <v>18</v>
      </c>
      <c r="F35" t="s">
        <v>100</v>
      </c>
      <c r="G35" t="s">
        <v>3005</v>
      </c>
      <c r="H35">
        <v>13</v>
      </c>
      <c r="I35">
        <f t="shared" si="0"/>
        <v>17</v>
      </c>
      <c r="J35">
        <f t="shared" si="1"/>
        <v>8</v>
      </c>
    </row>
    <row r="36" spans="1:10">
      <c r="A36" s="1">
        <v>42878.90625</v>
      </c>
      <c r="B36" s="19">
        <v>42422</v>
      </c>
      <c r="C36" s="21">
        <v>0.54583333333333328</v>
      </c>
      <c r="D36" s="20" t="s">
        <v>3039</v>
      </c>
      <c r="E36" t="s">
        <v>0</v>
      </c>
      <c r="F36" t="s">
        <v>10</v>
      </c>
      <c r="G36" t="s">
        <v>3006</v>
      </c>
      <c r="H36">
        <v>25</v>
      </c>
      <c r="I36">
        <f t="shared" si="0"/>
        <v>31</v>
      </c>
      <c r="J36">
        <f t="shared" si="1"/>
        <v>15</v>
      </c>
    </row>
    <row r="37" spans="1:10">
      <c r="A37" s="1">
        <v>42878.865277777775</v>
      </c>
      <c r="B37" s="19">
        <v>42422</v>
      </c>
      <c r="C37" s="21">
        <v>0.5395833333333333</v>
      </c>
      <c r="D37" s="20" t="s">
        <v>3038</v>
      </c>
      <c r="E37" t="s">
        <v>33</v>
      </c>
      <c r="F37" t="s">
        <v>34</v>
      </c>
      <c r="G37" t="s">
        <v>3008</v>
      </c>
      <c r="H37">
        <v>7</v>
      </c>
      <c r="I37">
        <f t="shared" si="0"/>
        <v>9</v>
      </c>
      <c r="J37">
        <f t="shared" si="1"/>
        <v>5</v>
      </c>
    </row>
    <row r="38" spans="1:10">
      <c r="A38" s="1">
        <v>42878.802083333336</v>
      </c>
      <c r="B38" s="19">
        <v>42422</v>
      </c>
      <c r="C38" s="21">
        <v>0.53888888888888886</v>
      </c>
      <c r="D38" s="20" t="s">
        <v>3038</v>
      </c>
      <c r="E38" t="s">
        <v>0</v>
      </c>
      <c r="F38" t="s">
        <v>313</v>
      </c>
      <c r="G38" t="s">
        <v>3009</v>
      </c>
      <c r="H38">
        <v>2</v>
      </c>
      <c r="I38">
        <f t="shared" si="0"/>
        <v>3</v>
      </c>
      <c r="J38">
        <f t="shared" si="1"/>
        <v>2</v>
      </c>
    </row>
    <row r="39" spans="1:10">
      <c r="A39" s="1">
        <v>42878.662499999999</v>
      </c>
      <c r="B39" s="19">
        <v>42422</v>
      </c>
      <c r="C39" s="21">
        <v>0.53819444444444442</v>
      </c>
      <c r="D39" s="20" t="s">
        <v>3038</v>
      </c>
      <c r="E39" t="s">
        <v>0</v>
      </c>
      <c r="F39" t="s">
        <v>313</v>
      </c>
      <c r="G39" t="s">
        <v>3010</v>
      </c>
      <c r="H39">
        <v>3</v>
      </c>
      <c r="I39">
        <f t="shared" si="0"/>
        <v>4</v>
      </c>
      <c r="J39">
        <f t="shared" si="1"/>
        <v>2</v>
      </c>
    </row>
    <row r="40" spans="1:10">
      <c r="A40" s="1">
        <v>42878.60833333333</v>
      </c>
      <c r="B40" s="19">
        <v>42422</v>
      </c>
      <c r="C40" s="21">
        <v>0.81944444444444442</v>
      </c>
      <c r="D40" s="20" t="s">
        <v>3046</v>
      </c>
      <c r="E40" t="s">
        <v>6</v>
      </c>
      <c r="F40" t="s">
        <v>46</v>
      </c>
      <c r="G40" t="s">
        <v>2993</v>
      </c>
      <c r="H40">
        <v>75</v>
      </c>
      <c r="I40">
        <f t="shared" si="0"/>
        <v>93</v>
      </c>
      <c r="J40">
        <f t="shared" si="1"/>
        <v>45</v>
      </c>
    </row>
    <row r="41" spans="1:10">
      <c r="A41" s="1">
        <v>42878.591666666667</v>
      </c>
      <c r="B41" s="19">
        <v>42422</v>
      </c>
      <c r="C41" s="21">
        <v>0.75069444444444444</v>
      </c>
      <c r="D41" s="20" t="s">
        <v>3045</v>
      </c>
      <c r="E41" t="s">
        <v>6</v>
      </c>
      <c r="F41" t="s">
        <v>46</v>
      </c>
      <c r="G41" t="s">
        <v>2994</v>
      </c>
      <c r="H41">
        <v>75</v>
      </c>
      <c r="I41">
        <f t="shared" si="0"/>
        <v>93</v>
      </c>
    </row>
    <row r="42" spans="1:10">
      <c r="A42" s="1">
        <v>42878.574305555558</v>
      </c>
      <c r="B42" s="19">
        <v>42422</v>
      </c>
      <c r="C42" s="21">
        <v>0.72291666666666665</v>
      </c>
      <c r="D42" s="20" t="s">
        <v>3044</v>
      </c>
      <c r="E42" t="s">
        <v>6</v>
      </c>
      <c r="F42" t="s">
        <v>46</v>
      </c>
      <c r="G42" t="s">
        <v>2994</v>
      </c>
      <c r="H42">
        <v>50</v>
      </c>
      <c r="I42">
        <f t="shared" si="0"/>
        <v>62</v>
      </c>
    </row>
    <row r="43" spans="1:10">
      <c r="A43" s="1">
        <v>42878.563888888886</v>
      </c>
      <c r="B43" s="19">
        <v>42422</v>
      </c>
      <c r="C43" s="21">
        <v>0.69305555555555554</v>
      </c>
      <c r="D43" s="20" t="s">
        <v>3043</v>
      </c>
      <c r="E43" t="s">
        <v>6</v>
      </c>
      <c r="F43" t="s">
        <v>46</v>
      </c>
      <c r="G43" t="s">
        <v>2996</v>
      </c>
      <c r="H43">
        <v>28</v>
      </c>
      <c r="I43">
        <f t="shared" si="0"/>
        <v>35</v>
      </c>
    </row>
    <row r="44" spans="1:10">
      <c r="A44" s="1">
        <v>42878.505555555559</v>
      </c>
      <c r="B44" s="19">
        <v>42422</v>
      </c>
      <c r="C44" s="21">
        <v>0.66666666666666663</v>
      </c>
      <c r="D44" s="20" t="s">
        <v>3043</v>
      </c>
      <c r="E44" t="s">
        <v>6</v>
      </c>
      <c r="F44" t="s">
        <v>89</v>
      </c>
      <c r="G44" t="s">
        <v>2997</v>
      </c>
      <c r="H44">
        <v>17</v>
      </c>
      <c r="I44">
        <f t="shared" si="0"/>
        <v>22</v>
      </c>
    </row>
    <row r="45" spans="1:10">
      <c r="A45" s="1">
        <v>42878.477777777778</v>
      </c>
      <c r="B45" s="19">
        <v>42422</v>
      </c>
      <c r="C45" s="21">
        <v>0.65347222222222223</v>
      </c>
      <c r="D45" s="20" t="s">
        <v>3042</v>
      </c>
      <c r="E45" t="s">
        <v>6</v>
      </c>
      <c r="F45" t="s">
        <v>89</v>
      </c>
      <c r="G45" t="s">
        <v>2998</v>
      </c>
      <c r="H45">
        <v>25</v>
      </c>
      <c r="I45">
        <f t="shared" si="0"/>
        <v>31</v>
      </c>
    </row>
    <row r="46" spans="1:10">
      <c r="A46" s="1">
        <v>42878.418055555558</v>
      </c>
      <c r="B46" s="19">
        <v>42422</v>
      </c>
      <c r="C46" s="21">
        <v>0.62777777777777777</v>
      </c>
      <c r="D46" s="20" t="s">
        <v>3042</v>
      </c>
      <c r="E46" t="s">
        <v>6</v>
      </c>
      <c r="F46" t="s">
        <v>26</v>
      </c>
      <c r="G46" t="s">
        <v>2999</v>
      </c>
      <c r="H46">
        <v>25</v>
      </c>
      <c r="I46">
        <f t="shared" si="0"/>
        <v>31</v>
      </c>
    </row>
    <row r="47" spans="1:10">
      <c r="A47" s="1">
        <v>42878.173611111109</v>
      </c>
      <c r="B47" s="19">
        <v>42422</v>
      </c>
      <c r="C47" s="21">
        <v>0.60902777777777772</v>
      </c>
      <c r="D47" s="20" t="s">
        <v>3040</v>
      </c>
      <c r="E47" t="s">
        <v>6</v>
      </c>
      <c r="F47" t="s">
        <v>26</v>
      </c>
      <c r="G47" t="s">
        <v>2999</v>
      </c>
      <c r="H47">
        <v>29</v>
      </c>
      <c r="I47">
        <f t="shared" si="0"/>
        <v>36</v>
      </c>
    </row>
    <row r="48" spans="1:10">
      <c r="A48" s="1">
        <v>42878.92083333333</v>
      </c>
      <c r="B48" s="19">
        <v>42422</v>
      </c>
      <c r="C48" s="21">
        <v>0.55069444444444449</v>
      </c>
      <c r="D48" s="20" t="s">
        <v>3039</v>
      </c>
      <c r="E48" t="s">
        <v>6</v>
      </c>
      <c r="F48" t="s">
        <v>26</v>
      </c>
      <c r="G48" t="s">
        <v>3001</v>
      </c>
      <c r="H48">
        <v>13</v>
      </c>
      <c r="I48">
        <f t="shared" si="0"/>
        <v>17</v>
      </c>
    </row>
    <row r="49" spans="1:9">
      <c r="A49" s="1">
        <v>42878.864583333336</v>
      </c>
      <c r="B49" s="19">
        <v>42422</v>
      </c>
      <c r="C49" s="21">
        <v>0.5395833333333333</v>
      </c>
      <c r="D49" s="20" t="s">
        <v>3038</v>
      </c>
      <c r="E49" t="s">
        <v>2</v>
      </c>
      <c r="F49" t="s">
        <v>3</v>
      </c>
      <c r="G49" t="s">
        <v>3007</v>
      </c>
      <c r="H49">
        <v>19</v>
      </c>
      <c r="I49">
        <f t="shared" si="0"/>
        <v>24</v>
      </c>
    </row>
    <row r="50" spans="1:9">
      <c r="A50" s="1">
        <v>42878.788888888892</v>
      </c>
      <c r="B50" s="19">
        <v>42422</v>
      </c>
      <c r="C50" s="21">
        <v>3.9583333333333331E-2</v>
      </c>
      <c r="D50" s="20" t="s">
        <v>3050</v>
      </c>
      <c r="E50" t="s">
        <v>6</v>
      </c>
      <c r="F50" t="s">
        <v>26</v>
      </c>
      <c r="G50" t="s">
        <v>453</v>
      </c>
      <c r="H50">
        <v>19</v>
      </c>
      <c r="I50">
        <f t="shared" si="0"/>
        <v>24</v>
      </c>
    </row>
    <row r="51" spans="1:9">
      <c r="A51" s="1">
        <v>42878.584027777775</v>
      </c>
      <c r="B51" s="19">
        <v>42423</v>
      </c>
      <c r="C51" s="21">
        <v>0.90833333333333333</v>
      </c>
      <c r="D51" s="20" t="s">
        <v>3048</v>
      </c>
      <c r="E51" t="s">
        <v>0</v>
      </c>
      <c r="G51" t="s">
        <v>2987</v>
      </c>
      <c r="H51">
        <v>4</v>
      </c>
      <c r="I51">
        <f t="shared" si="0"/>
        <v>5</v>
      </c>
    </row>
    <row r="52" spans="1:9">
      <c r="A52" s="1">
        <v>42878.331250000003</v>
      </c>
      <c r="B52" s="19">
        <v>42423</v>
      </c>
      <c r="C52" s="21">
        <v>0.90833333333333333</v>
      </c>
      <c r="D52" s="20" t="s">
        <v>3048</v>
      </c>
      <c r="E52" t="s">
        <v>0</v>
      </c>
      <c r="F52" t="s">
        <v>10</v>
      </c>
      <c r="G52" t="s">
        <v>2988</v>
      </c>
      <c r="H52">
        <v>25</v>
      </c>
      <c r="I52">
        <f t="shared" si="0"/>
        <v>31</v>
      </c>
    </row>
    <row r="53" spans="1:9">
      <c r="A53" s="1">
        <v>42877.888194444444</v>
      </c>
      <c r="B53" s="19">
        <v>42423</v>
      </c>
      <c r="C53" s="21">
        <v>0.85416666666666663</v>
      </c>
      <c r="D53" s="20" t="s">
        <v>3047</v>
      </c>
      <c r="E53" t="s">
        <v>0</v>
      </c>
      <c r="G53" t="s">
        <v>2987</v>
      </c>
      <c r="H53">
        <v>4</v>
      </c>
      <c r="I53">
        <f t="shared" si="0"/>
        <v>5</v>
      </c>
    </row>
    <row r="54" spans="1:9">
      <c r="A54" s="1">
        <v>42877.871527777781</v>
      </c>
      <c r="B54" s="19">
        <v>42423</v>
      </c>
      <c r="C54" s="21">
        <v>0.82499999999999996</v>
      </c>
      <c r="D54" s="20" t="s">
        <v>3046</v>
      </c>
      <c r="E54" t="s">
        <v>0</v>
      </c>
      <c r="G54" t="s">
        <v>2987</v>
      </c>
      <c r="H54">
        <v>4</v>
      </c>
      <c r="I54">
        <f t="shared" si="0"/>
        <v>5</v>
      </c>
    </row>
    <row r="55" spans="1:9">
      <c r="A55" s="1">
        <v>42877.853472222225</v>
      </c>
      <c r="B55" s="19">
        <v>42423</v>
      </c>
      <c r="C55" s="21">
        <v>0.78541666666666665</v>
      </c>
      <c r="D55" s="20" t="s">
        <v>3045</v>
      </c>
      <c r="E55" t="s">
        <v>0</v>
      </c>
      <c r="G55" t="s">
        <v>2987</v>
      </c>
      <c r="H55">
        <v>4</v>
      </c>
      <c r="I55">
        <f t="shared" si="0"/>
        <v>5</v>
      </c>
    </row>
    <row r="56" spans="1:9">
      <c r="A56" s="1">
        <v>42877.793749999997</v>
      </c>
      <c r="B56" s="19">
        <v>42423</v>
      </c>
      <c r="C56" s="21">
        <v>0.73402777777777772</v>
      </c>
      <c r="D56" s="20" t="s">
        <v>3044</v>
      </c>
      <c r="E56" t="s">
        <v>0</v>
      </c>
      <c r="F56" t="s">
        <v>10</v>
      </c>
      <c r="G56" t="s">
        <v>2989</v>
      </c>
      <c r="H56">
        <v>25</v>
      </c>
      <c r="I56">
        <f t="shared" si="0"/>
        <v>31</v>
      </c>
    </row>
    <row r="57" spans="1:9">
      <c r="A57" s="1">
        <v>42877.76666666667</v>
      </c>
      <c r="B57" s="19">
        <v>42423</v>
      </c>
      <c r="C57" s="21">
        <v>0.70972222222222225</v>
      </c>
      <c r="D57" s="20" t="s">
        <v>3044</v>
      </c>
      <c r="E57" t="s">
        <v>0</v>
      </c>
      <c r="G57" t="s">
        <v>2987</v>
      </c>
      <c r="H57">
        <v>3</v>
      </c>
      <c r="I57">
        <f t="shared" si="0"/>
        <v>4</v>
      </c>
    </row>
    <row r="58" spans="1:9">
      <c r="A58" s="1">
        <v>42877.679861111108</v>
      </c>
      <c r="B58" s="19">
        <v>42423</v>
      </c>
      <c r="C58" s="21">
        <v>0.56736111111111109</v>
      </c>
      <c r="D58" s="20" t="s">
        <v>3039</v>
      </c>
      <c r="E58" t="s">
        <v>0</v>
      </c>
      <c r="G58" t="s">
        <v>2980</v>
      </c>
      <c r="H58">
        <v>13</v>
      </c>
      <c r="I58">
        <f t="shared" si="0"/>
        <v>17</v>
      </c>
    </row>
    <row r="59" spans="1:9">
      <c r="A59" s="1">
        <v>42877.646527777775</v>
      </c>
      <c r="B59" s="19">
        <v>42423</v>
      </c>
      <c r="C59" s="21">
        <v>0.56736111111111109</v>
      </c>
      <c r="D59" s="20" t="s">
        <v>3039</v>
      </c>
      <c r="E59" t="s">
        <v>0</v>
      </c>
      <c r="G59" t="s">
        <v>2980</v>
      </c>
      <c r="H59">
        <v>13</v>
      </c>
      <c r="I59">
        <f t="shared" si="0"/>
        <v>17</v>
      </c>
    </row>
    <row r="60" spans="1:9">
      <c r="A60" s="1">
        <v>42877.618055555555</v>
      </c>
      <c r="B60" s="19">
        <v>42423</v>
      </c>
      <c r="C60" s="21">
        <v>0.39513888888888887</v>
      </c>
      <c r="D60" s="20" t="s">
        <v>3035</v>
      </c>
      <c r="E60" t="s">
        <v>0</v>
      </c>
      <c r="F60" t="s">
        <v>313</v>
      </c>
      <c r="G60" t="s">
        <v>2682</v>
      </c>
      <c r="H60">
        <v>4</v>
      </c>
      <c r="I60">
        <f t="shared" si="0"/>
        <v>5</v>
      </c>
    </row>
    <row r="61" spans="1:9">
      <c r="A61" s="1">
        <v>42877.476388888892</v>
      </c>
      <c r="B61" s="19">
        <v>42423</v>
      </c>
      <c r="C61" s="21">
        <v>0.39513888888888887</v>
      </c>
      <c r="D61" s="20" t="s">
        <v>3035</v>
      </c>
      <c r="E61" t="s">
        <v>0</v>
      </c>
      <c r="F61" t="s">
        <v>313</v>
      </c>
      <c r="G61" t="s">
        <v>2682</v>
      </c>
      <c r="H61">
        <v>4</v>
      </c>
      <c r="I61">
        <f t="shared" si="0"/>
        <v>5</v>
      </c>
    </row>
    <row r="62" spans="1:9">
      <c r="A62" s="1">
        <v>42877.453472222223</v>
      </c>
      <c r="B62" s="19">
        <v>42423</v>
      </c>
      <c r="C62" s="21">
        <v>0.38472222222222224</v>
      </c>
      <c r="D62" s="20" t="s">
        <v>3035</v>
      </c>
      <c r="E62" t="s">
        <v>0</v>
      </c>
      <c r="G62" t="s">
        <v>2992</v>
      </c>
      <c r="H62">
        <v>4</v>
      </c>
      <c r="I62">
        <f t="shared" si="0"/>
        <v>5</v>
      </c>
    </row>
    <row r="63" spans="1:9">
      <c r="A63" s="1">
        <v>42877.450694444444</v>
      </c>
      <c r="B63" s="19">
        <v>42423</v>
      </c>
      <c r="C63" s="21">
        <v>0.38472222222222224</v>
      </c>
      <c r="D63" s="20" t="s">
        <v>3035</v>
      </c>
      <c r="E63" t="s">
        <v>0</v>
      </c>
      <c r="G63" t="s">
        <v>2992</v>
      </c>
      <c r="H63">
        <v>4</v>
      </c>
      <c r="I63">
        <f t="shared" si="0"/>
        <v>5</v>
      </c>
    </row>
    <row r="64" spans="1:9">
      <c r="A64" s="1">
        <v>42877.415972222225</v>
      </c>
      <c r="B64" s="19">
        <v>42423</v>
      </c>
      <c r="C64" s="21">
        <v>0.36458333333333331</v>
      </c>
      <c r="D64" s="20" t="s">
        <v>3034</v>
      </c>
      <c r="E64" t="s">
        <v>0</v>
      </c>
      <c r="F64" t="s">
        <v>313</v>
      </c>
      <c r="G64" t="s">
        <v>2672</v>
      </c>
      <c r="H64">
        <v>2</v>
      </c>
      <c r="I64">
        <f t="shared" si="0"/>
        <v>3</v>
      </c>
    </row>
    <row r="65" spans="1:9">
      <c r="A65" s="1">
        <v>42877.4</v>
      </c>
      <c r="B65" s="19">
        <v>42423</v>
      </c>
      <c r="C65" s="21">
        <v>0.36458333333333331</v>
      </c>
      <c r="D65" s="20" t="s">
        <v>3034</v>
      </c>
      <c r="E65" t="s">
        <v>0</v>
      </c>
      <c r="F65" t="s">
        <v>313</v>
      </c>
      <c r="G65" t="s">
        <v>2672</v>
      </c>
      <c r="H65">
        <v>2</v>
      </c>
      <c r="I65">
        <f t="shared" si="0"/>
        <v>3</v>
      </c>
    </row>
    <row r="66" spans="1:9">
      <c r="A66" s="1">
        <v>42877.34375</v>
      </c>
      <c r="B66" s="19">
        <v>42423</v>
      </c>
      <c r="C66" s="21">
        <v>0.34652777777777777</v>
      </c>
      <c r="D66" s="20" t="s">
        <v>3034</v>
      </c>
      <c r="E66" t="s">
        <v>18</v>
      </c>
      <c r="F66" t="s">
        <v>100</v>
      </c>
      <c r="G66" t="s">
        <v>2545</v>
      </c>
      <c r="H66">
        <v>7</v>
      </c>
      <c r="I66">
        <f t="shared" si="0"/>
        <v>9</v>
      </c>
    </row>
    <row r="67" spans="1:9">
      <c r="A67" s="1">
        <v>42877.261111111111</v>
      </c>
      <c r="B67" s="19">
        <v>42423</v>
      </c>
      <c r="C67" s="21">
        <v>0.34652777777777777</v>
      </c>
      <c r="D67" s="20" t="s">
        <v>3034</v>
      </c>
      <c r="E67" t="s">
        <v>18</v>
      </c>
      <c r="F67" t="s">
        <v>100</v>
      </c>
      <c r="G67" t="s">
        <v>2545</v>
      </c>
      <c r="H67">
        <v>7</v>
      </c>
      <c r="I67">
        <f t="shared" ref="I67:I130" si="3">ROUNDUP((H67*1.24), 0)</f>
        <v>9</v>
      </c>
    </row>
    <row r="68" spans="1:9">
      <c r="A68" s="1">
        <v>42877.207638888889</v>
      </c>
      <c r="B68" s="19">
        <v>42423</v>
      </c>
      <c r="C68" s="21">
        <v>0.27569444444444446</v>
      </c>
      <c r="D68" s="20" t="s">
        <v>3031</v>
      </c>
      <c r="E68" t="s">
        <v>0</v>
      </c>
      <c r="F68" t="s">
        <v>1</v>
      </c>
      <c r="H68">
        <v>13</v>
      </c>
      <c r="I68">
        <f t="shared" si="3"/>
        <v>17</v>
      </c>
    </row>
    <row r="69" spans="1:9">
      <c r="A69" s="1">
        <v>42877.917361111111</v>
      </c>
      <c r="B69" s="19">
        <v>42423</v>
      </c>
      <c r="C69" s="21">
        <v>0.27569444444444446</v>
      </c>
      <c r="D69" s="20" t="s">
        <v>3031</v>
      </c>
      <c r="E69" t="s">
        <v>0</v>
      </c>
      <c r="F69" t="s">
        <v>1</v>
      </c>
      <c r="H69">
        <v>13</v>
      </c>
      <c r="I69">
        <f t="shared" si="3"/>
        <v>17</v>
      </c>
    </row>
    <row r="70" spans="1:9">
      <c r="A70" s="1">
        <v>42877.871527777781</v>
      </c>
      <c r="B70" s="19">
        <v>42423</v>
      </c>
      <c r="C70" s="21">
        <v>0.39166666666666666</v>
      </c>
      <c r="D70" s="20" t="s">
        <v>3035</v>
      </c>
      <c r="E70" t="s">
        <v>2</v>
      </c>
      <c r="F70" t="s">
        <v>48</v>
      </c>
      <c r="G70" t="s">
        <v>2990</v>
      </c>
      <c r="H70">
        <v>13</v>
      </c>
      <c r="I70">
        <f t="shared" si="3"/>
        <v>17</v>
      </c>
    </row>
    <row r="71" spans="1:9">
      <c r="A71" s="1">
        <v>42877.833333333336</v>
      </c>
      <c r="B71" s="19">
        <v>42423</v>
      </c>
      <c r="C71" s="21">
        <v>0.39166666666666666</v>
      </c>
      <c r="D71" s="20" t="s">
        <v>3035</v>
      </c>
      <c r="E71" t="s">
        <v>2</v>
      </c>
      <c r="F71" t="s">
        <v>48</v>
      </c>
      <c r="G71" t="s">
        <v>2990</v>
      </c>
      <c r="H71">
        <v>13</v>
      </c>
      <c r="I71">
        <f t="shared" si="3"/>
        <v>17</v>
      </c>
    </row>
    <row r="72" spans="1:9">
      <c r="A72" s="1">
        <v>42877.751388888886</v>
      </c>
      <c r="B72" s="19">
        <v>42423</v>
      </c>
      <c r="C72" s="21">
        <v>0.39027777777777778</v>
      </c>
      <c r="D72" s="20" t="s">
        <v>3035</v>
      </c>
      <c r="E72" t="s">
        <v>6</v>
      </c>
      <c r="F72" t="s">
        <v>12</v>
      </c>
      <c r="G72" t="s">
        <v>2991</v>
      </c>
      <c r="H72">
        <v>2</v>
      </c>
      <c r="I72">
        <f t="shared" si="3"/>
        <v>3</v>
      </c>
    </row>
    <row r="73" spans="1:9">
      <c r="A73" s="1">
        <v>42877.665277777778</v>
      </c>
      <c r="B73" s="19">
        <v>42423</v>
      </c>
      <c r="C73" s="21">
        <v>0.39027777777777778</v>
      </c>
      <c r="D73" s="20" t="s">
        <v>3035</v>
      </c>
      <c r="E73" t="s">
        <v>6</v>
      </c>
      <c r="F73" t="s">
        <v>12</v>
      </c>
      <c r="G73" t="s">
        <v>2991</v>
      </c>
      <c r="H73">
        <v>2</v>
      </c>
      <c r="I73">
        <f t="shared" si="3"/>
        <v>3</v>
      </c>
    </row>
    <row r="74" spans="1:9">
      <c r="A74" s="1">
        <v>42877.582638888889</v>
      </c>
      <c r="B74" s="19">
        <v>42423</v>
      </c>
      <c r="C74" s="21">
        <v>0.25694444444444442</v>
      </c>
      <c r="D74" s="20" t="s">
        <v>3031</v>
      </c>
      <c r="E74" t="s">
        <v>6</v>
      </c>
      <c r="F74" t="s">
        <v>46</v>
      </c>
      <c r="G74" t="s">
        <v>1918</v>
      </c>
      <c r="H74">
        <v>38</v>
      </c>
      <c r="I74">
        <f t="shared" si="3"/>
        <v>48</v>
      </c>
    </row>
    <row r="75" spans="1:9">
      <c r="A75" s="1">
        <v>42877.251388888886</v>
      </c>
      <c r="B75" s="19">
        <v>42423</v>
      </c>
      <c r="C75" s="21">
        <v>0.25694444444444442</v>
      </c>
      <c r="D75" s="20" t="s">
        <v>3031</v>
      </c>
      <c r="E75" t="s">
        <v>6</v>
      </c>
      <c r="F75" t="s">
        <v>46</v>
      </c>
      <c r="G75" t="s">
        <v>1918</v>
      </c>
      <c r="H75">
        <v>38</v>
      </c>
      <c r="I75">
        <f t="shared" si="3"/>
        <v>48</v>
      </c>
    </row>
    <row r="76" spans="1:9">
      <c r="A76" s="1">
        <v>42877.25</v>
      </c>
      <c r="B76" s="19">
        <v>42424</v>
      </c>
      <c r="C76" s="21">
        <v>0.89652777777777781</v>
      </c>
      <c r="D76" s="20" t="s">
        <v>3048</v>
      </c>
      <c r="E76" t="s">
        <v>0</v>
      </c>
      <c r="F76" t="s">
        <v>75</v>
      </c>
      <c r="G76" t="s">
        <v>2974</v>
      </c>
      <c r="H76">
        <v>31</v>
      </c>
      <c r="I76">
        <f t="shared" si="3"/>
        <v>39</v>
      </c>
    </row>
    <row r="77" spans="1:9">
      <c r="A77" s="1">
        <v>42877.01666666667</v>
      </c>
      <c r="B77" s="19">
        <v>42424</v>
      </c>
      <c r="C77" s="21">
        <v>0.75208333333333333</v>
      </c>
      <c r="D77" s="20" t="s">
        <v>3045</v>
      </c>
      <c r="G77" t="s">
        <v>2976</v>
      </c>
      <c r="H77">
        <v>25</v>
      </c>
      <c r="I77">
        <f t="shared" si="3"/>
        <v>31</v>
      </c>
    </row>
    <row r="78" spans="1:9">
      <c r="A78" s="1">
        <v>42876.976388888892</v>
      </c>
      <c r="B78" s="19">
        <v>42424</v>
      </c>
      <c r="C78" s="21">
        <v>0.75138888888888888</v>
      </c>
      <c r="D78" s="20" t="s">
        <v>3045</v>
      </c>
      <c r="E78" t="s">
        <v>149</v>
      </c>
      <c r="G78" t="s">
        <v>2977</v>
      </c>
      <c r="H78">
        <v>75</v>
      </c>
      <c r="I78">
        <f t="shared" si="3"/>
        <v>93</v>
      </c>
    </row>
    <row r="79" spans="1:9">
      <c r="A79" s="1">
        <v>42876.965277777781</v>
      </c>
      <c r="B79" s="19">
        <v>42424</v>
      </c>
      <c r="C79" s="21">
        <v>0.58125000000000004</v>
      </c>
      <c r="D79" s="20" t="s">
        <v>3039</v>
      </c>
      <c r="E79" t="s">
        <v>0</v>
      </c>
      <c r="G79" t="s">
        <v>2980</v>
      </c>
      <c r="H79">
        <v>7</v>
      </c>
      <c r="I79">
        <f t="shared" si="3"/>
        <v>9</v>
      </c>
    </row>
    <row r="80" spans="1:9">
      <c r="A80" s="1">
        <v>42876.929166666669</v>
      </c>
      <c r="B80" s="19">
        <v>42424</v>
      </c>
      <c r="C80" s="21">
        <v>0.5805555555555556</v>
      </c>
      <c r="D80" s="20" t="s">
        <v>3039</v>
      </c>
      <c r="E80" t="s">
        <v>0</v>
      </c>
      <c r="F80" t="s">
        <v>313</v>
      </c>
      <c r="G80" t="s">
        <v>2981</v>
      </c>
      <c r="H80">
        <v>7</v>
      </c>
      <c r="I80">
        <f t="shared" si="3"/>
        <v>9</v>
      </c>
    </row>
    <row r="81" spans="1:9">
      <c r="A81" s="1">
        <v>42876.963194444441</v>
      </c>
      <c r="B81" s="19">
        <v>42424</v>
      </c>
      <c r="C81" s="21">
        <v>0.57222222222222219</v>
      </c>
      <c r="D81" s="20" t="s">
        <v>3039</v>
      </c>
      <c r="E81" t="s">
        <v>0</v>
      </c>
      <c r="F81" t="s">
        <v>313</v>
      </c>
      <c r="G81" t="s">
        <v>2982</v>
      </c>
      <c r="H81">
        <v>4</v>
      </c>
      <c r="I81">
        <f t="shared" si="3"/>
        <v>5</v>
      </c>
    </row>
    <row r="82" spans="1:9">
      <c r="A82" s="1">
        <v>42876.918749999997</v>
      </c>
      <c r="B82" s="19">
        <v>42424</v>
      </c>
      <c r="C82" s="21">
        <v>0.51388888888888884</v>
      </c>
      <c r="D82" s="20" t="s">
        <v>3038</v>
      </c>
      <c r="E82" t="s">
        <v>0</v>
      </c>
      <c r="F82" t="s">
        <v>313</v>
      </c>
      <c r="G82" t="s">
        <v>2672</v>
      </c>
      <c r="H82">
        <v>2</v>
      </c>
      <c r="I82">
        <f t="shared" si="3"/>
        <v>3</v>
      </c>
    </row>
    <row r="83" spans="1:9">
      <c r="A83" s="1">
        <v>42875.214583333334</v>
      </c>
      <c r="B83" s="19">
        <v>42424</v>
      </c>
      <c r="C83" s="21">
        <v>0.46875</v>
      </c>
      <c r="D83" s="20" t="s">
        <v>3037</v>
      </c>
      <c r="E83" t="s">
        <v>0</v>
      </c>
      <c r="F83" t="s">
        <v>313</v>
      </c>
      <c r="G83" t="s">
        <v>2959</v>
      </c>
      <c r="H83">
        <v>3</v>
      </c>
      <c r="I83">
        <f t="shared" si="3"/>
        <v>4</v>
      </c>
    </row>
    <row r="84" spans="1:9">
      <c r="A84" s="1">
        <v>42875.175694444442</v>
      </c>
      <c r="B84" s="19">
        <v>42424</v>
      </c>
      <c r="C84" s="21">
        <v>0.4548611111111111</v>
      </c>
      <c r="D84" s="20" t="s">
        <v>3036</v>
      </c>
      <c r="E84" t="s">
        <v>0</v>
      </c>
      <c r="F84" t="s">
        <v>313</v>
      </c>
      <c r="G84" t="s">
        <v>2672</v>
      </c>
      <c r="H84">
        <v>2</v>
      </c>
      <c r="I84">
        <f t="shared" si="3"/>
        <v>3</v>
      </c>
    </row>
    <row r="85" spans="1:9">
      <c r="A85" s="1">
        <v>42875.157638888886</v>
      </c>
      <c r="B85" s="19">
        <v>42424</v>
      </c>
      <c r="C85" s="21">
        <v>0.3215277777777778</v>
      </c>
      <c r="D85" s="20" t="s">
        <v>3033</v>
      </c>
      <c r="E85" t="s">
        <v>0</v>
      </c>
      <c r="F85" t="s">
        <v>313</v>
      </c>
      <c r="G85" t="s">
        <v>2672</v>
      </c>
      <c r="H85">
        <v>2</v>
      </c>
      <c r="I85">
        <f t="shared" si="3"/>
        <v>3</v>
      </c>
    </row>
    <row r="86" spans="1:9">
      <c r="A86" s="1">
        <v>42875.15347222222</v>
      </c>
      <c r="B86" s="19">
        <v>42424</v>
      </c>
      <c r="C86" s="21">
        <v>0.32083333333333336</v>
      </c>
      <c r="D86" s="20" t="s">
        <v>3033</v>
      </c>
      <c r="E86" t="s">
        <v>0</v>
      </c>
      <c r="F86" t="s">
        <v>75</v>
      </c>
      <c r="G86" t="s">
        <v>2985</v>
      </c>
      <c r="H86">
        <v>7</v>
      </c>
      <c r="I86">
        <f t="shared" si="3"/>
        <v>9</v>
      </c>
    </row>
    <row r="87" spans="1:9">
      <c r="A87" s="1">
        <v>42875.138888888891</v>
      </c>
      <c r="B87" s="19">
        <v>42424</v>
      </c>
      <c r="C87" s="21">
        <v>0.27847222222222223</v>
      </c>
      <c r="D87" s="20" t="s">
        <v>3031</v>
      </c>
      <c r="E87" t="s">
        <v>0</v>
      </c>
      <c r="F87" t="s">
        <v>313</v>
      </c>
      <c r="G87" t="s">
        <v>2672</v>
      </c>
      <c r="H87">
        <v>2</v>
      </c>
      <c r="I87">
        <f t="shared" si="3"/>
        <v>3</v>
      </c>
    </row>
    <row r="88" spans="1:9">
      <c r="A88" s="1">
        <v>42874.916666666664</v>
      </c>
      <c r="B88" s="19">
        <v>42424</v>
      </c>
      <c r="C88" s="21">
        <v>0.79236111111111107</v>
      </c>
      <c r="D88" s="20" t="s">
        <v>3046</v>
      </c>
      <c r="E88" t="s">
        <v>6</v>
      </c>
      <c r="F88" t="s">
        <v>26</v>
      </c>
      <c r="G88" t="s">
        <v>2975</v>
      </c>
      <c r="H88">
        <v>56</v>
      </c>
      <c r="I88">
        <f t="shared" si="3"/>
        <v>70</v>
      </c>
    </row>
    <row r="89" spans="1:9">
      <c r="A89" s="1">
        <v>42874.887499999997</v>
      </c>
      <c r="B89" s="19">
        <v>42424</v>
      </c>
      <c r="C89" s="21">
        <v>0.73333333333333328</v>
      </c>
      <c r="D89" s="20" t="s">
        <v>3044</v>
      </c>
      <c r="E89" t="s">
        <v>6</v>
      </c>
      <c r="F89" t="s">
        <v>26</v>
      </c>
      <c r="G89" t="s">
        <v>2978</v>
      </c>
      <c r="H89">
        <v>13</v>
      </c>
      <c r="I89">
        <f t="shared" si="3"/>
        <v>17</v>
      </c>
    </row>
    <row r="90" spans="1:9">
      <c r="A90" s="1">
        <v>42874.862500000003</v>
      </c>
      <c r="B90" s="19">
        <v>42424</v>
      </c>
      <c r="C90" s="21">
        <v>0.70902777777777781</v>
      </c>
      <c r="D90" s="20" t="s">
        <v>3044</v>
      </c>
      <c r="E90" t="s">
        <v>2</v>
      </c>
      <c r="F90" t="s">
        <v>56</v>
      </c>
      <c r="G90" t="s">
        <v>2979</v>
      </c>
      <c r="H90">
        <v>13</v>
      </c>
      <c r="I90">
        <f t="shared" si="3"/>
        <v>17</v>
      </c>
    </row>
    <row r="91" spans="1:9">
      <c r="A91" s="1">
        <v>42874.527777777781</v>
      </c>
      <c r="B91" s="19">
        <v>42424</v>
      </c>
      <c r="C91" s="21">
        <v>0.7006944444444444</v>
      </c>
      <c r="D91" s="20" t="s">
        <v>3043</v>
      </c>
      <c r="E91" t="s">
        <v>2</v>
      </c>
      <c r="F91" t="s">
        <v>56</v>
      </c>
      <c r="G91" t="s">
        <v>2979</v>
      </c>
      <c r="H91">
        <v>13</v>
      </c>
      <c r="I91">
        <f t="shared" si="3"/>
        <v>17</v>
      </c>
    </row>
    <row r="92" spans="1:9">
      <c r="A92" s="1">
        <v>42874.468055555553</v>
      </c>
      <c r="B92" s="19">
        <v>42424</v>
      </c>
      <c r="C92" s="21">
        <v>0.61944444444444446</v>
      </c>
      <c r="D92" s="20" t="s">
        <v>3040</v>
      </c>
      <c r="E92" t="s">
        <v>6</v>
      </c>
      <c r="G92" t="s">
        <v>2755</v>
      </c>
      <c r="H92">
        <v>9</v>
      </c>
      <c r="I92">
        <f t="shared" si="3"/>
        <v>12</v>
      </c>
    </row>
    <row r="93" spans="1:9">
      <c r="A93" s="1">
        <v>42874.352777777778</v>
      </c>
      <c r="B93" s="19">
        <v>42424</v>
      </c>
      <c r="C93" s="21">
        <v>0.52916666666666667</v>
      </c>
      <c r="D93" s="20" t="s">
        <v>3038</v>
      </c>
      <c r="E93" t="s">
        <v>6</v>
      </c>
      <c r="F93" t="s">
        <v>26</v>
      </c>
      <c r="G93" t="s">
        <v>453</v>
      </c>
      <c r="H93">
        <v>7</v>
      </c>
      <c r="I93">
        <f t="shared" si="3"/>
        <v>9</v>
      </c>
    </row>
    <row r="94" spans="1:9">
      <c r="A94" s="1">
        <v>42874.326388888891</v>
      </c>
      <c r="B94" s="19">
        <v>42424</v>
      </c>
      <c r="C94" s="21">
        <v>0.48333333333333334</v>
      </c>
      <c r="D94" s="20" t="s">
        <v>3037</v>
      </c>
      <c r="E94" t="s">
        <v>6</v>
      </c>
      <c r="F94" t="s">
        <v>167</v>
      </c>
      <c r="G94" t="s">
        <v>2983</v>
      </c>
      <c r="H94">
        <v>3</v>
      </c>
      <c r="I94">
        <f t="shared" si="3"/>
        <v>4</v>
      </c>
    </row>
    <row r="95" spans="1:9">
      <c r="A95" s="1">
        <v>42874.320833333331</v>
      </c>
      <c r="B95" s="19">
        <v>42424</v>
      </c>
      <c r="C95" s="21">
        <v>0.46805555555555556</v>
      </c>
      <c r="D95" s="20" t="s">
        <v>3037</v>
      </c>
      <c r="E95" t="s">
        <v>6</v>
      </c>
      <c r="F95" t="s">
        <v>12</v>
      </c>
      <c r="G95" t="s">
        <v>65</v>
      </c>
      <c r="H95">
        <v>7</v>
      </c>
      <c r="I95">
        <f t="shared" si="3"/>
        <v>9</v>
      </c>
    </row>
    <row r="96" spans="1:9">
      <c r="A96" s="1">
        <v>42874.318749999999</v>
      </c>
      <c r="B96" s="19">
        <v>42424</v>
      </c>
      <c r="C96" s="21">
        <v>0.37569444444444444</v>
      </c>
      <c r="D96" s="20" t="s">
        <v>3035</v>
      </c>
      <c r="E96" t="s">
        <v>2</v>
      </c>
      <c r="F96" t="s">
        <v>48</v>
      </c>
      <c r="G96" t="s">
        <v>2831</v>
      </c>
      <c r="H96">
        <v>13</v>
      </c>
      <c r="I96">
        <f t="shared" si="3"/>
        <v>17</v>
      </c>
    </row>
    <row r="97" spans="1:9">
      <c r="A97" s="1">
        <v>42874.270138888889</v>
      </c>
      <c r="B97" s="19">
        <v>42424</v>
      </c>
      <c r="C97" s="21">
        <v>0.35625000000000001</v>
      </c>
      <c r="D97" s="20" t="s">
        <v>3034</v>
      </c>
      <c r="E97" t="s">
        <v>6</v>
      </c>
      <c r="F97" t="s">
        <v>26</v>
      </c>
      <c r="G97" t="s">
        <v>453</v>
      </c>
      <c r="H97">
        <v>38</v>
      </c>
      <c r="I97">
        <f t="shared" si="3"/>
        <v>48</v>
      </c>
    </row>
    <row r="98" spans="1:9">
      <c r="A98" s="1">
        <v>42874.26458333333</v>
      </c>
      <c r="B98" s="19">
        <v>42424</v>
      </c>
      <c r="C98" s="21">
        <v>0.34652777777777777</v>
      </c>
      <c r="D98" s="20" t="s">
        <v>3034</v>
      </c>
      <c r="E98" t="s">
        <v>6</v>
      </c>
      <c r="F98" t="s">
        <v>12</v>
      </c>
      <c r="G98" t="s">
        <v>2984</v>
      </c>
      <c r="H98">
        <v>13</v>
      </c>
      <c r="I98">
        <f t="shared" si="3"/>
        <v>17</v>
      </c>
    </row>
    <row r="99" spans="1:9">
      <c r="A99" s="1">
        <v>42874.213194444441</v>
      </c>
      <c r="B99" s="19">
        <v>42424</v>
      </c>
      <c r="C99" s="21">
        <v>0.30694444444444446</v>
      </c>
      <c r="D99" s="20" t="s">
        <v>3033</v>
      </c>
      <c r="E99" t="s">
        <v>6</v>
      </c>
      <c r="F99" t="s">
        <v>12</v>
      </c>
      <c r="G99" t="s">
        <v>2986</v>
      </c>
      <c r="H99">
        <v>13</v>
      </c>
      <c r="I99">
        <f t="shared" si="3"/>
        <v>17</v>
      </c>
    </row>
    <row r="100" spans="1:9">
      <c r="A100" s="1">
        <v>42874.051388888889</v>
      </c>
      <c r="B100" s="19">
        <v>42425</v>
      </c>
      <c r="C100" s="21">
        <v>0.84513888888888888</v>
      </c>
      <c r="D100" s="20" t="s">
        <v>3047</v>
      </c>
      <c r="E100" t="s">
        <v>0</v>
      </c>
      <c r="F100" t="s">
        <v>75</v>
      </c>
      <c r="H100">
        <v>38</v>
      </c>
      <c r="I100">
        <f t="shared" si="3"/>
        <v>48</v>
      </c>
    </row>
    <row r="101" spans="1:9">
      <c r="A101" s="1">
        <v>42874.006249999999</v>
      </c>
      <c r="B101" s="19">
        <v>42425</v>
      </c>
      <c r="C101" s="21">
        <v>0.62708333333333333</v>
      </c>
      <c r="D101" s="20" t="s">
        <v>3042</v>
      </c>
      <c r="E101" t="s">
        <v>18</v>
      </c>
      <c r="F101" t="s">
        <v>71</v>
      </c>
      <c r="H101">
        <v>44</v>
      </c>
      <c r="I101">
        <f t="shared" si="3"/>
        <v>55</v>
      </c>
    </row>
    <row r="102" spans="1:9">
      <c r="A102" s="1">
        <v>42874.922222222223</v>
      </c>
      <c r="B102" s="19">
        <v>42425</v>
      </c>
      <c r="C102" s="21">
        <v>0.5</v>
      </c>
      <c r="D102" s="20" t="s">
        <v>3038</v>
      </c>
      <c r="E102" t="s">
        <v>0</v>
      </c>
      <c r="F102" t="s">
        <v>313</v>
      </c>
      <c r="G102" t="s">
        <v>2672</v>
      </c>
      <c r="H102">
        <v>3</v>
      </c>
      <c r="I102">
        <f t="shared" si="3"/>
        <v>4</v>
      </c>
    </row>
    <row r="103" spans="1:9">
      <c r="A103" s="1">
        <v>42874.917361111111</v>
      </c>
      <c r="B103" s="19">
        <v>42425</v>
      </c>
      <c r="C103" s="21">
        <v>0.46875</v>
      </c>
      <c r="D103" s="20" t="s">
        <v>3037</v>
      </c>
      <c r="E103" t="s">
        <v>0</v>
      </c>
      <c r="F103" t="s">
        <v>313</v>
      </c>
      <c r="G103" t="s">
        <v>2672</v>
      </c>
      <c r="H103">
        <v>2</v>
      </c>
      <c r="I103">
        <f t="shared" si="3"/>
        <v>3</v>
      </c>
    </row>
    <row r="104" spans="1:9">
      <c r="A104" s="1">
        <v>42874.910416666666</v>
      </c>
      <c r="B104" s="77">
        <v>42425</v>
      </c>
      <c r="C104" s="78">
        <v>0.44305555555555554</v>
      </c>
      <c r="D104" s="79" t="s">
        <v>3036</v>
      </c>
      <c r="E104" s="80" t="s">
        <v>0</v>
      </c>
      <c r="F104" s="80" t="s">
        <v>313</v>
      </c>
      <c r="G104" s="80" t="s">
        <v>2672</v>
      </c>
      <c r="H104" s="80">
        <v>2</v>
      </c>
      <c r="I104">
        <f t="shared" si="3"/>
        <v>3</v>
      </c>
    </row>
    <row r="105" spans="1:9">
      <c r="A105" s="1">
        <v>42874.68472222222</v>
      </c>
      <c r="B105" s="72">
        <v>42425</v>
      </c>
      <c r="C105" s="73">
        <v>0.39791666666666664</v>
      </c>
      <c r="D105" s="74" t="s">
        <v>3035</v>
      </c>
      <c r="E105" s="67" t="s">
        <v>0</v>
      </c>
      <c r="F105" s="67" t="s">
        <v>313</v>
      </c>
      <c r="G105" s="67" t="s">
        <v>2682</v>
      </c>
      <c r="H105" s="67">
        <v>4</v>
      </c>
      <c r="I105">
        <f t="shared" si="3"/>
        <v>5</v>
      </c>
    </row>
    <row r="106" spans="1:9">
      <c r="A106" s="1">
        <v>42874.581250000003</v>
      </c>
      <c r="B106" s="72">
        <v>42425</v>
      </c>
      <c r="C106" s="73">
        <v>0.30972222222222223</v>
      </c>
      <c r="D106" s="74" t="s">
        <v>3033</v>
      </c>
      <c r="E106" s="67" t="s">
        <v>0</v>
      </c>
      <c r="F106" s="67" t="s">
        <v>313</v>
      </c>
      <c r="G106" s="67" t="s">
        <v>2672</v>
      </c>
      <c r="H106" s="67">
        <v>2</v>
      </c>
      <c r="I106">
        <f t="shared" si="3"/>
        <v>3</v>
      </c>
    </row>
    <row r="107" spans="1:9">
      <c r="A107" s="1">
        <v>42874.568749999999</v>
      </c>
      <c r="B107" s="72">
        <v>42425</v>
      </c>
      <c r="C107" s="73">
        <v>0.28125</v>
      </c>
      <c r="D107" s="74" t="s">
        <v>3031</v>
      </c>
      <c r="E107" s="67" t="s">
        <v>0</v>
      </c>
      <c r="F107" s="67" t="s">
        <v>75</v>
      </c>
      <c r="G107" s="67" t="s">
        <v>2971</v>
      </c>
      <c r="H107" s="67">
        <v>7</v>
      </c>
      <c r="I107">
        <f t="shared" si="3"/>
        <v>9</v>
      </c>
    </row>
    <row r="108" spans="1:9" s="29" customFormat="1" ht="15" thickBot="1">
      <c r="A108" s="26">
        <v>42874.25</v>
      </c>
      <c r="B108" s="66">
        <v>42425</v>
      </c>
      <c r="C108" s="27">
        <v>0.7680555555555556</v>
      </c>
      <c r="D108" s="28" t="s">
        <v>3045</v>
      </c>
      <c r="E108" s="29" t="s">
        <v>6</v>
      </c>
      <c r="F108" s="29" t="s">
        <v>21</v>
      </c>
      <c r="G108" s="29" t="s">
        <v>2969</v>
      </c>
      <c r="H108" s="29">
        <v>75</v>
      </c>
      <c r="I108">
        <f t="shared" si="3"/>
        <v>93</v>
      </c>
    </row>
    <row r="109" spans="1:9" s="67" customFormat="1">
      <c r="A109" s="1">
        <v>42873.97152777778</v>
      </c>
      <c r="B109" s="19">
        <v>42425</v>
      </c>
      <c r="C109" s="21">
        <v>0.69930555555555551</v>
      </c>
      <c r="D109" s="20" t="s">
        <v>3043</v>
      </c>
      <c r="E109" t="s">
        <v>6</v>
      </c>
      <c r="F109" t="s">
        <v>21</v>
      </c>
      <c r="G109" t="s">
        <v>2969</v>
      </c>
      <c r="H109">
        <v>25</v>
      </c>
      <c r="I109">
        <f t="shared" si="3"/>
        <v>31</v>
      </c>
    </row>
    <row r="110" spans="1:9" s="67" customFormat="1">
      <c r="A110" s="1">
        <v>42873.964583333334</v>
      </c>
      <c r="B110" s="19">
        <v>42425</v>
      </c>
      <c r="C110" s="21">
        <v>0.68263888888888891</v>
      </c>
      <c r="D110" s="20" t="s">
        <v>3043</v>
      </c>
      <c r="E110" t="s">
        <v>6</v>
      </c>
      <c r="F110" t="s">
        <v>21</v>
      </c>
      <c r="G110" t="s">
        <v>2969</v>
      </c>
      <c r="H110">
        <v>38</v>
      </c>
      <c r="I110">
        <f t="shared" si="3"/>
        <v>48</v>
      </c>
    </row>
    <row r="111" spans="1:9" s="67" customFormat="1">
      <c r="A111" s="1">
        <v>42873.945138888892</v>
      </c>
      <c r="B111" s="19">
        <v>42425</v>
      </c>
      <c r="C111" s="21">
        <v>0.56388888888888888</v>
      </c>
      <c r="D111" s="20" t="s">
        <v>3039</v>
      </c>
      <c r="E111" t="s">
        <v>6</v>
      </c>
      <c r="F111" t="s">
        <v>46</v>
      </c>
      <c r="G111" t="s">
        <v>2970</v>
      </c>
      <c r="H111">
        <v>13</v>
      </c>
      <c r="I111">
        <f t="shared" si="3"/>
        <v>17</v>
      </c>
    </row>
    <row r="112" spans="1:9" s="67" customFormat="1">
      <c r="A112" s="1">
        <v>42873.20208333333</v>
      </c>
      <c r="B112" s="72">
        <v>42425</v>
      </c>
      <c r="C112" s="73">
        <v>0.2638888888888889</v>
      </c>
      <c r="D112" s="74" t="s">
        <v>3031</v>
      </c>
      <c r="E112" s="67" t="s">
        <v>6</v>
      </c>
      <c r="F112" s="67" t="s">
        <v>76</v>
      </c>
      <c r="G112" s="67" t="s">
        <v>2972</v>
      </c>
      <c r="H112" s="67">
        <v>13</v>
      </c>
      <c r="I112">
        <f t="shared" si="3"/>
        <v>17</v>
      </c>
    </row>
    <row r="113" spans="1:9" s="67" customFormat="1">
      <c r="A113" s="1">
        <v>42873.198611111111</v>
      </c>
      <c r="B113" s="72">
        <v>42425</v>
      </c>
      <c r="C113" s="73">
        <v>0.2590277777777778</v>
      </c>
      <c r="D113" s="74" t="s">
        <v>3031</v>
      </c>
      <c r="E113" s="67" t="s">
        <v>6</v>
      </c>
      <c r="F113" s="67" t="s">
        <v>15</v>
      </c>
      <c r="G113" s="67" t="s">
        <v>2973</v>
      </c>
      <c r="H113" s="67">
        <v>13</v>
      </c>
      <c r="I113">
        <f t="shared" si="3"/>
        <v>17</v>
      </c>
    </row>
    <row r="114" spans="1:9" s="35" customFormat="1">
      <c r="A114" s="1">
        <v>42873.184027777781</v>
      </c>
      <c r="B114" s="69">
        <v>42428</v>
      </c>
      <c r="C114" s="70">
        <v>0.98819444444444449</v>
      </c>
      <c r="D114" s="71" t="s">
        <v>3063</v>
      </c>
      <c r="E114" s="35" t="s">
        <v>0</v>
      </c>
      <c r="F114" s="35" t="s">
        <v>313</v>
      </c>
      <c r="G114" s="35" t="s">
        <v>2672</v>
      </c>
      <c r="H114" s="35">
        <v>2</v>
      </c>
      <c r="I114">
        <f t="shared" si="3"/>
        <v>3</v>
      </c>
    </row>
    <row r="115" spans="1:9" s="35" customFormat="1">
      <c r="A115" s="1">
        <v>42873.109722222223</v>
      </c>
      <c r="B115" s="69">
        <v>42428</v>
      </c>
      <c r="C115" s="70">
        <v>0.85277777777777775</v>
      </c>
      <c r="D115" s="71" t="s">
        <v>3047</v>
      </c>
      <c r="E115" s="35" t="s">
        <v>0</v>
      </c>
      <c r="F115" s="35" t="s">
        <v>313</v>
      </c>
      <c r="G115" s="35" t="s">
        <v>2898</v>
      </c>
      <c r="H115" s="35">
        <v>4</v>
      </c>
      <c r="I115">
        <f t="shared" si="3"/>
        <v>5</v>
      </c>
    </row>
    <row r="116" spans="1:9" s="35" customFormat="1">
      <c r="A116" s="1">
        <v>42873.059027777781</v>
      </c>
      <c r="B116" s="69">
        <v>42428</v>
      </c>
      <c r="C116" s="70">
        <v>0.82222222222222219</v>
      </c>
      <c r="D116" s="71" t="s">
        <v>3046</v>
      </c>
      <c r="E116" s="35" t="s">
        <v>149</v>
      </c>
      <c r="F116" s="35" t="s">
        <v>150</v>
      </c>
      <c r="G116" s="35" t="s">
        <v>2963</v>
      </c>
      <c r="H116" s="35">
        <v>8</v>
      </c>
      <c r="I116">
        <f t="shared" si="3"/>
        <v>10</v>
      </c>
    </row>
    <row r="117" spans="1:9" s="35" customFormat="1">
      <c r="A117" s="1">
        <v>42873.92291666667</v>
      </c>
      <c r="B117" s="69">
        <v>42428</v>
      </c>
      <c r="C117" s="70">
        <v>0.81944444444444442</v>
      </c>
      <c r="D117" s="71" t="s">
        <v>3046</v>
      </c>
      <c r="E117" s="35" t="s">
        <v>0</v>
      </c>
      <c r="F117" s="35" t="s">
        <v>75</v>
      </c>
      <c r="G117" s="35" t="s">
        <v>2964</v>
      </c>
      <c r="H117" s="35">
        <v>5</v>
      </c>
      <c r="I117">
        <f t="shared" si="3"/>
        <v>7</v>
      </c>
    </row>
    <row r="118" spans="1:9" s="35" customFormat="1">
      <c r="A118" s="1">
        <v>42873.059027777781</v>
      </c>
      <c r="B118" s="69">
        <v>42428</v>
      </c>
      <c r="C118" s="70">
        <v>0.81874999999999998</v>
      </c>
      <c r="D118" s="71" t="s">
        <v>3046</v>
      </c>
      <c r="E118" s="35" t="s">
        <v>149</v>
      </c>
      <c r="F118" s="35" t="s">
        <v>150</v>
      </c>
      <c r="G118" s="35" t="s">
        <v>2965</v>
      </c>
      <c r="H118" s="35">
        <v>5</v>
      </c>
      <c r="I118">
        <f t="shared" si="3"/>
        <v>7</v>
      </c>
    </row>
    <row r="119" spans="1:9" s="35" customFormat="1">
      <c r="A119" s="1">
        <v>42872.817361111112</v>
      </c>
      <c r="B119" s="69">
        <v>42428</v>
      </c>
      <c r="C119" s="70">
        <v>0.80138888888888893</v>
      </c>
      <c r="D119" s="71" t="s">
        <v>3046</v>
      </c>
      <c r="E119" s="35" t="s">
        <v>0</v>
      </c>
      <c r="F119" s="35" t="s">
        <v>313</v>
      </c>
      <c r="G119" s="35" t="s">
        <v>2691</v>
      </c>
      <c r="H119" s="35">
        <v>5</v>
      </c>
      <c r="I119">
        <f t="shared" si="3"/>
        <v>7</v>
      </c>
    </row>
    <row r="120" spans="1:9" s="35" customFormat="1">
      <c r="A120" s="1">
        <v>42872.779861111114</v>
      </c>
      <c r="B120" s="69">
        <v>42428</v>
      </c>
      <c r="C120" s="70">
        <v>0.58611111111111114</v>
      </c>
      <c r="D120" s="71" t="s">
        <v>3040</v>
      </c>
      <c r="E120" s="35" t="s">
        <v>0</v>
      </c>
      <c r="G120" s="35" t="s">
        <v>2966</v>
      </c>
      <c r="H120" s="35">
        <v>30</v>
      </c>
      <c r="I120">
        <f t="shared" si="3"/>
        <v>38</v>
      </c>
    </row>
    <row r="121" spans="1:9" s="35" customFormat="1">
      <c r="A121" s="1">
        <v>42872.597222222219</v>
      </c>
      <c r="B121" s="69">
        <v>42428</v>
      </c>
      <c r="C121" s="70">
        <v>0.58402777777777781</v>
      </c>
      <c r="D121" s="71" t="s">
        <v>3040</v>
      </c>
      <c r="E121" s="35" t="s">
        <v>33</v>
      </c>
      <c r="G121" s="35" t="s">
        <v>2967</v>
      </c>
      <c r="H121" s="35">
        <v>5</v>
      </c>
      <c r="I121">
        <f t="shared" si="3"/>
        <v>7</v>
      </c>
    </row>
    <row r="122" spans="1:9" s="35" customFormat="1">
      <c r="A122" s="1">
        <v>42872.565972222219</v>
      </c>
      <c r="B122" s="69">
        <v>42428</v>
      </c>
      <c r="C122" s="70">
        <v>0.27013888888888887</v>
      </c>
      <c r="D122" s="71" t="s">
        <v>3031</v>
      </c>
      <c r="E122" s="35" t="s">
        <v>0</v>
      </c>
      <c r="F122" s="35" t="s">
        <v>1</v>
      </c>
      <c r="G122" s="35" t="s">
        <v>1</v>
      </c>
      <c r="H122" s="35">
        <v>25</v>
      </c>
      <c r="I122">
        <f t="shared" si="3"/>
        <v>31</v>
      </c>
    </row>
    <row r="123" spans="1:9" s="35" customFormat="1">
      <c r="A123" s="1">
        <v>42872.506249999999</v>
      </c>
      <c r="B123" s="69">
        <v>42428</v>
      </c>
      <c r="C123" s="70">
        <v>0.92847222222222225</v>
      </c>
      <c r="D123" s="71" t="s">
        <v>3049</v>
      </c>
      <c r="E123" s="35" t="s">
        <v>6</v>
      </c>
      <c r="F123" s="35" t="s">
        <v>167</v>
      </c>
      <c r="G123" s="35" t="s">
        <v>2960</v>
      </c>
      <c r="H123" s="35">
        <v>3</v>
      </c>
      <c r="I123">
        <f t="shared" si="3"/>
        <v>4</v>
      </c>
    </row>
    <row r="124" spans="1:9" s="35" customFormat="1">
      <c r="A124" s="1">
        <v>42872.436111111114</v>
      </c>
      <c r="B124" s="69">
        <v>42428</v>
      </c>
      <c r="C124" s="70">
        <v>0.92708333333333337</v>
      </c>
      <c r="D124" s="71" t="s">
        <v>3049</v>
      </c>
      <c r="E124" s="35" t="s">
        <v>6</v>
      </c>
      <c r="F124" s="35" t="s">
        <v>26</v>
      </c>
      <c r="G124" s="35" t="s">
        <v>2961</v>
      </c>
      <c r="H124" s="35">
        <v>7</v>
      </c>
      <c r="I124">
        <f t="shared" si="3"/>
        <v>9</v>
      </c>
    </row>
    <row r="125" spans="1:9" s="35" customFormat="1">
      <c r="A125" s="1">
        <v>42872.429861111108</v>
      </c>
      <c r="B125" s="69">
        <v>42428</v>
      </c>
      <c r="C125" s="70">
        <v>0.88888888888888884</v>
      </c>
      <c r="D125" s="71" t="s">
        <v>3048</v>
      </c>
      <c r="E125" s="35" t="s">
        <v>6</v>
      </c>
      <c r="F125" s="35" t="s">
        <v>21</v>
      </c>
      <c r="G125" s="35" t="s">
        <v>2962</v>
      </c>
      <c r="H125" s="35">
        <v>0</v>
      </c>
      <c r="I125">
        <f t="shared" si="3"/>
        <v>0</v>
      </c>
    </row>
    <row r="126" spans="1:9" s="35" customFormat="1">
      <c r="A126" s="1">
        <v>42872.417361111111</v>
      </c>
      <c r="B126" s="69">
        <v>42428</v>
      </c>
      <c r="C126" s="70">
        <v>0.81944444444444442</v>
      </c>
      <c r="D126" s="71" t="s">
        <v>3046</v>
      </c>
      <c r="E126" s="35" t="s">
        <v>6</v>
      </c>
      <c r="F126" s="35" t="s">
        <v>46</v>
      </c>
      <c r="G126" s="35" t="s">
        <v>2907</v>
      </c>
      <c r="H126" s="35" t="e">
        <v>#VALUE!</v>
      </c>
      <c r="I126" t="e">
        <f t="shared" si="3"/>
        <v>#VALUE!</v>
      </c>
    </row>
    <row r="127" spans="1:9" s="35" customFormat="1">
      <c r="A127" s="1">
        <v>42872.339583333334</v>
      </c>
      <c r="B127" s="69">
        <v>42428</v>
      </c>
      <c r="C127" s="70">
        <v>0.57847222222222228</v>
      </c>
      <c r="D127" s="71" t="s">
        <v>3039</v>
      </c>
      <c r="E127" s="35" t="s">
        <v>6</v>
      </c>
      <c r="F127" s="35" t="s">
        <v>12</v>
      </c>
      <c r="G127" s="35" t="s">
        <v>65</v>
      </c>
      <c r="H127" s="35">
        <v>13</v>
      </c>
      <c r="I127">
        <f t="shared" si="3"/>
        <v>17</v>
      </c>
    </row>
    <row r="128" spans="1:9" s="35" customFormat="1">
      <c r="A128" s="1">
        <v>42872.324305555558</v>
      </c>
      <c r="B128" s="69">
        <v>42428</v>
      </c>
      <c r="C128" s="70">
        <v>0.40833333333333333</v>
      </c>
      <c r="D128" s="71" t="s">
        <v>3035</v>
      </c>
      <c r="E128" s="35" t="s">
        <v>6</v>
      </c>
      <c r="F128" s="35" t="s">
        <v>46</v>
      </c>
      <c r="G128" s="35" t="s">
        <v>2968</v>
      </c>
      <c r="H128" s="35">
        <v>4</v>
      </c>
      <c r="I128">
        <f t="shared" si="3"/>
        <v>5</v>
      </c>
    </row>
    <row r="129" spans="1:9" s="35" customFormat="1">
      <c r="A129" s="1">
        <v>42872.323611111111</v>
      </c>
      <c r="B129" s="69">
        <v>42428</v>
      </c>
      <c r="C129" s="70">
        <v>0.40833333333333333</v>
      </c>
      <c r="D129" s="71" t="s">
        <v>3035</v>
      </c>
      <c r="E129" s="35" t="s">
        <v>6</v>
      </c>
      <c r="F129" s="35" t="s">
        <v>46</v>
      </c>
      <c r="G129" s="35" t="s">
        <v>2968</v>
      </c>
      <c r="H129" s="35">
        <v>4</v>
      </c>
      <c r="I129">
        <f t="shared" si="3"/>
        <v>5</v>
      </c>
    </row>
    <row r="130" spans="1:9" s="35" customFormat="1">
      <c r="A130" s="1">
        <v>42872.257638888892</v>
      </c>
      <c r="B130" s="69">
        <v>42430</v>
      </c>
      <c r="C130" s="70">
        <v>0.98958333333333337</v>
      </c>
      <c r="D130" s="71" t="s">
        <v>3063</v>
      </c>
      <c r="E130" s="35" t="s">
        <v>0</v>
      </c>
      <c r="F130" s="35" t="s">
        <v>313</v>
      </c>
      <c r="G130" s="35" t="s">
        <v>2672</v>
      </c>
      <c r="H130" s="35">
        <v>2</v>
      </c>
      <c r="I130">
        <f t="shared" si="3"/>
        <v>3</v>
      </c>
    </row>
    <row r="131" spans="1:9" s="35" customFormat="1">
      <c r="A131" s="1">
        <v>42872.213194444441</v>
      </c>
      <c r="B131" s="69">
        <v>42430</v>
      </c>
      <c r="C131" s="70">
        <v>0.9506944444444444</v>
      </c>
      <c r="D131" s="71" t="s">
        <v>3049</v>
      </c>
      <c r="E131" s="35" t="s">
        <v>0</v>
      </c>
      <c r="F131" s="35" t="s">
        <v>313</v>
      </c>
      <c r="G131" s="35" t="s">
        <v>2672</v>
      </c>
      <c r="H131" s="35">
        <v>2</v>
      </c>
      <c r="I131">
        <f t="shared" ref="I131:I194" si="4">ROUNDUP((H131*1.24), 0)</f>
        <v>3</v>
      </c>
    </row>
    <row r="132" spans="1:9" s="35" customFormat="1">
      <c r="A132" s="1">
        <v>42872.162499999999</v>
      </c>
      <c r="B132" s="69">
        <v>42430</v>
      </c>
      <c r="C132" s="70">
        <v>0.89375000000000004</v>
      </c>
      <c r="D132" s="71" t="s">
        <v>3048</v>
      </c>
      <c r="E132" s="35" t="s">
        <v>0</v>
      </c>
      <c r="F132" s="35" t="s">
        <v>313</v>
      </c>
      <c r="G132" s="35" t="s">
        <v>2942</v>
      </c>
      <c r="H132" s="35">
        <v>17</v>
      </c>
      <c r="I132">
        <f t="shared" si="4"/>
        <v>22</v>
      </c>
    </row>
    <row r="133" spans="1:9" s="35" customFormat="1">
      <c r="A133" s="1">
        <v>42872.125694444447</v>
      </c>
      <c r="B133" s="69">
        <v>42430</v>
      </c>
      <c r="C133" s="70">
        <v>0.88055555555555554</v>
      </c>
      <c r="D133" s="71" t="s">
        <v>3048</v>
      </c>
      <c r="E133" s="35" t="s">
        <v>0</v>
      </c>
      <c r="F133" s="35" t="s">
        <v>10</v>
      </c>
      <c r="G133" s="35" t="s">
        <v>2943</v>
      </c>
      <c r="H133" s="35">
        <v>25</v>
      </c>
      <c r="I133">
        <f t="shared" si="4"/>
        <v>31</v>
      </c>
    </row>
    <row r="134" spans="1:9" s="35" customFormat="1">
      <c r="A134" s="1">
        <v>42872.079861111109</v>
      </c>
      <c r="B134" s="69">
        <v>42430</v>
      </c>
      <c r="C134" s="70">
        <v>0.86111111111111116</v>
      </c>
      <c r="D134" s="71" t="s">
        <v>3047</v>
      </c>
      <c r="E134" s="35" t="s">
        <v>0</v>
      </c>
      <c r="F134" s="35" t="s">
        <v>313</v>
      </c>
      <c r="G134" s="35" t="s">
        <v>2688</v>
      </c>
      <c r="H134" s="35">
        <v>5</v>
      </c>
      <c r="I134">
        <f t="shared" si="4"/>
        <v>7</v>
      </c>
    </row>
    <row r="135" spans="1:9" s="35" customFormat="1">
      <c r="A135" s="1">
        <v>42872.043055555558</v>
      </c>
      <c r="B135" s="69">
        <v>42430</v>
      </c>
      <c r="C135" s="70">
        <v>0.77361111111111114</v>
      </c>
      <c r="D135" s="71" t="s">
        <v>3045</v>
      </c>
      <c r="E135" s="35" t="s">
        <v>0</v>
      </c>
      <c r="F135" s="35" t="s">
        <v>313</v>
      </c>
      <c r="G135" s="35" t="s">
        <v>2687</v>
      </c>
      <c r="H135" s="35">
        <v>4</v>
      </c>
      <c r="I135">
        <f t="shared" si="4"/>
        <v>5</v>
      </c>
    </row>
    <row r="136" spans="1:9" s="35" customFormat="1">
      <c r="A136" s="1">
        <v>42872.586805555555</v>
      </c>
      <c r="B136" s="69">
        <v>42430</v>
      </c>
      <c r="C136" s="70">
        <v>0.6958333333333333</v>
      </c>
      <c r="D136" s="71" t="s">
        <v>3043</v>
      </c>
      <c r="E136" s="35" t="s">
        <v>0</v>
      </c>
      <c r="F136" s="35" t="s">
        <v>313</v>
      </c>
      <c r="G136" s="35" t="s">
        <v>2687</v>
      </c>
      <c r="H136" s="35">
        <v>4</v>
      </c>
      <c r="I136">
        <f t="shared" si="4"/>
        <v>5</v>
      </c>
    </row>
    <row r="137" spans="1:9" s="35" customFormat="1">
      <c r="A137" s="1">
        <v>42872.581944444442</v>
      </c>
      <c r="B137" s="69">
        <v>42430</v>
      </c>
      <c r="C137" s="70">
        <v>0.67013888888888884</v>
      </c>
      <c r="D137" s="71" t="s">
        <v>3043</v>
      </c>
      <c r="E137" s="35" t="s">
        <v>0</v>
      </c>
      <c r="F137" s="35" t="s">
        <v>313</v>
      </c>
      <c r="G137" s="35" t="s">
        <v>2687</v>
      </c>
      <c r="H137" s="35">
        <v>4</v>
      </c>
      <c r="I137">
        <f t="shared" si="4"/>
        <v>5</v>
      </c>
    </row>
    <row r="138" spans="1:9" s="35" customFormat="1">
      <c r="A138" s="1">
        <v>42872.34097222222</v>
      </c>
      <c r="B138" s="69">
        <v>42430</v>
      </c>
      <c r="C138" s="70">
        <v>0.66180555555555554</v>
      </c>
      <c r="D138" s="71" t="s">
        <v>3042</v>
      </c>
      <c r="E138" s="35" t="s">
        <v>0</v>
      </c>
      <c r="F138" s="35" t="s">
        <v>313</v>
      </c>
      <c r="G138" s="35" t="s">
        <v>2953</v>
      </c>
      <c r="H138" s="35">
        <v>5</v>
      </c>
      <c r="I138">
        <f t="shared" si="4"/>
        <v>7</v>
      </c>
    </row>
    <row r="139" spans="1:9" s="35" customFormat="1">
      <c r="A139" s="1">
        <v>42872.292361111111</v>
      </c>
      <c r="B139" s="69">
        <v>42430</v>
      </c>
      <c r="C139" s="70">
        <v>0.65138888888888891</v>
      </c>
      <c r="D139" s="71" t="s">
        <v>3042</v>
      </c>
      <c r="E139" s="35" t="s">
        <v>0</v>
      </c>
      <c r="F139" s="35" t="s">
        <v>313</v>
      </c>
      <c r="G139" s="35" t="s">
        <v>2688</v>
      </c>
      <c r="H139" s="35">
        <v>5</v>
      </c>
      <c r="I139">
        <f t="shared" si="4"/>
        <v>7</v>
      </c>
    </row>
    <row r="140" spans="1:9" s="35" customFormat="1">
      <c r="A140" s="1">
        <v>42872.252083333333</v>
      </c>
      <c r="B140" s="69">
        <v>42430</v>
      </c>
      <c r="C140" s="70">
        <v>0.64861111111111114</v>
      </c>
      <c r="D140" s="71" t="s">
        <v>3042</v>
      </c>
      <c r="E140" s="35" t="s">
        <v>0</v>
      </c>
      <c r="F140" s="35" t="s">
        <v>313</v>
      </c>
      <c r="G140" s="35" t="s">
        <v>2687</v>
      </c>
      <c r="H140" s="35">
        <v>4</v>
      </c>
      <c r="I140">
        <f t="shared" si="4"/>
        <v>5</v>
      </c>
    </row>
    <row r="141" spans="1:9" s="35" customFormat="1">
      <c r="A141" s="1">
        <v>42872.22152777778</v>
      </c>
      <c r="B141" s="69">
        <v>42430</v>
      </c>
      <c r="C141" s="70">
        <v>0.24305555555555555</v>
      </c>
      <c r="D141" s="71" t="s">
        <v>3055</v>
      </c>
      <c r="E141" s="35" t="s">
        <v>0</v>
      </c>
      <c r="F141" s="35" t="s">
        <v>313</v>
      </c>
      <c r="G141" s="35" t="s">
        <v>2926</v>
      </c>
      <c r="H141" s="35">
        <v>4</v>
      </c>
      <c r="I141">
        <f t="shared" si="4"/>
        <v>5</v>
      </c>
    </row>
    <row r="142" spans="1:9" s="35" customFormat="1">
      <c r="A142" s="1">
        <v>42871.976388888892</v>
      </c>
      <c r="B142" s="69">
        <v>42430</v>
      </c>
      <c r="C142" s="70">
        <v>0.21388888888888888</v>
      </c>
      <c r="D142" s="71" t="s">
        <v>3055</v>
      </c>
      <c r="E142" s="35" t="s">
        <v>0</v>
      </c>
      <c r="F142" s="35" t="s">
        <v>313</v>
      </c>
      <c r="G142" s="35" t="s">
        <v>2959</v>
      </c>
      <c r="H142" s="35">
        <v>4</v>
      </c>
      <c r="I142">
        <f t="shared" si="4"/>
        <v>5</v>
      </c>
    </row>
    <row r="143" spans="1:9" s="35" customFormat="1">
      <c r="A143" s="1">
        <v>42871.961111111108</v>
      </c>
      <c r="B143" s="69">
        <v>42430</v>
      </c>
      <c r="C143" s="70">
        <v>0.17083333333333334</v>
      </c>
      <c r="D143" s="71" t="s">
        <v>3054</v>
      </c>
      <c r="E143" s="35" t="s">
        <v>0</v>
      </c>
      <c r="F143" s="35" t="s">
        <v>313</v>
      </c>
      <c r="G143" s="35" t="s">
        <v>2672</v>
      </c>
      <c r="H143" s="35">
        <v>2</v>
      </c>
      <c r="I143">
        <f t="shared" si="4"/>
        <v>3</v>
      </c>
    </row>
    <row r="144" spans="1:9" s="35" customFormat="1">
      <c r="A144" s="1">
        <v>42871.711111111108</v>
      </c>
      <c r="B144" s="69">
        <v>42430</v>
      </c>
      <c r="C144" s="70">
        <v>3.3333333333333333E-2</v>
      </c>
      <c r="D144" s="71" t="s">
        <v>3050</v>
      </c>
      <c r="E144" s="35" t="s">
        <v>0</v>
      </c>
      <c r="F144" s="35" t="s">
        <v>313</v>
      </c>
      <c r="G144" s="35" t="s">
        <v>2682</v>
      </c>
      <c r="H144" s="35">
        <v>3</v>
      </c>
      <c r="I144">
        <f t="shared" si="4"/>
        <v>4</v>
      </c>
    </row>
    <row r="145" spans="1:9" s="35" customFormat="1">
      <c r="A145" s="1">
        <v>42871.595833333333</v>
      </c>
      <c r="B145" s="69">
        <v>42430</v>
      </c>
      <c r="C145" s="70">
        <v>0.97222222222222221</v>
      </c>
      <c r="D145" s="71" t="s">
        <v>3063</v>
      </c>
      <c r="E145" s="35" t="s">
        <v>6</v>
      </c>
      <c r="F145" s="35" t="s">
        <v>15</v>
      </c>
      <c r="G145" s="35" t="s">
        <v>2941</v>
      </c>
      <c r="H145" s="35">
        <v>13</v>
      </c>
      <c r="I145">
        <f t="shared" si="4"/>
        <v>17</v>
      </c>
    </row>
    <row r="146" spans="1:9" s="35" customFormat="1">
      <c r="A146" s="1">
        <v>42871.524305555555</v>
      </c>
      <c r="B146" s="69">
        <v>42430</v>
      </c>
      <c r="C146" s="70">
        <v>0.87777777777777777</v>
      </c>
      <c r="D146" s="71" t="s">
        <v>3048</v>
      </c>
      <c r="E146" s="35" t="s">
        <v>6</v>
      </c>
      <c r="F146" s="35" t="s">
        <v>46</v>
      </c>
      <c r="G146" s="35" t="s">
        <v>2944</v>
      </c>
      <c r="H146" s="35" t="e">
        <v>#VALUE!</v>
      </c>
      <c r="I146" t="e">
        <f t="shared" si="4"/>
        <v>#VALUE!</v>
      </c>
    </row>
    <row r="147" spans="1:9" s="35" customFormat="1">
      <c r="A147" s="1">
        <v>42871.511111111111</v>
      </c>
      <c r="B147" s="69">
        <v>42430</v>
      </c>
      <c r="C147" s="70">
        <v>0.84444444444444444</v>
      </c>
      <c r="D147" s="71" t="s">
        <v>3047</v>
      </c>
      <c r="E147" s="35" t="s">
        <v>6</v>
      </c>
      <c r="F147" s="35" t="s">
        <v>46</v>
      </c>
      <c r="G147" s="35" t="s">
        <v>2945</v>
      </c>
      <c r="H147" s="35">
        <v>2</v>
      </c>
      <c r="I147">
        <f t="shared" si="4"/>
        <v>3</v>
      </c>
    </row>
    <row r="148" spans="1:9" s="35" customFormat="1">
      <c r="A148" s="1">
        <v>42871.465277777781</v>
      </c>
      <c r="B148" s="69">
        <v>42430</v>
      </c>
      <c r="C148" s="70">
        <v>0.80763888888888891</v>
      </c>
      <c r="D148" s="71" t="s">
        <v>3046</v>
      </c>
      <c r="E148" s="35" t="s">
        <v>6</v>
      </c>
      <c r="F148" s="35" t="s">
        <v>46</v>
      </c>
      <c r="G148" s="35" t="s">
        <v>2687</v>
      </c>
      <c r="H148" s="35">
        <v>4</v>
      </c>
      <c r="I148">
        <f t="shared" si="4"/>
        <v>5</v>
      </c>
    </row>
    <row r="149" spans="1:9" s="35" customFormat="1">
      <c r="A149" s="1">
        <v>42871.384722222225</v>
      </c>
      <c r="B149" s="69">
        <v>42430</v>
      </c>
      <c r="C149" s="70">
        <v>0.80208333333333337</v>
      </c>
      <c r="D149" s="71" t="s">
        <v>3046</v>
      </c>
      <c r="E149" s="35" t="s">
        <v>6</v>
      </c>
      <c r="F149" s="35" t="s">
        <v>46</v>
      </c>
      <c r="G149" s="35" t="s">
        <v>2946</v>
      </c>
      <c r="H149" s="35" t="e">
        <v>#VALUE!</v>
      </c>
      <c r="I149" t="e">
        <f t="shared" si="4"/>
        <v>#VALUE!</v>
      </c>
    </row>
    <row r="150" spans="1:9" s="35" customFormat="1">
      <c r="A150" s="1">
        <v>42871.354861111111</v>
      </c>
      <c r="B150" s="69">
        <v>42430</v>
      </c>
      <c r="C150" s="70">
        <v>0.80138888888888893</v>
      </c>
      <c r="D150" s="71" t="s">
        <v>3046</v>
      </c>
      <c r="E150" s="35" t="s">
        <v>6</v>
      </c>
      <c r="F150" s="35" t="s">
        <v>46</v>
      </c>
      <c r="G150" s="35" t="s">
        <v>2947</v>
      </c>
      <c r="H150" s="35" t="e">
        <v>#VALUE!</v>
      </c>
      <c r="I150" t="e">
        <f t="shared" si="4"/>
        <v>#VALUE!</v>
      </c>
    </row>
    <row r="151" spans="1:9" s="35" customFormat="1">
      <c r="A151" s="1">
        <v>42871.32916666667</v>
      </c>
      <c r="B151" s="69">
        <v>42430</v>
      </c>
      <c r="C151" s="70">
        <v>0.78680555555555554</v>
      </c>
      <c r="D151" s="71" t="s">
        <v>3045</v>
      </c>
      <c r="E151" s="35" t="s">
        <v>6</v>
      </c>
      <c r="F151" s="35" t="s">
        <v>46</v>
      </c>
      <c r="G151" s="35" t="s">
        <v>2948</v>
      </c>
      <c r="H151" s="35">
        <v>9</v>
      </c>
      <c r="I151">
        <f t="shared" si="4"/>
        <v>12</v>
      </c>
    </row>
    <row r="152" spans="1:9" s="35" customFormat="1">
      <c r="A152" s="1">
        <v>42871.328472222223</v>
      </c>
      <c r="B152" s="69">
        <v>42430</v>
      </c>
      <c r="C152" s="70">
        <v>0.7270833333333333</v>
      </c>
      <c r="D152" s="71" t="s">
        <v>3044</v>
      </c>
      <c r="E152" s="35" t="s">
        <v>6</v>
      </c>
      <c r="F152" s="35" t="s">
        <v>46</v>
      </c>
      <c r="G152" s="35" t="s">
        <v>2949</v>
      </c>
      <c r="H152" s="35" t="e">
        <v>#VALUE!</v>
      </c>
      <c r="I152" t="e">
        <f t="shared" si="4"/>
        <v>#VALUE!</v>
      </c>
    </row>
    <row r="153" spans="1:9" s="35" customFormat="1">
      <c r="A153" s="1">
        <v>42871.313194444447</v>
      </c>
      <c r="B153" s="69">
        <v>42430</v>
      </c>
      <c r="C153" s="70">
        <v>0.72361111111111109</v>
      </c>
      <c r="D153" s="71" t="s">
        <v>3044</v>
      </c>
      <c r="E153" s="35" t="s">
        <v>6</v>
      </c>
      <c r="F153" s="35" t="s">
        <v>46</v>
      </c>
      <c r="G153" s="35" t="s">
        <v>2950</v>
      </c>
      <c r="H153" s="35" t="e">
        <v>#VALUE!</v>
      </c>
      <c r="I153" t="e">
        <f t="shared" si="4"/>
        <v>#VALUE!</v>
      </c>
    </row>
    <row r="154" spans="1:9" s="35" customFormat="1">
      <c r="A154" s="1">
        <v>42871.275694444441</v>
      </c>
      <c r="B154" s="69">
        <v>42430</v>
      </c>
      <c r="C154" s="70">
        <v>0.72152777777777777</v>
      </c>
      <c r="D154" s="71" t="s">
        <v>3044</v>
      </c>
      <c r="E154" s="35" t="s">
        <v>6</v>
      </c>
      <c r="F154" s="35" t="s">
        <v>46</v>
      </c>
      <c r="G154" s="35" t="s">
        <v>2951</v>
      </c>
      <c r="H154" s="35">
        <v>9</v>
      </c>
      <c r="I154">
        <f t="shared" si="4"/>
        <v>12</v>
      </c>
    </row>
    <row r="155" spans="1:9" s="35" customFormat="1">
      <c r="A155" s="1">
        <v>42871.250694444447</v>
      </c>
      <c r="B155" s="69">
        <v>42430</v>
      </c>
      <c r="C155" s="70">
        <v>0.67222222222222228</v>
      </c>
      <c r="D155" s="71" t="s">
        <v>3043</v>
      </c>
      <c r="E155" s="35" t="s">
        <v>6</v>
      </c>
      <c r="F155" s="35" t="s">
        <v>46</v>
      </c>
      <c r="G155" s="35" t="s">
        <v>2952</v>
      </c>
      <c r="H155" s="35" t="e">
        <v>#VALUE!</v>
      </c>
      <c r="I155" t="e">
        <f t="shared" si="4"/>
        <v>#VALUE!</v>
      </c>
    </row>
    <row r="156" spans="1:9" s="35" customFormat="1">
      <c r="A156" s="1">
        <v>42871.228472222225</v>
      </c>
      <c r="B156" s="69">
        <v>42430</v>
      </c>
      <c r="C156" s="70">
        <v>0.63402777777777775</v>
      </c>
      <c r="D156" s="71" t="s">
        <v>3042</v>
      </c>
      <c r="E156" s="35" t="s">
        <v>6</v>
      </c>
      <c r="F156" s="35" t="s">
        <v>46</v>
      </c>
      <c r="G156" s="35" t="s">
        <v>2954</v>
      </c>
      <c r="H156" s="35">
        <v>7</v>
      </c>
      <c r="I156">
        <f t="shared" si="4"/>
        <v>9</v>
      </c>
    </row>
    <row r="157" spans="1:9" s="35" customFormat="1">
      <c r="A157" s="1">
        <v>42871.224305555559</v>
      </c>
      <c r="B157" s="69">
        <v>42430</v>
      </c>
      <c r="C157" s="70">
        <v>0.62986111111111109</v>
      </c>
      <c r="D157" s="71" t="s">
        <v>3042</v>
      </c>
      <c r="E157" s="35" t="s">
        <v>6</v>
      </c>
      <c r="F157" s="35" t="s">
        <v>46</v>
      </c>
      <c r="G157" s="35" t="s">
        <v>2955</v>
      </c>
      <c r="H157" s="35" t="e">
        <v>#VALUE!</v>
      </c>
      <c r="I157" t="e">
        <f t="shared" si="4"/>
        <v>#VALUE!</v>
      </c>
    </row>
    <row r="158" spans="1:9" s="35" customFormat="1">
      <c r="A158" s="1">
        <v>42871.915972222225</v>
      </c>
      <c r="B158" s="69">
        <v>42430</v>
      </c>
      <c r="C158" s="70">
        <v>0.42152777777777778</v>
      </c>
      <c r="D158" s="71" t="s">
        <v>3036</v>
      </c>
      <c r="E158" s="35" t="s">
        <v>2</v>
      </c>
      <c r="F158" s="35" t="s">
        <v>12</v>
      </c>
      <c r="G158" s="35" t="s">
        <v>2398</v>
      </c>
      <c r="H158" s="35">
        <v>25</v>
      </c>
      <c r="I158">
        <f t="shared" si="4"/>
        <v>31</v>
      </c>
    </row>
    <row r="159" spans="1:9" s="35" customFormat="1">
      <c r="A159" s="1">
        <v>42871.598611111112</v>
      </c>
      <c r="B159" s="69">
        <v>42430</v>
      </c>
      <c r="C159" s="70">
        <v>0.37638888888888888</v>
      </c>
      <c r="D159" s="71" t="s">
        <v>3035</v>
      </c>
      <c r="E159" s="35" t="s">
        <v>6</v>
      </c>
      <c r="F159" s="35" t="s">
        <v>12</v>
      </c>
      <c r="G159" s="35" t="s">
        <v>2956</v>
      </c>
      <c r="H159" s="35">
        <v>25</v>
      </c>
      <c r="I159">
        <f t="shared" si="4"/>
        <v>31</v>
      </c>
    </row>
    <row r="160" spans="1:9" s="35" customFormat="1">
      <c r="A160" s="1">
        <v>42871.582638888889</v>
      </c>
      <c r="B160" s="69">
        <v>42430</v>
      </c>
      <c r="C160" s="70">
        <v>0.36180555555555555</v>
      </c>
      <c r="D160" s="71" t="s">
        <v>3034</v>
      </c>
      <c r="E160" s="35" t="s">
        <v>6</v>
      </c>
      <c r="F160" s="35" t="s">
        <v>12</v>
      </c>
      <c r="G160" s="35" t="s">
        <v>2957</v>
      </c>
      <c r="H160" s="35">
        <v>25</v>
      </c>
      <c r="I160">
        <f t="shared" si="4"/>
        <v>31</v>
      </c>
    </row>
    <row r="161" spans="1:9" s="35" customFormat="1">
      <c r="A161" s="1">
        <v>42871.250694444447</v>
      </c>
      <c r="B161" s="69">
        <v>42430</v>
      </c>
      <c r="C161" s="70">
        <v>0.21458333333333332</v>
      </c>
      <c r="D161" s="71" t="s">
        <v>3055</v>
      </c>
      <c r="E161" s="35" t="s">
        <v>6</v>
      </c>
      <c r="F161" s="35" t="s">
        <v>167</v>
      </c>
      <c r="G161" s="35" t="s">
        <v>2958</v>
      </c>
      <c r="H161" s="35">
        <v>7</v>
      </c>
      <c r="I161">
        <f t="shared" si="4"/>
        <v>9</v>
      </c>
    </row>
    <row r="162" spans="1:9" s="35" customFormat="1">
      <c r="A162" s="1">
        <v>42870.5625</v>
      </c>
      <c r="B162" s="69">
        <v>42431</v>
      </c>
      <c r="C162" s="70">
        <v>0.97222222222222221</v>
      </c>
      <c r="D162" s="71" t="s">
        <v>3063</v>
      </c>
      <c r="E162" s="35" t="s">
        <v>0</v>
      </c>
      <c r="F162" s="35" t="s">
        <v>313</v>
      </c>
      <c r="G162" s="35" t="s">
        <v>2672</v>
      </c>
      <c r="H162" s="35">
        <v>2</v>
      </c>
      <c r="I162">
        <f t="shared" si="4"/>
        <v>3</v>
      </c>
    </row>
    <row r="163" spans="1:9" s="35" customFormat="1">
      <c r="A163" s="1">
        <v>42870.356944444444</v>
      </c>
      <c r="B163" s="69">
        <v>42431</v>
      </c>
      <c r="C163" s="70">
        <v>0.94722222222222219</v>
      </c>
      <c r="D163" s="71" t="s">
        <v>3049</v>
      </c>
      <c r="E163" s="35" t="s">
        <v>0</v>
      </c>
      <c r="F163" s="35" t="s">
        <v>313</v>
      </c>
      <c r="G163" s="35" t="s">
        <v>2672</v>
      </c>
      <c r="H163" s="35">
        <v>2</v>
      </c>
      <c r="I163">
        <f t="shared" si="4"/>
        <v>3</v>
      </c>
    </row>
    <row r="164" spans="1:9" s="35" customFormat="1">
      <c r="A164" s="1">
        <v>42870.289583333331</v>
      </c>
      <c r="B164" s="69">
        <v>42431</v>
      </c>
      <c r="C164" s="70">
        <v>0.78333333333333333</v>
      </c>
      <c r="D164" s="71" t="s">
        <v>3045</v>
      </c>
      <c r="E164" s="35" t="s">
        <v>0</v>
      </c>
      <c r="F164" s="35" t="s">
        <v>313</v>
      </c>
      <c r="G164" s="35" t="s">
        <v>2687</v>
      </c>
      <c r="H164" s="35">
        <v>4</v>
      </c>
      <c r="I164">
        <f t="shared" si="4"/>
        <v>5</v>
      </c>
    </row>
    <row r="165" spans="1:9" s="35" customFormat="1">
      <c r="A165" s="1">
        <v>42870.039583333331</v>
      </c>
      <c r="B165" s="69">
        <v>42431</v>
      </c>
      <c r="C165" s="70">
        <v>0.6743055555555556</v>
      </c>
      <c r="D165" s="71" t="s">
        <v>3043</v>
      </c>
      <c r="E165" s="35" t="s">
        <v>0</v>
      </c>
      <c r="G165" s="35" t="s">
        <v>2934</v>
      </c>
      <c r="H165" s="35">
        <v>0</v>
      </c>
      <c r="I165">
        <f t="shared" si="4"/>
        <v>0</v>
      </c>
    </row>
    <row r="166" spans="1:9" s="35" customFormat="1">
      <c r="A166" s="1">
        <v>42870.03402777778</v>
      </c>
      <c r="B166" s="69">
        <v>42431</v>
      </c>
      <c r="C166" s="70">
        <v>0.67361111111111116</v>
      </c>
      <c r="D166" s="71" t="s">
        <v>3043</v>
      </c>
      <c r="E166" s="35" t="s">
        <v>0</v>
      </c>
      <c r="G166" s="35" t="s">
        <v>2935</v>
      </c>
      <c r="H166" s="35">
        <v>7</v>
      </c>
      <c r="I166">
        <f t="shared" si="4"/>
        <v>9</v>
      </c>
    </row>
    <row r="167" spans="1:9" s="35" customFormat="1">
      <c r="A167" s="1">
        <v>42870.029861111114</v>
      </c>
      <c r="B167" s="69">
        <v>42431</v>
      </c>
      <c r="C167" s="70">
        <v>0.65972222222222221</v>
      </c>
      <c r="D167" s="71" t="s">
        <v>3042</v>
      </c>
      <c r="E167" s="35" t="s">
        <v>730</v>
      </c>
      <c r="G167" s="35" t="s">
        <v>2936</v>
      </c>
      <c r="H167" s="35" t="e">
        <v>#VALUE!</v>
      </c>
      <c r="I167" t="e">
        <f t="shared" si="4"/>
        <v>#VALUE!</v>
      </c>
    </row>
    <row r="168" spans="1:9" s="35" customFormat="1">
      <c r="A168" s="1">
        <v>42870.025000000001</v>
      </c>
      <c r="B168" s="69">
        <v>42431</v>
      </c>
      <c r="C168" s="70">
        <v>0.23749999999999999</v>
      </c>
      <c r="D168" s="71" t="s">
        <v>3055</v>
      </c>
      <c r="E168" s="35" t="s">
        <v>0</v>
      </c>
      <c r="F168" s="35" t="s">
        <v>313</v>
      </c>
      <c r="G168" s="35" t="s">
        <v>2926</v>
      </c>
      <c r="H168" s="35">
        <v>7</v>
      </c>
      <c r="I168">
        <f t="shared" si="4"/>
        <v>9</v>
      </c>
    </row>
    <row r="169" spans="1:9" s="35" customFormat="1">
      <c r="A169" s="1">
        <v>42870.017361111109</v>
      </c>
      <c r="B169" s="69">
        <v>42431</v>
      </c>
      <c r="C169" s="70">
        <v>0.2013888888888889</v>
      </c>
      <c r="D169" s="71" t="s">
        <v>3054</v>
      </c>
      <c r="E169" s="35" t="s">
        <v>0</v>
      </c>
      <c r="F169" s="35" t="s">
        <v>313</v>
      </c>
      <c r="G169" s="35" t="s">
        <v>2672</v>
      </c>
      <c r="H169" s="35">
        <v>2</v>
      </c>
      <c r="I169">
        <f t="shared" si="4"/>
        <v>3</v>
      </c>
    </row>
    <row r="170" spans="1:9" s="35" customFormat="1">
      <c r="A170" s="1">
        <v>42870.015277777777</v>
      </c>
      <c r="B170" s="69">
        <v>42431</v>
      </c>
      <c r="C170" s="70">
        <v>9.5138888888888884E-2</v>
      </c>
      <c r="D170" s="71" t="s">
        <v>3052</v>
      </c>
      <c r="E170" s="35" t="s">
        <v>0</v>
      </c>
      <c r="F170" s="35" t="s">
        <v>313</v>
      </c>
      <c r="G170" s="35" t="s">
        <v>2672</v>
      </c>
      <c r="H170" s="35">
        <v>2</v>
      </c>
      <c r="I170">
        <f t="shared" si="4"/>
        <v>3</v>
      </c>
    </row>
    <row r="171" spans="1:9" s="35" customFormat="1">
      <c r="A171" s="1">
        <v>42870.008333333331</v>
      </c>
      <c r="B171" s="69">
        <v>42431</v>
      </c>
      <c r="C171" s="70">
        <v>4.583333333333333E-2</v>
      </c>
      <c r="D171" s="71" t="s">
        <v>3051</v>
      </c>
      <c r="E171" s="35" t="s">
        <v>0</v>
      </c>
      <c r="F171" s="35" t="s">
        <v>313</v>
      </c>
      <c r="G171" s="35" t="s">
        <v>2672</v>
      </c>
      <c r="H171" s="35">
        <v>2</v>
      </c>
      <c r="I171">
        <f t="shared" si="4"/>
        <v>3</v>
      </c>
    </row>
    <row r="172" spans="1:9" s="35" customFormat="1">
      <c r="A172" s="1">
        <v>42870.917361111111</v>
      </c>
      <c r="B172" s="69">
        <v>42431</v>
      </c>
      <c r="C172" s="70">
        <v>1.5277777777777777E-2</v>
      </c>
      <c r="D172" s="71" t="s">
        <v>3050</v>
      </c>
      <c r="E172" s="35" t="s">
        <v>0</v>
      </c>
      <c r="F172" s="35" t="s">
        <v>313</v>
      </c>
      <c r="G172" s="35" t="s">
        <v>2682</v>
      </c>
      <c r="H172" s="35">
        <v>3</v>
      </c>
      <c r="I172">
        <f t="shared" si="4"/>
        <v>4</v>
      </c>
    </row>
    <row r="173" spans="1:9" s="35" customFormat="1">
      <c r="A173" s="1">
        <v>42870.591666666667</v>
      </c>
      <c r="B173" s="69">
        <v>42431</v>
      </c>
      <c r="C173" s="70">
        <v>0.9819444444444444</v>
      </c>
      <c r="D173" s="71" t="s">
        <v>3063</v>
      </c>
      <c r="E173" s="35" t="s">
        <v>6</v>
      </c>
      <c r="F173" s="35" t="s">
        <v>15</v>
      </c>
      <c r="G173" s="35" t="s">
        <v>2929</v>
      </c>
      <c r="H173" s="35">
        <v>38</v>
      </c>
      <c r="I173">
        <f t="shared" si="4"/>
        <v>48</v>
      </c>
    </row>
    <row r="174" spans="1:9" s="35" customFormat="1">
      <c r="A174" s="1">
        <v>42870.585416666669</v>
      </c>
      <c r="B174" s="69">
        <v>42431</v>
      </c>
      <c r="C174" s="70">
        <v>0.96180555555555558</v>
      </c>
      <c r="D174" s="71" t="s">
        <v>3063</v>
      </c>
      <c r="E174" s="35" t="s">
        <v>6</v>
      </c>
      <c r="F174" s="35" t="s">
        <v>46</v>
      </c>
      <c r="G174" s="35" t="s">
        <v>2903</v>
      </c>
      <c r="H174" s="35">
        <v>7</v>
      </c>
      <c r="I174">
        <f t="shared" si="4"/>
        <v>9</v>
      </c>
    </row>
    <row r="175" spans="1:9" s="35" customFormat="1">
      <c r="A175" s="1">
        <v>42870.459027777775</v>
      </c>
      <c r="B175" s="69">
        <v>42431</v>
      </c>
      <c r="C175" s="70">
        <v>0.92777777777777781</v>
      </c>
      <c r="D175" s="71" t="s">
        <v>3049</v>
      </c>
      <c r="E175" s="35" t="s">
        <v>6</v>
      </c>
      <c r="F175" s="35" t="s">
        <v>15</v>
      </c>
      <c r="G175" s="35" t="s">
        <v>2930</v>
      </c>
      <c r="H175" s="35">
        <v>13</v>
      </c>
      <c r="I175">
        <f t="shared" si="4"/>
        <v>17</v>
      </c>
    </row>
    <row r="176" spans="1:9" s="35" customFormat="1">
      <c r="A176" s="1">
        <v>42870.250694444447</v>
      </c>
      <c r="B176" s="69">
        <v>42431</v>
      </c>
      <c r="C176" s="70">
        <v>0.80555555555555558</v>
      </c>
      <c r="D176" s="71" t="s">
        <v>3046</v>
      </c>
      <c r="E176" s="35" t="s">
        <v>6</v>
      </c>
      <c r="F176" s="35" t="s">
        <v>46</v>
      </c>
      <c r="G176" s="35" t="s">
        <v>2931</v>
      </c>
      <c r="H176" s="35" t="e">
        <v>#VALUE!</v>
      </c>
      <c r="I176" t="e">
        <f t="shared" si="4"/>
        <v>#VALUE!</v>
      </c>
    </row>
    <row r="177" spans="1:9" s="35" customFormat="1">
      <c r="A177" s="1">
        <v>42869.936805555553</v>
      </c>
      <c r="B177" s="69">
        <v>42431</v>
      </c>
      <c r="C177" s="70">
        <v>0.79097222222222219</v>
      </c>
      <c r="D177" s="71" t="s">
        <v>3045</v>
      </c>
      <c r="E177" s="35" t="s">
        <v>6</v>
      </c>
      <c r="F177" s="35" t="s">
        <v>46</v>
      </c>
      <c r="G177" s="35" t="s">
        <v>2932</v>
      </c>
      <c r="H177" s="35">
        <v>0</v>
      </c>
      <c r="I177">
        <f t="shared" si="4"/>
        <v>0</v>
      </c>
    </row>
    <row r="178" spans="1:9" s="35" customFormat="1">
      <c r="A178" s="1">
        <v>42869.936111111114</v>
      </c>
      <c r="B178" s="69">
        <v>42431</v>
      </c>
      <c r="C178" s="70">
        <v>0.71944444444444444</v>
      </c>
      <c r="D178" s="71" t="s">
        <v>3044</v>
      </c>
      <c r="E178" s="35" t="s">
        <v>6</v>
      </c>
      <c r="F178" s="35" t="s">
        <v>46</v>
      </c>
      <c r="G178" s="35" t="s">
        <v>2907</v>
      </c>
      <c r="H178" s="35">
        <v>0</v>
      </c>
      <c r="I178">
        <f t="shared" si="4"/>
        <v>0</v>
      </c>
    </row>
    <row r="179" spans="1:9" s="35" customFormat="1">
      <c r="A179" s="1">
        <v>42869.92291666667</v>
      </c>
      <c r="B179" s="69">
        <v>42431</v>
      </c>
      <c r="C179" s="70">
        <v>0.69513888888888886</v>
      </c>
      <c r="D179" s="71" t="s">
        <v>3043</v>
      </c>
      <c r="E179" s="35" t="s">
        <v>6</v>
      </c>
      <c r="F179" s="35" t="s">
        <v>46</v>
      </c>
      <c r="G179" s="35" t="s">
        <v>2933</v>
      </c>
      <c r="H179" s="35">
        <v>3</v>
      </c>
      <c r="I179">
        <f t="shared" si="4"/>
        <v>4</v>
      </c>
    </row>
    <row r="180" spans="1:9" s="35" customFormat="1">
      <c r="A180" s="1">
        <v>42869.921527777777</v>
      </c>
      <c r="B180" s="69">
        <v>42431</v>
      </c>
      <c r="C180" s="70">
        <v>0.66041666666666665</v>
      </c>
      <c r="D180" s="71" t="s">
        <v>3042</v>
      </c>
      <c r="E180" s="35" t="s">
        <v>2</v>
      </c>
      <c r="F180" s="35" t="s">
        <v>56</v>
      </c>
      <c r="G180" s="35" t="s">
        <v>2656</v>
      </c>
      <c r="H180" s="35">
        <v>31</v>
      </c>
      <c r="I180">
        <f t="shared" si="4"/>
        <v>39</v>
      </c>
    </row>
    <row r="181" spans="1:9" s="35" customFormat="1">
      <c r="A181" s="1">
        <v>42868.189583333333</v>
      </c>
      <c r="B181" s="69">
        <v>42431</v>
      </c>
      <c r="C181" s="70">
        <v>0.37569444444444444</v>
      </c>
      <c r="D181" s="71" t="s">
        <v>3035</v>
      </c>
      <c r="E181" s="35" t="s">
        <v>2</v>
      </c>
      <c r="F181" s="35" t="s">
        <v>48</v>
      </c>
      <c r="G181" s="35" t="s">
        <v>2937</v>
      </c>
      <c r="H181" s="35">
        <v>25</v>
      </c>
      <c r="I181">
        <f t="shared" si="4"/>
        <v>31</v>
      </c>
    </row>
    <row r="182" spans="1:9" s="35" customFormat="1">
      <c r="A182" s="1">
        <v>42868.155555555553</v>
      </c>
      <c r="B182" s="69">
        <v>42431</v>
      </c>
      <c r="C182" s="70">
        <v>0.31527777777777777</v>
      </c>
      <c r="D182" s="71" t="s">
        <v>3033</v>
      </c>
      <c r="E182" s="35" t="s">
        <v>6</v>
      </c>
      <c r="F182" s="35" t="s">
        <v>46</v>
      </c>
      <c r="G182" s="35" t="s">
        <v>2938</v>
      </c>
      <c r="H182" s="35">
        <v>4</v>
      </c>
      <c r="I182">
        <f t="shared" si="4"/>
        <v>5</v>
      </c>
    </row>
    <row r="183" spans="1:9" s="35" customFormat="1">
      <c r="A183" s="1">
        <v>42868.143055555556</v>
      </c>
      <c r="B183" s="69">
        <v>42431</v>
      </c>
      <c r="C183" s="70">
        <v>5.2777777777777778E-2</v>
      </c>
      <c r="D183" s="71" t="s">
        <v>3051</v>
      </c>
      <c r="E183" s="35" t="s">
        <v>6</v>
      </c>
      <c r="F183" s="35" t="s">
        <v>12</v>
      </c>
      <c r="G183" s="35" t="s">
        <v>1203</v>
      </c>
      <c r="H183" s="35">
        <v>7</v>
      </c>
      <c r="I183">
        <f t="shared" si="4"/>
        <v>9</v>
      </c>
    </row>
    <row r="184" spans="1:9" s="35" customFormat="1">
      <c r="A184" s="1">
        <v>42868.043749999997</v>
      </c>
      <c r="B184" s="69">
        <v>42431</v>
      </c>
      <c r="C184" s="70">
        <v>4.1666666666666664E-2</v>
      </c>
      <c r="D184" s="71" t="s">
        <v>3051</v>
      </c>
      <c r="E184" s="35" t="s">
        <v>6</v>
      </c>
      <c r="F184" s="35" t="s">
        <v>46</v>
      </c>
      <c r="G184" s="35" t="s">
        <v>2939</v>
      </c>
      <c r="H184" s="35">
        <v>7</v>
      </c>
      <c r="I184">
        <f t="shared" si="4"/>
        <v>9</v>
      </c>
    </row>
    <row r="185" spans="1:9" s="35" customFormat="1">
      <c r="A185" s="1">
        <v>42868.138194444444</v>
      </c>
      <c r="B185" s="69">
        <v>42431</v>
      </c>
      <c r="C185" s="70">
        <v>6.2500000000000003E-3</v>
      </c>
      <c r="D185" s="71" t="s">
        <v>3050</v>
      </c>
      <c r="E185" s="35" t="s">
        <v>6</v>
      </c>
      <c r="F185" s="35" t="s">
        <v>46</v>
      </c>
      <c r="G185" s="35" t="s">
        <v>2940</v>
      </c>
      <c r="H185" s="35">
        <v>7</v>
      </c>
      <c r="I185">
        <f t="shared" si="4"/>
        <v>9</v>
      </c>
    </row>
    <row r="186" spans="1:9" s="35" customFormat="1">
      <c r="A186" s="1">
        <v>42868.038194444445</v>
      </c>
      <c r="B186" s="69">
        <v>42432</v>
      </c>
      <c r="C186" s="70">
        <v>0.97986111111111107</v>
      </c>
      <c r="D186" s="71" t="s">
        <v>3063</v>
      </c>
      <c r="E186" s="35" t="s">
        <v>0</v>
      </c>
      <c r="F186" s="35" t="s">
        <v>313</v>
      </c>
      <c r="G186" s="35" t="s">
        <v>2672</v>
      </c>
      <c r="H186" s="35">
        <v>2</v>
      </c>
      <c r="I186">
        <f t="shared" si="4"/>
        <v>3</v>
      </c>
    </row>
    <row r="187" spans="1:9">
      <c r="A187" s="1">
        <v>42867.96597222222</v>
      </c>
      <c r="B187" s="19">
        <v>42432</v>
      </c>
      <c r="C187" s="21">
        <v>0.8979166666666667</v>
      </c>
      <c r="D187" s="20" t="s">
        <v>3048</v>
      </c>
      <c r="E187" t="s">
        <v>0</v>
      </c>
      <c r="F187" t="s">
        <v>10</v>
      </c>
      <c r="G187" t="s">
        <v>2916</v>
      </c>
      <c r="H187">
        <v>0</v>
      </c>
      <c r="I187">
        <f t="shared" si="4"/>
        <v>0</v>
      </c>
    </row>
    <row r="188" spans="1:9">
      <c r="A188" s="1">
        <v>42867.956944444442</v>
      </c>
      <c r="B188" s="19">
        <v>42432</v>
      </c>
      <c r="C188" s="21">
        <v>0.8833333333333333</v>
      </c>
      <c r="D188" s="20" t="s">
        <v>3048</v>
      </c>
      <c r="E188" t="s">
        <v>0</v>
      </c>
      <c r="F188" t="s">
        <v>1</v>
      </c>
      <c r="G188" t="s">
        <v>2918</v>
      </c>
      <c r="H188">
        <v>0</v>
      </c>
      <c r="I188">
        <f t="shared" si="4"/>
        <v>0</v>
      </c>
    </row>
    <row r="189" spans="1:9">
      <c r="A189" s="1">
        <v>42867.931944444441</v>
      </c>
      <c r="B189" s="19">
        <v>42432</v>
      </c>
      <c r="C189" s="21">
        <v>0.85972222222222228</v>
      </c>
      <c r="D189" s="20" t="s">
        <v>3047</v>
      </c>
      <c r="E189" t="s">
        <v>33</v>
      </c>
      <c r="F189" t="s">
        <v>44</v>
      </c>
      <c r="G189" t="s">
        <v>2919</v>
      </c>
      <c r="H189">
        <v>0</v>
      </c>
      <c r="I189">
        <f t="shared" si="4"/>
        <v>0</v>
      </c>
    </row>
    <row r="190" spans="1:9">
      <c r="A190" s="1">
        <v>42867.916666666664</v>
      </c>
      <c r="B190" s="19">
        <v>42432</v>
      </c>
      <c r="C190" s="21">
        <v>0.71736111111111112</v>
      </c>
      <c r="D190" s="20" t="s">
        <v>3044</v>
      </c>
      <c r="E190" t="s">
        <v>0</v>
      </c>
      <c r="F190" t="s">
        <v>313</v>
      </c>
      <c r="G190" t="s">
        <v>2691</v>
      </c>
      <c r="H190">
        <v>4</v>
      </c>
      <c r="I190">
        <f t="shared" si="4"/>
        <v>5</v>
      </c>
    </row>
    <row r="191" spans="1:9">
      <c r="A191" s="1">
        <v>42867.908333333333</v>
      </c>
      <c r="B191" s="19">
        <v>42432</v>
      </c>
      <c r="C191" s="21">
        <v>0.69444444444444442</v>
      </c>
      <c r="D191" s="20" t="s">
        <v>3043</v>
      </c>
      <c r="E191" t="s">
        <v>149</v>
      </c>
      <c r="F191" t="s">
        <v>150</v>
      </c>
      <c r="G191" t="s">
        <v>2921</v>
      </c>
      <c r="H191">
        <v>9</v>
      </c>
      <c r="I191">
        <f t="shared" si="4"/>
        <v>12</v>
      </c>
    </row>
    <row r="192" spans="1:9">
      <c r="A192" s="1">
        <v>42867.875694444447</v>
      </c>
      <c r="B192" s="19">
        <v>42432</v>
      </c>
      <c r="C192" s="21">
        <v>0.66249999999999998</v>
      </c>
      <c r="D192" s="20" t="s">
        <v>3042</v>
      </c>
      <c r="E192" t="s">
        <v>0</v>
      </c>
      <c r="F192" t="s">
        <v>313</v>
      </c>
      <c r="G192" t="s">
        <v>2691</v>
      </c>
      <c r="H192">
        <v>4</v>
      </c>
      <c r="I192">
        <f t="shared" si="4"/>
        <v>5</v>
      </c>
    </row>
    <row r="193" spans="1:9">
      <c r="A193" s="1">
        <v>42867.835416666669</v>
      </c>
      <c r="B193" s="19">
        <v>42432</v>
      </c>
      <c r="C193" s="21">
        <v>0.5805555555555556</v>
      </c>
      <c r="D193" s="20" t="s">
        <v>3039</v>
      </c>
      <c r="E193" t="s">
        <v>0</v>
      </c>
      <c r="G193" t="s">
        <v>2922</v>
      </c>
      <c r="H193">
        <v>7</v>
      </c>
      <c r="I193">
        <f t="shared" si="4"/>
        <v>9</v>
      </c>
    </row>
    <row r="194" spans="1:9">
      <c r="A194" s="1">
        <v>42867.820833333331</v>
      </c>
      <c r="B194" s="19">
        <v>42432</v>
      </c>
      <c r="C194" s="21">
        <v>0.33750000000000002</v>
      </c>
      <c r="D194" s="20" t="s">
        <v>3034</v>
      </c>
      <c r="H194">
        <v>0</v>
      </c>
      <c r="I194">
        <f t="shared" si="4"/>
        <v>0</v>
      </c>
    </row>
    <row r="195" spans="1:9">
      <c r="A195" s="1">
        <v>42867.796527777777</v>
      </c>
      <c r="B195" s="19">
        <v>42432</v>
      </c>
      <c r="C195" s="21">
        <v>0.24097222222222223</v>
      </c>
      <c r="D195" s="20" t="s">
        <v>3055</v>
      </c>
      <c r="E195" t="s">
        <v>0</v>
      </c>
      <c r="F195" t="s">
        <v>313</v>
      </c>
      <c r="G195" t="s">
        <v>2926</v>
      </c>
      <c r="H195">
        <v>7</v>
      </c>
      <c r="I195">
        <f t="shared" ref="I195:I258" si="5">ROUNDUP((H195*1.24), 0)</f>
        <v>9</v>
      </c>
    </row>
    <row r="196" spans="1:9">
      <c r="A196" s="1">
        <v>42867.698611111111</v>
      </c>
      <c r="B196" s="19">
        <v>42432</v>
      </c>
      <c r="C196" s="21">
        <v>0.16666666666666666</v>
      </c>
      <c r="D196" s="20" t="s">
        <v>3054</v>
      </c>
      <c r="E196" t="s">
        <v>0</v>
      </c>
      <c r="F196" t="s">
        <v>313</v>
      </c>
      <c r="G196" t="s">
        <v>2672</v>
      </c>
      <c r="H196">
        <v>2</v>
      </c>
      <c r="I196">
        <f t="shared" si="5"/>
        <v>3</v>
      </c>
    </row>
    <row r="197" spans="1:9">
      <c r="A197" s="1">
        <v>42867.609722222223</v>
      </c>
      <c r="B197" s="19">
        <v>42432</v>
      </c>
      <c r="C197" s="21">
        <v>0.12361111111111112</v>
      </c>
      <c r="D197" s="20" t="s">
        <v>3052</v>
      </c>
      <c r="E197" t="s">
        <v>0</v>
      </c>
      <c r="F197" t="s">
        <v>313</v>
      </c>
      <c r="G197" t="s">
        <v>2672</v>
      </c>
      <c r="H197">
        <v>2</v>
      </c>
      <c r="I197">
        <f t="shared" si="5"/>
        <v>3</v>
      </c>
    </row>
    <row r="198" spans="1:9">
      <c r="A198" s="1">
        <v>42867.6</v>
      </c>
      <c r="B198" s="19">
        <v>42432</v>
      </c>
      <c r="C198" s="21">
        <v>5.9722222222222225E-2</v>
      </c>
      <c r="D198" s="20" t="s">
        <v>3051</v>
      </c>
      <c r="E198" t="s">
        <v>0</v>
      </c>
      <c r="F198" t="s">
        <v>313</v>
      </c>
      <c r="G198" t="s">
        <v>2682</v>
      </c>
      <c r="H198">
        <v>3</v>
      </c>
      <c r="I198">
        <f t="shared" si="5"/>
        <v>4</v>
      </c>
    </row>
    <row r="199" spans="1:9">
      <c r="A199" s="1">
        <v>42867.446527777778</v>
      </c>
      <c r="B199" s="19">
        <v>42432</v>
      </c>
      <c r="C199" s="21">
        <v>0.92013888888888884</v>
      </c>
      <c r="D199" s="20" t="s">
        <v>3049</v>
      </c>
      <c r="E199" t="s">
        <v>6</v>
      </c>
      <c r="F199" t="s">
        <v>15</v>
      </c>
      <c r="G199" t="s">
        <v>2915</v>
      </c>
      <c r="H199">
        <v>19</v>
      </c>
      <c r="I199">
        <f t="shared" si="5"/>
        <v>24</v>
      </c>
    </row>
    <row r="200" spans="1:9">
      <c r="A200" s="1">
        <v>42867.279861111114</v>
      </c>
      <c r="B200" s="19">
        <v>42432</v>
      </c>
      <c r="C200" s="21">
        <v>0.8930555555555556</v>
      </c>
      <c r="D200" s="20" t="s">
        <v>3048</v>
      </c>
      <c r="E200" t="s">
        <v>6</v>
      </c>
      <c r="F200" t="s">
        <v>15</v>
      </c>
      <c r="G200" t="s">
        <v>2917</v>
      </c>
      <c r="H200">
        <v>0</v>
      </c>
      <c r="I200">
        <f t="shared" si="5"/>
        <v>0</v>
      </c>
    </row>
    <row r="201" spans="1:9">
      <c r="A201" s="1">
        <v>42867.252083333333</v>
      </c>
      <c r="B201" s="19">
        <v>42432</v>
      </c>
      <c r="C201" s="21">
        <v>0.82708333333333328</v>
      </c>
      <c r="D201" s="20" t="s">
        <v>3046</v>
      </c>
      <c r="E201" t="s">
        <v>6</v>
      </c>
      <c r="F201" t="s">
        <v>21</v>
      </c>
      <c r="G201" t="s">
        <v>2920</v>
      </c>
      <c r="H201">
        <v>0</v>
      </c>
      <c r="I201">
        <f t="shared" si="5"/>
        <v>0</v>
      </c>
    </row>
    <row r="202" spans="1:9">
      <c r="A202" s="1">
        <v>42867.015277777777</v>
      </c>
      <c r="B202" s="19">
        <v>42432</v>
      </c>
      <c r="C202" s="21">
        <v>0.75694444444444442</v>
      </c>
      <c r="D202" s="20" t="s">
        <v>3045</v>
      </c>
      <c r="E202" t="s">
        <v>2</v>
      </c>
      <c r="F202" t="s">
        <v>56</v>
      </c>
      <c r="G202" t="s">
        <v>1827</v>
      </c>
      <c r="H202">
        <v>38</v>
      </c>
      <c r="I202">
        <f t="shared" si="5"/>
        <v>48</v>
      </c>
    </row>
    <row r="203" spans="1:9">
      <c r="A203" s="1">
        <v>42867.923611111109</v>
      </c>
      <c r="B203" s="19">
        <v>42432</v>
      </c>
      <c r="C203" s="21">
        <v>0.65486111111111112</v>
      </c>
      <c r="D203" s="20" t="s">
        <v>3042</v>
      </c>
      <c r="E203" t="s">
        <v>6</v>
      </c>
      <c r="F203" t="s">
        <v>46</v>
      </c>
      <c r="G203" t="s">
        <v>2907</v>
      </c>
      <c r="H203">
        <v>0</v>
      </c>
      <c r="I203">
        <f t="shared" si="5"/>
        <v>0</v>
      </c>
    </row>
    <row r="204" spans="1:9">
      <c r="A204" s="1">
        <v>42867.915972222225</v>
      </c>
      <c r="B204" s="19">
        <v>42432</v>
      </c>
      <c r="C204" s="21">
        <v>0.58819444444444446</v>
      </c>
      <c r="D204" s="20" t="s">
        <v>3040</v>
      </c>
      <c r="E204" t="s">
        <v>2</v>
      </c>
      <c r="F204" t="s">
        <v>48</v>
      </c>
      <c r="H204">
        <v>62</v>
      </c>
      <c r="I204">
        <f t="shared" si="5"/>
        <v>77</v>
      </c>
    </row>
    <row r="205" spans="1:9">
      <c r="A205" s="1">
        <v>42867.915277777778</v>
      </c>
      <c r="B205" s="19">
        <v>42432</v>
      </c>
      <c r="C205" s="21">
        <v>0.42083333333333334</v>
      </c>
      <c r="D205" s="20" t="s">
        <v>3036</v>
      </c>
      <c r="E205" t="s">
        <v>2</v>
      </c>
      <c r="F205" t="s">
        <v>5</v>
      </c>
      <c r="G205" t="s">
        <v>2923</v>
      </c>
      <c r="H205">
        <v>298</v>
      </c>
      <c r="I205">
        <f t="shared" si="5"/>
        <v>370</v>
      </c>
    </row>
    <row r="206" spans="1:9">
      <c r="A206" s="1">
        <v>42867.912499999999</v>
      </c>
      <c r="B206" s="19">
        <v>42432</v>
      </c>
      <c r="C206" s="21">
        <v>0.29930555555555555</v>
      </c>
      <c r="D206" s="20" t="s">
        <v>3033</v>
      </c>
      <c r="E206" t="s">
        <v>6</v>
      </c>
      <c r="F206" t="s">
        <v>12</v>
      </c>
      <c r="G206" t="s">
        <v>2924</v>
      </c>
      <c r="H206">
        <v>75</v>
      </c>
      <c r="I206">
        <f t="shared" si="5"/>
        <v>93</v>
      </c>
    </row>
    <row r="207" spans="1:9">
      <c r="A207" s="1">
        <v>42867.824305555558</v>
      </c>
      <c r="B207" s="19">
        <v>42432</v>
      </c>
      <c r="C207" s="21">
        <v>0.27152777777777776</v>
      </c>
      <c r="D207" s="20" t="s">
        <v>3031</v>
      </c>
      <c r="E207" t="s">
        <v>6</v>
      </c>
      <c r="F207" t="s">
        <v>12</v>
      </c>
      <c r="G207" t="s">
        <v>2925</v>
      </c>
      <c r="H207">
        <v>38</v>
      </c>
      <c r="I207">
        <f t="shared" si="5"/>
        <v>48</v>
      </c>
    </row>
    <row r="208" spans="1:9">
      <c r="A208" s="1">
        <v>42867.583333333336</v>
      </c>
      <c r="B208" s="19">
        <v>42432</v>
      </c>
      <c r="C208" s="21">
        <v>0.18263888888888888</v>
      </c>
      <c r="D208" s="20" t="s">
        <v>3054</v>
      </c>
      <c r="E208" t="s">
        <v>2</v>
      </c>
      <c r="F208" t="s">
        <v>3</v>
      </c>
      <c r="G208" t="s">
        <v>2927</v>
      </c>
      <c r="H208">
        <v>19</v>
      </c>
      <c r="I208">
        <f t="shared" si="5"/>
        <v>24</v>
      </c>
    </row>
    <row r="209" spans="1:9">
      <c r="A209" s="1">
        <v>42867.513194444444</v>
      </c>
      <c r="B209" s="19">
        <v>42432</v>
      </c>
      <c r="C209" s="21">
        <v>2.9166666666666667E-2</v>
      </c>
      <c r="D209" s="20" t="s">
        <v>3050</v>
      </c>
      <c r="E209" t="s">
        <v>2</v>
      </c>
      <c r="F209" t="s">
        <v>15</v>
      </c>
      <c r="G209" t="s">
        <v>2928</v>
      </c>
      <c r="H209">
        <v>62</v>
      </c>
      <c r="I209">
        <f t="shared" si="5"/>
        <v>77</v>
      </c>
    </row>
    <row r="210" spans="1:9">
      <c r="A210" s="1">
        <v>42867.296527777777</v>
      </c>
      <c r="B210" s="19">
        <v>42433</v>
      </c>
      <c r="C210" s="21">
        <v>0.97083333333333333</v>
      </c>
      <c r="D210" s="20" t="s">
        <v>3063</v>
      </c>
      <c r="E210" t="s">
        <v>0</v>
      </c>
      <c r="F210" t="s">
        <v>313</v>
      </c>
      <c r="G210" t="s">
        <v>2672</v>
      </c>
      <c r="H210">
        <v>2</v>
      </c>
      <c r="I210">
        <f t="shared" si="5"/>
        <v>3</v>
      </c>
    </row>
    <row r="211" spans="1:9">
      <c r="A211" s="1">
        <v>42867.294444444444</v>
      </c>
      <c r="B211" s="19">
        <v>42433</v>
      </c>
      <c r="C211" s="21">
        <v>0.94305555555555554</v>
      </c>
      <c r="D211" s="20" t="s">
        <v>3049</v>
      </c>
      <c r="E211" t="s">
        <v>730</v>
      </c>
      <c r="G211" t="s">
        <v>2906</v>
      </c>
      <c r="H211">
        <v>7</v>
      </c>
      <c r="I211">
        <f t="shared" si="5"/>
        <v>9</v>
      </c>
    </row>
    <row r="212" spans="1:9">
      <c r="A212" s="1">
        <v>42867.265277777777</v>
      </c>
      <c r="B212" s="19">
        <v>42433</v>
      </c>
      <c r="C212" s="21">
        <v>0.84444444444444444</v>
      </c>
      <c r="D212" s="20" t="s">
        <v>3047</v>
      </c>
      <c r="E212" t="s">
        <v>0</v>
      </c>
      <c r="F212" t="s">
        <v>313</v>
      </c>
      <c r="G212" t="s">
        <v>2687</v>
      </c>
      <c r="H212">
        <v>3</v>
      </c>
      <c r="I212">
        <f t="shared" si="5"/>
        <v>4</v>
      </c>
    </row>
    <row r="213" spans="1:9">
      <c r="A213" s="1">
        <v>42867.25277777778</v>
      </c>
      <c r="B213" s="19">
        <v>42433</v>
      </c>
      <c r="C213" s="21">
        <v>0.78680555555555554</v>
      </c>
      <c r="D213" s="20" t="s">
        <v>3045</v>
      </c>
      <c r="E213" t="s">
        <v>0</v>
      </c>
      <c r="F213" t="s">
        <v>313</v>
      </c>
      <c r="G213" t="s">
        <v>2688</v>
      </c>
      <c r="H213">
        <v>4</v>
      </c>
      <c r="I213">
        <f t="shared" si="5"/>
        <v>5</v>
      </c>
    </row>
    <row r="214" spans="1:9">
      <c r="A214" s="1">
        <v>42866.970833333333</v>
      </c>
      <c r="B214" s="19">
        <v>42433</v>
      </c>
      <c r="C214" s="21">
        <v>0.68958333333333333</v>
      </c>
      <c r="D214" s="20" t="s">
        <v>3043</v>
      </c>
      <c r="E214" t="s">
        <v>0</v>
      </c>
      <c r="F214" t="s">
        <v>313</v>
      </c>
      <c r="G214" t="s">
        <v>2691</v>
      </c>
      <c r="H214">
        <v>4</v>
      </c>
      <c r="I214">
        <f t="shared" si="5"/>
        <v>5</v>
      </c>
    </row>
    <row r="215" spans="1:9">
      <c r="A215" s="1">
        <v>42866.881944444445</v>
      </c>
      <c r="B215" s="19">
        <v>42433</v>
      </c>
      <c r="C215" s="21">
        <v>0.58402777777777781</v>
      </c>
      <c r="D215" s="20" t="s">
        <v>3040</v>
      </c>
      <c r="E215" t="s">
        <v>33</v>
      </c>
      <c r="G215" t="s">
        <v>2731</v>
      </c>
      <c r="H215">
        <v>7</v>
      </c>
      <c r="I215">
        <f t="shared" si="5"/>
        <v>9</v>
      </c>
    </row>
    <row r="216" spans="1:9">
      <c r="A216" s="1">
        <v>42866.872916666667</v>
      </c>
      <c r="B216" s="19">
        <v>42433</v>
      </c>
      <c r="C216" s="21">
        <v>0.55833333333333335</v>
      </c>
      <c r="D216" s="20" t="s">
        <v>3039</v>
      </c>
      <c r="E216" t="s">
        <v>0</v>
      </c>
      <c r="F216" t="s">
        <v>1</v>
      </c>
      <c r="G216" t="s">
        <v>2909</v>
      </c>
      <c r="H216">
        <v>38</v>
      </c>
      <c r="I216">
        <f t="shared" si="5"/>
        <v>48</v>
      </c>
    </row>
    <row r="217" spans="1:9">
      <c r="A217" s="1">
        <v>42866.783333333333</v>
      </c>
      <c r="B217" s="19">
        <v>42433</v>
      </c>
      <c r="C217" s="21">
        <v>0.54236111111111107</v>
      </c>
      <c r="D217" s="20" t="s">
        <v>3039</v>
      </c>
      <c r="E217" t="s">
        <v>0</v>
      </c>
      <c r="F217" t="s">
        <v>1</v>
      </c>
      <c r="G217" t="s">
        <v>2910</v>
      </c>
      <c r="H217">
        <v>25</v>
      </c>
      <c r="I217">
        <f t="shared" si="5"/>
        <v>31</v>
      </c>
    </row>
    <row r="218" spans="1:9">
      <c r="A218" s="1">
        <v>42866.394444444442</v>
      </c>
      <c r="B218" s="19">
        <v>42433</v>
      </c>
      <c r="C218" s="21">
        <v>0.33402777777777776</v>
      </c>
      <c r="D218" s="20" t="s">
        <v>3034</v>
      </c>
      <c r="E218" t="s">
        <v>0</v>
      </c>
      <c r="F218" t="s">
        <v>75</v>
      </c>
      <c r="H218">
        <v>10</v>
      </c>
      <c r="I218">
        <f t="shared" si="5"/>
        <v>13</v>
      </c>
    </row>
    <row r="219" spans="1:9">
      <c r="A219" s="1">
        <v>42866.913888888892</v>
      </c>
      <c r="B219" s="19">
        <v>42433</v>
      </c>
      <c r="C219" s="21">
        <v>0.22083333333333333</v>
      </c>
      <c r="D219" s="20" t="s">
        <v>3055</v>
      </c>
      <c r="E219" t="s">
        <v>0</v>
      </c>
      <c r="F219" t="s">
        <v>313</v>
      </c>
      <c r="G219" t="s">
        <v>2913</v>
      </c>
      <c r="H219">
        <v>4</v>
      </c>
      <c r="I219">
        <f t="shared" si="5"/>
        <v>5</v>
      </c>
    </row>
    <row r="220" spans="1:9">
      <c r="A220" s="1">
        <v>42866.913194444445</v>
      </c>
      <c r="B220" s="19">
        <v>42433</v>
      </c>
      <c r="C220" s="21">
        <v>0.12986111111111112</v>
      </c>
      <c r="D220" s="20" t="s">
        <v>3053</v>
      </c>
      <c r="E220" t="s">
        <v>0</v>
      </c>
      <c r="F220" t="s">
        <v>313</v>
      </c>
      <c r="G220" t="s">
        <v>2672</v>
      </c>
      <c r="H220">
        <v>2</v>
      </c>
      <c r="I220">
        <f t="shared" si="5"/>
        <v>3</v>
      </c>
    </row>
    <row r="221" spans="1:9">
      <c r="A221" s="1">
        <v>42866.912499999999</v>
      </c>
      <c r="B221" s="19">
        <v>42433</v>
      </c>
      <c r="C221" s="21">
        <v>4.0972222222222222E-2</v>
      </c>
      <c r="D221" s="20" t="s">
        <v>3050</v>
      </c>
      <c r="E221" t="s">
        <v>0</v>
      </c>
      <c r="F221" t="s">
        <v>75</v>
      </c>
      <c r="G221" t="s">
        <v>2914</v>
      </c>
      <c r="H221">
        <v>7</v>
      </c>
      <c r="I221">
        <f t="shared" si="5"/>
        <v>9</v>
      </c>
    </row>
    <row r="222" spans="1:9">
      <c r="A222" s="1">
        <v>42866.904166666667</v>
      </c>
      <c r="B222" s="19">
        <v>42433</v>
      </c>
      <c r="C222" s="21">
        <v>2.361111111111111E-2</v>
      </c>
      <c r="D222" s="20" t="s">
        <v>3050</v>
      </c>
      <c r="E222" t="s">
        <v>0</v>
      </c>
      <c r="F222" t="s">
        <v>313</v>
      </c>
      <c r="G222" t="s">
        <v>2682</v>
      </c>
      <c r="H222">
        <v>4</v>
      </c>
      <c r="I222">
        <f t="shared" si="5"/>
        <v>5</v>
      </c>
    </row>
    <row r="223" spans="1:9">
      <c r="A223" s="1">
        <v>42866.895138888889</v>
      </c>
      <c r="B223" s="19">
        <v>42433</v>
      </c>
      <c r="C223" s="21">
        <v>0.79513888888888884</v>
      </c>
      <c r="D223" s="20" t="s">
        <v>3046</v>
      </c>
      <c r="E223" t="s">
        <v>6</v>
      </c>
      <c r="F223" t="s">
        <v>46</v>
      </c>
      <c r="G223" t="s">
        <v>2907</v>
      </c>
      <c r="H223">
        <v>0</v>
      </c>
      <c r="I223">
        <f t="shared" si="5"/>
        <v>0</v>
      </c>
    </row>
    <row r="224" spans="1:9">
      <c r="A224" s="1">
        <v>42866.852777777778</v>
      </c>
      <c r="B224" s="19">
        <v>42433</v>
      </c>
      <c r="C224" s="21">
        <v>0.78680555555555554</v>
      </c>
      <c r="D224" s="20" t="s">
        <v>3045</v>
      </c>
      <c r="E224" t="s">
        <v>6</v>
      </c>
      <c r="F224" t="s">
        <v>46</v>
      </c>
      <c r="G224" t="s">
        <v>346</v>
      </c>
      <c r="H224">
        <v>3</v>
      </c>
      <c r="I224">
        <f t="shared" si="5"/>
        <v>4</v>
      </c>
    </row>
    <row r="225" spans="1:9">
      <c r="A225" s="1">
        <v>42866.85</v>
      </c>
      <c r="B225" s="19">
        <v>42433</v>
      </c>
      <c r="C225" s="21">
        <v>0.7</v>
      </c>
      <c r="D225" s="20" t="s">
        <v>3043</v>
      </c>
      <c r="E225" t="s">
        <v>6</v>
      </c>
      <c r="F225" t="s">
        <v>12</v>
      </c>
      <c r="G225" t="s">
        <v>2908</v>
      </c>
      <c r="H225">
        <v>50</v>
      </c>
      <c r="I225">
        <f t="shared" si="5"/>
        <v>62</v>
      </c>
    </row>
    <row r="226" spans="1:9">
      <c r="A226" s="1">
        <v>42866.76666666667</v>
      </c>
      <c r="B226" s="19">
        <v>42433</v>
      </c>
      <c r="C226" s="21">
        <v>0.51180555555555551</v>
      </c>
      <c r="D226" s="20" t="s">
        <v>3038</v>
      </c>
      <c r="E226" t="s">
        <v>6</v>
      </c>
      <c r="F226" t="s">
        <v>21</v>
      </c>
      <c r="G226" t="s">
        <v>2911</v>
      </c>
      <c r="H226">
        <v>8</v>
      </c>
      <c r="I226">
        <f t="shared" si="5"/>
        <v>10</v>
      </c>
    </row>
    <row r="227" spans="1:9">
      <c r="A227" s="1">
        <v>42866.761111111111</v>
      </c>
      <c r="B227" s="19">
        <v>42433</v>
      </c>
      <c r="C227" s="21">
        <v>0.42986111111111114</v>
      </c>
      <c r="D227" s="20" t="s">
        <v>3036</v>
      </c>
      <c r="E227" t="s">
        <v>6</v>
      </c>
      <c r="F227" t="s">
        <v>61</v>
      </c>
      <c r="G227" t="s">
        <v>274</v>
      </c>
      <c r="H227">
        <v>50</v>
      </c>
      <c r="I227">
        <f t="shared" si="5"/>
        <v>62</v>
      </c>
    </row>
    <row r="228" spans="1:9">
      <c r="A228" s="1">
        <v>42866.675694444442</v>
      </c>
      <c r="B228" s="19">
        <v>42433</v>
      </c>
      <c r="C228" s="21">
        <v>0.42916666666666664</v>
      </c>
      <c r="D228" s="20" t="s">
        <v>3036</v>
      </c>
      <c r="E228" t="s">
        <v>6</v>
      </c>
      <c r="F228" t="s">
        <v>46</v>
      </c>
      <c r="G228" t="s">
        <v>2912</v>
      </c>
      <c r="H228">
        <v>75</v>
      </c>
      <c r="I228">
        <f t="shared" si="5"/>
        <v>93</v>
      </c>
    </row>
    <row r="229" spans="1:9">
      <c r="A229" s="1">
        <v>42866.586111111108</v>
      </c>
      <c r="B229" s="19">
        <v>42433</v>
      </c>
      <c r="C229" s="21">
        <v>0.23333333333333334</v>
      </c>
      <c r="D229" s="20" t="s">
        <v>3055</v>
      </c>
      <c r="E229" t="s">
        <v>2</v>
      </c>
      <c r="F229" t="s">
        <v>3</v>
      </c>
      <c r="G229" t="s">
        <v>202</v>
      </c>
      <c r="H229">
        <v>13</v>
      </c>
      <c r="I229">
        <f t="shared" si="5"/>
        <v>17</v>
      </c>
    </row>
    <row r="230" spans="1:9">
      <c r="A230" s="1">
        <v>42866.453472222223</v>
      </c>
      <c r="B230" s="19">
        <v>42433</v>
      </c>
      <c r="C230" s="21">
        <v>0.1875</v>
      </c>
      <c r="D230" s="20" t="s">
        <v>3054</v>
      </c>
      <c r="E230" t="s">
        <v>6</v>
      </c>
      <c r="F230" t="s">
        <v>21</v>
      </c>
      <c r="G230" t="s">
        <v>2904</v>
      </c>
      <c r="H230">
        <v>7</v>
      </c>
      <c r="I230">
        <f t="shared" si="5"/>
        <v>9</v>
      </c>
    </row>
    <row r="231" spans="1:9">
      <c r="A231" s="1">
        <v>42866.45</v>
      </c>
      <c r="B231" s="19">
        <v>42433</v>
      </c>
      <c r="C231" s="21">
        <v>0</v>
      </c>
      <c r="D231" s="20" t="s">
        <v>3050</v>
      </c>
      <c r="E231" t="s">
        <v>6</v>
      </c>
      <c r="F231" t="s">
        <v>76</v>
      </c>
      <c r="H231">
        <v>7</v>
      </c>
      <c r="I231">
        <f t="shared" si="5"/>
        <v>9</v>
      </c>
    </row>
    <row r="232" spans="1:9">
      <c r="A232" s="1">
        <v>42866.253472222219</v>
      </c>
      <c r="B232" s="19">
        <v>42434</v>
      </c>
      <c r="C232" s="21">
        <v>0.23402777777777778</v>
      </c>
      <c r="D232" s="20" t="s">
        <v>3055</v>
      </c>
      <c r="E232" t="s">
        <v>0</v>
      </c>
      <c r="F232" t="s">
        <v>313</v>
      </c>
      <c r="G232" t="s">
        <v>2664</v>
      </c>
      <c r="H232">
        <v>7</v>
      </c>
      <c r="I232">
        <f t="shared" si="5"/>
        <v>9</v>
      </c>
    </row>
    <row r="233" spans="1:9">
      <c r="A233" s="1">
        <v>42865.884027777778</v>
      </c>
      <c r="B233" s="19">
        <v>42434</v>
      </c>
      <c r="C233" s="21">
        <v>0.23125000000000001</v>
      </c>
      <c r="D233" s="20" t="s">
        <v>3055</v>
      </c>
      <c r="E233" t="s">
        <v>33</v>
      </c>
      <c r="F233" t="s">
        <v>155</v>
      </c>
      <c r="G233" t="s">
        <v>2901</v>
      </c>
      <c r="H233">
        <v>7</v>
      </c>
      <c r="I233">
        <f t="shared" si="5"/>
        <v>9</v>
      </c>
    </row>
    <row r="234" spans="1:9">
      <c r="A234" s="1">
        <v>42865.616666666669</v>
      </c>
      <c r="B234" s="19">
        <v>42434</v>
      </c>
      <c r="C234" s="21">
        <v>0.16805555555555557</v>
      </c>
      <c r="D234" s="20" t="s">
        <v>3054</v>
      </c>
      <c r="E234" t="s">
        <v>0</v>
      </c>
      <c r="F234" t="s">
        <v>313</v>
      </c>
      <c r="G234" t="s">
        <v>2672</v>
      </c>
      <c r="H234">
        <v>2</v>
      </c>
      <c r="I234">
        <f t="shared" si="5"/>
        <v>3</v>
      </c>
    </row>
    <row r="235" spans="1:9">
      <c r="A235" s="1">
        <v>42865.559027777781</v>
      </c>
      <c r="B235" s="19">
        <v>42434</v>
      </c>
      <c r="C235" s="21">
        <v>0.13819444444444445</v>
      </c>
      <c r="D235" s="20" t="s">
        <v>3053</v>
      </c>
      <c r="E235" t="s">
        <v>0</v>
      </c>
      <c r="F235" t="s">
        <v>313</v>
      </c>
      <c r="G235" t="s">
        <v>2672</v>
      </c>
      <c r="H235">
        <v>2</v>
      </c>
      <c r="I235">
        <f t="shared" si="5"/>
        <v>3</v>
      </c>
    </row>
    <row r="236" spans="1:9">
      <c r="A236" s="1">
        <v>42865.410416666666</v>
      </c>
      <c r="B236" s="19">
        <v>42434</v>
      </c>
      <c r="C236" s="21">
        <v>0.10625</v>
      </c>
      <c r="D236" s="20" t="s">
        <v>3052</v>
      </c>
      <c r="E236" t="s">
        <v>0</v>
      </c>
      <c r="F236" t="s">
        <v>313</v>
      </c>
      <c r="G236" t="s">
        <v>2672</v>
      </c>
      <c r="H236">
        <v>2</v>
      </c>
      <c r="I236">
        <f t="shared" si="5"/>
        <v>3</v>
      </c>
    </row>
    <row r="237" spans="1:9">
      <c r="A237" s="1">
        <v>42865.409722222219</v>
      </c>
      <c r="B237" s="19">
        <v>42434</v>
      </c>
      <c r="C237" s="21">
        <v>5.9722222222222225E-2</v>
      </c>
      <c r="D237" s="20" t="s">
        <v>3051</v>
      </c>
      <c r="E237" t="s">
        <v>0</v>
      </c>
      <c r="F237" t="s">
        <v>313</v>
      </c>
      <c r="G237" t="s">
        <v>2682</v>
      </c>
      <c r="H237">
        <v>4</v>
      </c>
      <c r="I237">
        <f t="shared" si="5"/>
        <v>5</v>
      </c>
    </row>
    <row r="238" spans="1:9">
      <c r="A238" s="1">
        <v>42865.383333333331</v>
      </c>
      <c r="B238" s="19">
        <v>42434</v>
      </c>
      <c r="C238" s="21">
        <v>5.5555555555555558E-3</v>
      </c>
      <c r="D238" s="20" t="s">
        <v>3050</v>
      </c>
      <c r="E238" t="s">
        <v>0</v>
      </c>
      <c r="F238" t="s">
        <v>313</v>
      </c>
      <c r="G238" t="s">
        <v>2672</v>
      </c>
      <c r="H238">
        <v>3</v>
      </c>
      <c r="I238">
        <f t="shared" si="5"/>
        <v>4</v>
      </c>
    </row>
    <row r="239" spans="1:9">
      <c r="A239" s="1">
        <v>42865.37777777778</v>
      </c>
      <c r="B239" s="19">
        <v>42434</v>
      </c>
      <c r="C239" s="21">
        <v>0.21736111111111112</v>
      </c>
      <c r="D239" s="20" t="s">
        <v>3055</v>
      </c>
      <c r="E239" t="s">
        <v>6</v>
      </c>
      <c r="F239" t="s">
        <v>12</v>
      </c>
      <c r="G239" t="s">
        <v>2902</v>
      </c>
      <c r="H239">
        <v>4</v>
      </c>
      <c r="I239">
        <f t="shared" si="5"/>
        <v>5</v>
      </c>
    </row>
    <row r="240" spans="1:9">
      <c r="A240" s="1">
        <v>42865.916666666664</v>
      </c>
      <c r="B240" s="19">
        <v>42434</v>
      </c>
      <c r="C240" s="21">
        <v>0.17291666666666666</v>
      </c>
      <c r="D240" s="20" t="s">
        <v>3054</v>
      </c>
      <c r="E240" t="s">
        <v>6</v>
      </c>
      <c r="F240" t="s">
        <v>46</v>
      </c>
      <c r="G240" t="s">
        <v>2903</v>
      </c>
      <c r="H240">
        <v>7</v>
      </c>
      <c r="I240">
        <f t="shared" si="5"/>
        <v>9</v>
      </c>
    </row>
    <row r="241" spans="1:9">
      <c r="A241" s="1">
        <v>42865.916666666664</v>
      </c>
      <c r="B241" s="19">
        <v>42434</v>
      </c>
      <c r="C241" s="21">
        <v>0.14027777777777778</v>
      </c>
      <c r="D241" s="20" t="s">
        <v>3053</v>
      </c>
      <c r="E241" t="s">
        <v>6</v>
      </c>
      <c r="F241" t="s">
        <v>15</v>
      </c>
      <c r="G241" t="s">
        <v>2904</v>
      </c>
      <c r="H241">
        <v>7</v>
      </c>
      <c r="I241">
        <f t="shared" si="5"/>
        <v>9</v>
      </c>
    </row>
    <row r="242" spans="1:9">
      <c r="A242" s="1">
        <v>42865.901388888888</v>
      </c>
      <c r="B242" s="19">
        <v>42434</v>
      </c>
      <c r="C242" s="21">
        <v>0.12638888888888888</v>
      </c>
      <c r="D242" s="20" t="s">
        <v>3053</v>
      </c>
      <c r="E242" t="s">
        <v>6</v>
      </c>
      <c r="F242" t="s">
        <v>21</v>
      </c>
      <c r="G242" t="s">
        <v>2904</v>
      </c>
      <c r="H242">
        <v>7</v>
      </c>
      <c r="I242">
        <f t="shared" si="5"/>
        <v>9</v>
      </c>
    </row>
    <row r="243" spans="1:9">
      <c r="A243" s="1">
        <v>42865.756944444445</v>
      </c>
      <c r="B243" s="19">
        <v>42434</v>
      </c>
      <c r="C243" s="21">
        <v>0.11666666666666667</v>
      </c>
      <c r="D243" s="20" t="s">
        <v>3052</v>
      </c>
      <c r="E243" t="s">
        <v>6</v>
      </c>
      <c r="F243" t="s">
        <v>46</v>
      </c>
      <c r="G243" t="s">
        <v>2903</v>
      </c>
      <c r="H243">
        <v>3</v>
      </c>
      <c r="I243">
        <f t="shared" si="5"/>
        <v>4</v>
      </c>
    </row>
    <row r="244" spans="1:9">
      <c r="A244" s="1">
        <v>42865.377083333333</v>
      </c>
      <c r="B244" s="19">
        <v>42434</v>
      </c>
      <c r="C244" s="21">
        <v>8.3333333333333332E-3</v>
      </c>
      <c r="D244" s="20" t="s">
        <v>3050</v>
      </c>
      <c r="E244" t="s">
        <v>6</v>
      </c>
      <c r="F244" t="s">
        <v>46</v>
      </c>
      <c r="G244" t="s">
        <v>2905</v>
      </c>
      <c r="H244">
        <v>3</v>
      </c>
      <c r="I244">
        <f t="shared" si="5"/>
        <v>4</v>
      </c>
    </row>
    <row r="245" spans="1:9">
      <c r="A245" s="1">
        <v>42864.895138888889</v>
      </c>
      <c r="B245" s="19">
        <v>42436</v>
      </c>
      <c r="C245" s="21">
        <v>0.80763888888888891</v>
      </c>
      <c r="D245" s="20" t="s">
        <v>3046</v>
      </c>
      <c r="E245" t="s">
        <v>0</v>
      </c>
      <c r="G245" t="s">
        <v>2887</v>
      </c>
      <c r="H245">
        <v>19</v>
      </c>
      <c r="I245">
        <f t="shared" si="5"/>
        <v>24</v>
      </c>
    </row>
    <row r="246" spans="1:9">
      <c r="A246" s="1">
        <v>42864.20208333333</v>
      </c>
      <c r="B246" s="19">
        <v>42436</v>
      </c>
      <c r="C246" s="21">
        <v>0.70902777777777781</v>
      </c>
      <c r="D246" s="20" t="s">
        <v>3044</v>
      </c>
      <c r="E246" t="s">
        <v>0</v>
      </c>
      <c r="F246" t="s">
        <v>313</v>
      </c>
      <c r="G246" t="s">
        <v>2682</v>
      </c>
      <c r="H246">
        <v>3</v>
      </c>
      <c r="I246">
        <f t="shared" si="5"/>
        <v>4</v>
      </c>
    </row>
    <row r="247" spans="1:9">
      <c r="A247" s="1">
        <v>42864.188888888886</v>
      </c>
      <c r="B247" s="19">
        <v>42436</v>
      </c>
      <c r="C247" s="21">
        <v>0.66666666666666663</v>
      </c>
      <c r="D247" s="20" t="s">
        <v>3043</v>
      </c>
      <c r="E247" t="s">
        <v>0</v>
      </c>
      <c r="F247" t="s">
        <v>313</v>
      </c>
      <c r="G247" t="s">
        <v>2672</v>
      </c>
      <c r="H247">
        <v>3</v>
      </c>
      <c r="I247">
        <f t="shared" si="5"/>
        <v>4</v>
      </c>
    </row>
    <row r="248" spans="1:9">
      <c r="A248" s="1">
        <v>42864.168749999997</v>
      </c>
      <c r="B248" s="19">
        <v>42436</v>
      </c>
      <c r="C248" s="21">
        <v>0.60902777777777772</v>
      </c>
      <c r="D248" s="20" t="s">
        <v>3040</v>
      </c>
      <c r="E248" t="s">
        <v>0</v>
      </c>
      <c r="F248" t="s">
        <v>313</v>
      </c>
      <c r="G248" t="s">
        <v>2672</v>
      </c>
      <c r="H248">
        <v>2</v>
      </c>
      <c r="I248">
        <f t="shared" si="5"/>
        <v>3</v>
      </c>
    </row>
    <row r="249" spans="1:9">
      <c r="A249" s="1">
        <v>42864.584722222222</v>
      </c>
      <c r="B249" s="19">
        <v>42436</v>
      </c>
      <c r="C249" s="21">
        <v>0.56805555555555554</v>
      </c>
      <c r="D249" s="20" t="s">
        <v>3039</v>
      </c>
      <c r="E249" t="s">
        <v>0</v>
      </c>
      <c r="F249" t="s">
        <v>10</v>
      </c>
      <c r="G249" t="s">
        <v>2890</v>
      </c>
      <c r="H249">
        <v>25</v>
      </c>
      <c r="I249">
        <f t="shared" si="5"/>
        <v>31</v>
      </c>
    </row>
    <row r="250" spans="1:9">
      <c r="A250" s="1">
        <v>42864.421527777777</v>
      </c>
      <c r="B250" s="19">
        <v>42436</v>
      </c>
      <c r="C250" s="21">
        <v>0.56736111111111109</v>
      </c>
      <c r="D250" s="20" t="s">
        <v>3039</v>
      </c>
      <c r="E250" t="s">
        <v>0</v>
      </c>
      <c r="F250" t="s">
        <v>1</v>
      </c>
      <c r="G250" t="s">
        <v>2891</v>
      </c>
      <c r="H250">
        <v>7</v>
      </c>
      <c r="I250">
        <f t="shared" si="5"/>
        <v>9</v>
      </c>
    </row>
    <row r="251" spans="1:9">
      <c r="A251" s="1">
        <v>42864.279861111114</v>
      </c>
      <c r="B251" s="19">
        <v>42436</v>
      </c>
      <c r="C251" s="21">
        <v>0.52083333333333337</v>
      </c>
      <c r="D251" s="20" t="s">
        <v>3038</v>
      </c>
      <c r="E251" t="s">
        <v>0</v>
      </c>
      <c r="F251" t="s">
        <v>313</v>
      </c>
      <c r="G251" t="s">
        <v>2691</v>
      </c>
      <c r="H251">
        <v>3</v>
      </c>
      <c r="I251">
        <f t="shared" si="5"/>
        <v>4</v>
      </c>
    </row>
    <row r="252" spans="1:9">
      <c r="A252" s="1">
        <v>42864.253472222219</v>
      </c>
      <c r="B252" s="19">
        <v>42436</v>
      </c>
      <c r="C252" s="21">
        <v>0.49375000000000002</v>
      </c>
      <c r="D252" s="20" t="s">
        <v>3037</v>
      </c>
      <c r="E252" t="s">
        <v>0</v>
      </c>
      <c r="F252" t="s">
        <v>313</v>
      </c>
      <c r="G252" t="s">
        <v>2688</v>
      </c>
      <c r="H252">
        <v>4</v>
      </c>
      <c r="I252">
        <f t="shared" si="5"/>
        <v>5</v>
      </c>
    </row>
    <row r="253" spans="1:9">
      <c r="A253" s="1">
        <v>42863.805555555555</v>
      </c>
      <c r="B253" s="19">
        <v>42436</v>
      </c>
      <c r="C253" s="21">
        <v>0.48541666666666666</v>
      </c>
      <c r="D253" s="20" t="s">
        <v>3037</v>
      </c>
      <c r="E253" t="s">
        <v>0</v>
      </c>
      <c r="F253" t="s">
        <v>313</v>
      </c>
      <c r="G253" t="s">
        <v>2691</v>
      </c>
      <c r="H253">
        <v>3</v>
      </c>
      <c r="I253">
        <f t="shared" si="5"/>
        <v>4</v>
      </c>
    </row>
    <row r="254" spans="1:9">
      <c r="A254" s="1">
        <v>42863.734722222223</v>
      </c>
      <c r="B254" s="19">
        <v>42436</v>
      </c>
      <c r="C254" s="21">
        <v>0.43541666666666667</v>
      </c>
      <c r="D254" s="20" t="s">
        <v>3036</v>
      </c>
      <c r="E254" t="s">
        <v>0</v>
      </c>
      <c r="G254" t="s">
        <v>2893</v>
      </c>
      <c r="H254">
        <v>13</v>
      </c>
      <c r="I254">
        <f t="shared" si="5"/>
        <v>17</v>
      </c>
    </row>
    <row r="255" spans="1:9">
      <c r="A255" s="1">
        <v>42863.71597222222</v>
      </c>
      <c r="B255" s="19">
        <v>42436</v>
      </c>
      <c r="C255" s="21">
        <v>0.43055555555555558</v>
      </c>
      <c r="D255" s="20" t="s">
        <v>3036</v>
      </c>
      <c r="E255" t="s">
        <v>0</v>
      </c>
      <c r="F255" t="s">
        <v>1</v>
      </c>
      <c r="G255" t="s">
        <v>2894</v>
      </c>
      <c r="H255">
        <v>7</v>
      </c>
      <c r="I255">
        <f t="shared" si="5"/>
        <v>9</v>
      </c>
    </row>
    <row r="256" spans="1:9">
      <c r="A256" s="1">
        <v>42863.672222222223</v>
      </c>
      <c r="B256" s="19">
        <v>42436</v>
      </c>
      <c r="C256" s="21">
        <v>0.39513888888888887</v>
      </c>
      <c r="D256" s="20" t="s">
        <v>3035</v>
      </c>
      <c r="E256" t="s">
        <v>18</v>
      </c>
      <c r="F256" t="s">
        <v>100</v>
      </c>
      <c r="G256" t="s">
        <v>2895</v>
      </c>
      <c r="H256">
        <v>50</v>
      </c>
      <c r="I256">
        <f t="shared" si="5"/>
        <v>62</v>
      </c>
    </row>
    <row r="257" spans="1:9">
      <c r="A257" s="1">
        <v>42863.542361111111</v>
      </c>
      <c r="B257" s="19">
        <v>42436</v>
      </c>
      <c r="C257" s="21">
        <v>0.38611111111111113</v>
      </c>
      <c r="D257" s="20" t="s">
        <v>3035</v>
      </c>
      <c r="E257" t="s">
        <v>0</v>
      </c>
      <c r="F257" t="s">
        <v>313</v>
      </c>
      <c r="G257" t="s">
        <v>2687</v>
      </c>
      <c r="H257">
        <v>3</v>
      </c>
      <c r="I257">
        <f t="shared" si="5"/>
        <v>4</v>
      </c>
    </row>
    <row r="258" spans="1:9">
      <c r="A258" s="1">
        <v>42863.540972222225</v>
      </c>
      <c r="B258" s="19">
        <v>42436</v>
      </c>
      <c r="C258" s="21">
        <v>0.35</v>
      </c>
      <c r="D258" s="20" t="s">
        <v>3034</v>
      </c>
      <c r="E258" t="s">
        <v>0</v>
      </c>
      <c r="F258" t="s">
        <v>313</v>
      </c>
      <c r="G258" t="s">
        <v>2688</v>
      </c>
      <c r="H258">
        <v>4</v>
      </c>
      <c r="I258">
        <f t="shared" si="5"/>
        <v>5</v>
      </c>
    </row>
    <row r="259" spans="1:9">
      <c r="A259" s="1">
        <v>42863.918055555558</v>
      </c>
      <c r="B259" s="19">
        <v>42436</v>
      </c>
      <c r="C259" s="21">
        <v>0.3298611111111111</v>
      </c>
      <c r="D259" s="20" t="s">
        <v>3033</v>
      </c>
      <c r="E259" t="s">
        <v>149</v>
      </c>
      <c r="F259" t="s">
        <v>150</v>
      </c>
      <c r="G259" t="s">
        <v>2897</v>
      </c>
      <c r="H259">
        <v>9</v>
      </c>
      <c r="I259">
        <f t="shared" ref="I259:I322" si="6">ROUNDUP((H259*1.24), 0)</f>
        <v>12</v>
      </c>
    </row>
    <row r="260" spans="1:9">
      <c r="A260" s="1">
        <v>42863.915972222225</v>
      </c>
      <c r="B260" s="19">
        <v>42436</v>
      </c>
      <c r="C260" s="21">
        <v>0.32291666666666669</v>
      </c>
      <c r="D260" s="20" t="s">
        <v>3033</v>
      </c>
      <c r="E260" t="s">
        <v>0</v>
      </c>
      <c r="F260" t="s">
        <v>313</v>
      </c>
      <c r="G260" t="s">
        <v>2898</v>
      </c>
      <c r="H260">
        <v>3</v>
      </c>
      <c r="I260">
        <f t="shared" si="6"/>
        <v>4</v>
      </c>
    </row>
    <row r="261" spans="1:9">
      <c r="A261" s="1">
        <v>42863.847916666666</v>
      </c>
      <c r="B261" s="19">
        <v>42436</v>
      </c>
      <c r="C261" s="21">
        <v>0.25972222222222224</v>
      </c>
      <c r="D261" s="20" t="s">
        <v>3031</v>
      </c>
      <c r="E261" t="s">
        <v>0</v>
      </c>
      <c r="G261" t="s">
        <v>1844</v>
      </c>
      <c r="H261">
        <v>7</v>
      </c>
      <c r="I261">
        <f t="shared" si="6"/>
        <v>9</v>
      </c>
    </row>
    <row r="262" spans="1:9">
      <c r="A262" s="1">
        <v>42863.762499999997</v>
      </c>
      <c r="B262" s="19">
        <v>42436</v>
      </c>
      <c r="C262" s="21">
        <v>0.25277777777777777</v>
      </c>
      <c r="D262" s="20" t="s">
        <v>3031</v>
      </c>
      <c r="E262" t="s">
        <v>33</v>
      </c>
      <c r="G262" t="s">
        <v>2900</v>
      </c>
      <c r="H262">
        <v>5</v>
      </c>
      <c r="I262">
        <f t="shared" si="6"/>
        <v>7</v>
      </c>
    </row>
    <row r="263" spans="1:9">
      <c r="A263" s="1">
        <v>42863.709722222222</v>
      </c>
      <c r="B263" s="19">
        <v>42436</v>
      </c>
      <c r="C263" s="21">
        <v>0.25069444444444444</v>
      </c>
      <c r="D263" s="20" t="s">
        <v>3031</v>
      </c>
      <c r="E263" t="s">
        <v>0</v>
      </c>
      <c r="G263" t="s">
        <v>1905</v>
      </c>
      <c r="H263">
        <v>9</v>
      </c>
      <c r="I263">
        <f t="shared" si="6"/>
        <v>12</v>
      </c>
    </row>
    <row r="264" spans="1:9">
      <c r="A264" s="1">
        <v>42863.591666666667</v>
      </c>
      <c r="B264" s="19">
        <v>42436</v>
      </c>
      <c r="C264" s="21">
        <v>0.83402777777777781</v>
      </c>
      <c r="D264" s="20" t="s">
        <v>3047</v>
      </c>
      <c r="E264" t="s">
        <v>2</v>
      </c>
      <c r="F264" t="s">
        <v>5</v>
      </c>
      <c r="G264" t="s">
        <v>2886</v>
      </c>
      <c r="H264">
        <v>149</v>
      </c>
      <c r="I264">
        <f t="shared" si="6"/>
        <v>185</v>
      </c>
    </row>
    <row r="265" spans="1:9">
      <c r="A265" s="1">
        <v>42863.59097222222</v>
      </c>
      <c r="B265" s="19">
        <v>42436</v>
      </c>
      <c r="C265" s="21">
        <v>0.7944444444444444</v>
      </c>
      <c r="D265" s="20" t="s">
        <v>3046</v>
      </c>
      <c r="E265" t="s">
        <v>6</v>
      </c>
      <c r="F265" t="s">
        <v>26</v>
      </c>
      <c r="G265" t="s">
        <v>2888</v>
      </c>
      <c r="H265">
        <v>75</v>
      </c>
      <c r="I265">
        <f t="shared" si="6"/>
        <v>93</v>
      </c>
    </row>
    <row r="266" spans="1:9">
      <c r="A266" s="1">
        <v>42863.571527777778</v>
      </c>
      <c r="B266" s="19">
        <v>42436</v>
      </c>
      <c r="C266" s="21">
        <v>0.77847222222222223</v>
      </c>
      <c r="D266" s="20" t="s">
        <v>3045</v>
      </c>
      <c r="E266" t="s">
        <v>6</v>
      </c>
      <c r="F266" t="s">
        <v>15</v>
      </c>
      <c r="G266" t="s">
        <v>2870</v>
      </c>
      <c r="H266">
        <v>31</v>
      </c>
      <c r="I266">
        <f t="shared" si="6"/>
        <v>39</v>
      </c>
    </row>
    <row r="267" spans="1:9">
      <c r="A267" s="1">
        <v>42863.545138888891</v>
      </c>
      <c r="B267" s="19">
        <v>42436</v>
      </c>
      <c r="C267" s="21">
        <v>0.7104166666666667</v>
      </c>
      <c r="D267" s="20" t="s">
        <v>3044</v>
      </c>
      <c r="E267" t="s">
        <v>6</v>
      </c>
      <c r="F267" t="s">
        <v>21</v>
      </c>
      <c r="G267" t="s">
        <v>2870</v>
      </c>
      <c r="H267">
        <v>7</v>
      </c>
      <c r="I267">
        <f t="shared" si="6"/>
        <v>9</v>
      </c>
    </row>
    <row r="268" spans="1:9">
      <c r="A268" s="1">
        <v>42863.421527777777</v>
      </c>
      <c r="B268" s="19">
        <v>42436</v>
      </c>
      <c r="C268" s="21">
        <v>0.67083333333333328</v>
      </c>
      <c r="D268" s="20" t="s">
        <v>3043</v>
      </c>
      <c r="E268" t="s">
        <v>2</v>
      </c>
      <c r="F268" t="s">
        <v>56</v>
      </c>
      <c r="G268" t="s">
        <v>2889</v>
      </c>
      <c r="H268">
        <v>25</v>
      </c>
      <c r="I268">
        <f t="shared" si="6"/>
        <v>31</v>
      </c>
    </row>
    <row r="269" spans="1:9">
      <c r="A269" s="1">
        <v>42863.288888888892</v>
      </c>
      <c r="B269" s="19">
        <v>42436</v>
      </c>
      <c r="C269" s="21">
        <v>0.51180555555555551</v>
      </c>
      <c r="D269" s="20" t="s">
        <v>3038</v>
      </c>
      <c r="E269" t="s">
        <v>6</v>
      </c>
      <c r="F269" t="s">
        <v>12</v>
      </c>
      <c r="G269" t="s">
        <v>2892</v>
      </c>
      <c r="H269">
        <v>0</v>
      </c>
      <c r="I269">
        <f t="shared" si="6"/>
        <v>0</v>
      </c>
    </row>
    <row r="270" spans="1:9">
      <c r="A270" s="1">
        <v>42863.248611111114</v>
      </c>
      <c r="B270" s="19">
        <v>42436</v>
      </c>
      <c r="C270" s="21">
        <v>0.34513888888888888</v>
      </c>
      <c r="D270" s="20" t="s">
        <v>3034</v>
      </c>
      <c r="E270" t="s">
        <v>6</v>
      </c>
      <c r="F270" t="s">
        <v>46</v>
      </c>
      <c r="G270" t="s">
        <v>2896</v>
      </c>
      <c r="H270">
        <v>13</v>
      </c>
      <c r="I270">
        <f t="shared" si="6"/>
        <v>17</v>
      </c>
    </row>
    <row r="271" spans="1:9">
      <c r="A271" s="1">
        <v>42861.449305555558</v>
      </c>
      <c r="B271" s="19">
        <v>42436</v>
      </c>
      <c r="C271" s="21">
        <v>0.3034722222222222</v>
      </c>
      <c r="D271" s="20" t="s">
        <v>3033</v>
      </c>
      <c r="E271" t="s">
        <v>6</v>
      </c>
      <c r="F271" t="s">
        <v>46</v>
      </c>
      <c r="G271" t="s">
        <v>2899</v>
      </c>
      <c r="H271">
        <v>0</v>
      </c>
      <c r="I271">
        <f t="shared" si="6"/>
        <v>0</v>
      </c>
    </row>
    <row r="272" spans="1:9">
      <c r="A272" s="1">
        <v>42861.248611111114</v>
      </c>
      <c r="B272" s="19">
        <v>42437</v>
      </c>
      <c r="C272" s="21">
        <v>0.95972222222222225</v>
      </c>
      <c r="D272" s="20" t="s">
        <v>3063</v>
      </c>
      <c r="E272" t="s">
        <v>33</v>
      </c>
      <c r="F272" t="s">
        <v>44</v>
      </c>
      <c r="G272" t="s">
        <v>2881</v>
      </c>
      <c r="H272">
        <v>0</v>
      </c>
      <c r="I272">
        <f t="shared" si="6"/>
        <v>0</v>
      </c>
    </row>
    <row r="273" spans="1:9">
      <c r="A273" s="1">
        <v>42861.247916666667</v>
      </c>
      <c r="B273" s="19">
        <v>42437</v>
      </c>
      <c r="C273" s="21">
        <v>0.91249999999999998</v>
      </c>
      <c r="D273" s="20" t="s">
        <v>3048</v>
      </c>
      <c r="E273" t="s">
        <v>0</v>
      </c>
      <c r="F273" t="s">
        <v>10</v>
      </c>
      <c r="G273" t="s">
        <v>2882</v>
      </c>
      <c r="H273">
        <v>7</v>
      </c>
      <c r="I273">
        <f t="shared" si="6"/>
        <v>9</v>
      </c>
    </row>
    <row r="274" spans="1:9">
      <c r="A274" s="1">
        <v>42861.189583333333</v>
      </c>
      <c r="B274" s="19">
        <v>42437</v>
      </c>
      <c r="C274" s="21">
        <v>0.89861111111111114</v>
      </c>
      <c r="D274" s="20" t="s">
        <v>3048</v>
      </c>
      <c r="E274" t="s">
        <v>0</v>
      </c>
      <c r="F274" t="s">
        <v>313</v>
      </c>
      <c r="G274" t="s">
        <v>2664</v>
      </c>
      <c r="H274">
        <v>4</v>
      </c>
      <c r="I274">
        <f t="shared" si="6"/>
        <v>5</v>
      </c>
    </row>
    <row r="275" spans="1:9">
      <c r="A275" s="1">
        <v>42860.838194444441</v>
      </c>
      <c r="B275" s="19">
        <v>42437</v>
      </c>
      <c r="C275" s="21">
        <v>0.84166666666666667</v>
      </c>
      <c r="D275" s="20" t="s">
        <v>3047</v>
      </c>
      <c r="E275" t="s">
        <v>0</v>
      </c>
      <c r="F275" t="s">
        <v>313</v>
      </c>
      <c r="G275" t="s">
        <v>2682</v>
      </c>
      <c r="H275">
        <v>3</v>
      </c>
      <c r="I275">
        <f t="shared" si="6"/>
        <v>4</v>
      </c>
    </row>
    <row r="276" spans="1:9">
      <c r="A276" s="1">
        <v>42860.725694444445</v>
      </c>
      <c r="B276" s="19">
        <v>42437</v>
      </c>
      <c r="C276" s="21">
        <v>0.73055555555555551</v>
      </c>
      <c r="D276" s="20" t="s">
        <v>3044</v>
      </c>
      <c r="E276" t="s">
        <v>0</v>
      </c>
      <c r="F276" t="s">
        <v>313</v>
      </c>
      <c r="G276" t="s">
        <v>2682</v>
      </c>
      <c r="H276">
        <v>3</v>
      </c>
      <c r="I276">
        <f t="shared" si="6"/>
        <v>4</v>
      </c>
    </row>
    <row r="277" spans="1:9">
      <c r="A277" s="1">
        <v>42860.584027777775</v>
      </c>
      <c r="B277" s="19">
        <v>42437</v>
      </c>
      <c r="C277" s="21">
        <v>0.65694444444444444</v>
      </c>
      <c r="D277" s="20" t="s">
        <v>3042</v>
      </c>
      <c r="E277" t="s">
        <v>0</v>
      </c>
      <c r="F277" t="s">
        <v>313</v>
      </c>
      <c r="G277" t="s">
        <v>2672</v>
      </c>
      <c r="H277">
        <v>2</v>
      </c>
      <c r="I277">
        <f t="shared" si="6"/>
        <v>3</v>
      </c>
    </row>
    <row r="278" spans="1:9">
      <c r="A278" s="1">
        <v>42860.462500000001</v>
      </c>
      <c r="B278" s="19">
        <v>42437</v>
      </c>
      <c r="C278" s="21">
        <v>0.55902777777777779</v>
      </c>
      <c r="D278" s="20" t="s">
        <v>3039</v>
      </c>
      <c r="E278" t="s">
        <v>0</v>
      </c>
      <c r="F278" t="s">
        <v>313</v>
      </c>
      <c r="G278" t="s">
        <v>2688</v>
      </c>
      <c r="H278">
        <v>4</v>
      </c>
      <c r="I278">
        <f t="shared" si="6"/>
        <v>5</v>
      </c>
    </row>
    <row r="279" spans="1:9">
      <c r="A279" s="1">
        <v>42860.459722222222</v>
      </c>
      <c r="B279" s="19">
        <v>42437</v>
      </c>
      <c r="C279" s="21">
        <v>0.51597222222222228</v>
      </c>
      <c r="D279" s="20" t="s">
        <v>3038</v>
      </c>
      <c r="E279" t="s">
        <v>0</v>
      </c>
      <c r="F279" t="s">
        <v>313</v>
      </c>
      <c r="G279" t="s">
        <v>2691</v>
      </c>
      <c r="H279">
        <v>3</v>
      </c>
      <c r="I279">
        <f t="shared" si="6"/>
        <v>4</v>
      </c>
    </row>
    <row r="280" spans="1:9">
      <c r="A280" s="1">
        <v>42860.247916666667</v>
      </c>
      <c r="B280" s="19">
        <v>42437</v>
      </c>
      <c r="C280" s="21">
        <v>0.50624999999999998</v>
      </c>
      <c r="D280" s="20" t="s">
        <v>3038</v>
      </c>
      <c r="E280" t="s">
        <v>0</v>
      </c>
      <c r="F280" t="s">
        <v>313</v>
      </c>
      <c r="G280" t="s">
        <v>2688</v>
      </c>
      <c r="H280">
        <v>4</v>
      </c>
      <c r="I280">
        <f t="shared" si="6"/>
        <v>5</v>
      </c>
    </row>
    <row r="281" spans="1:9">
      <c r="A281" s="1">
        <v>42860.13958333333</v>
      </c>
      <c r="B281" s="19">
        <v>42437</v>
      </c>
      <c r="C281" s="21">
        <v>0.46319444444444446</v>
      </c>
      <c r="D281" s="20" t="s">
        <v>3037</v>
      </c>
      <c r="E281" t="s">
        <v>0</v>
      </c>
      <c r="F281" t="s">
        <v>1</v>
      </c>
      <c r="H281">
        <v>7</v>
      </c>
      <c r="I281">
        <f t="shared" si="6"/>
        <v>9</v>
      </c>
    </row>
    <row r="282" spans="1:9">
      <c r="A282" s="1">
        <v>42860.127083333333</v>
      </c>
      <c r="B282" s="19">
        <v>42437</v>
      </c>
      <c r="C282" s="21">
        <v>0.77777777777777779</v>
      </c>
      <c r="D282" s="20" t="s">
        <v>3045</v>
      </c>
      <c r="E282" t="s">
        <v>6</v>
      </c>
      <c r="F282" t="s">
        <v>26</v>
      </c>
      <c r="G282" t="s">
        <v>2883</v>
      </c>
      <c r="H282">
        <v>38</v>
      </c>
      <c r="I282">
        <f t="shared" si="6"/>
        <v>48</v>
      </c>
    </row>
    <row r="283" spans="1:9">
      <c r="A283" s="1">
        <v>42860.054166666669</v>
      </c>
      <c r="B283" s="19">
        <v>42437</v>
      </c>
      <c r="C283" s="21">
        <v>0.47083333333333333</v>
      </c>
      <c r="D283" s="20" t="s">
        <v>3037</v>
      </c>
      <c r="E283" t="s">
        <v>2</v>
      </c>
      <c r="F283" t="s">
        <v>56</v>
      </c>
      <c r="G283" t="s">
        <v>2884</v>
      </c>
      <c r="H283">
        <v>44</v>
      </c>
      <c r="I283">
        <f t="shared" si="6"/>
        <v>55</v>
      </c>
    </row>
    <row r="284" spans="1:9">
      <c r="A284" s="1">
        <v>42860.012499999997</v>
      </c>
      <c r="B284" s="19">
        <v>42437</v>
      </c>
      <c r="C284" s="21">
        <v>0.45694444444444443</v>
      </c>
      <c r="D284" s="20" t="s">
        <v>3036</v>
      </c>
      <c r="E284" t="s">
        <v>6</v>
      </c>
      <c r="F284" t="s">
        <v>26</v>
      </c>
      <c r="G284" t="s">
        <v>2885</v>
      </c>
      <c r="H284">
        <v>360</v>
      </c>
      <c r="I284">
        <f t="shared" si="6"/>
        <v>447</v>
      </c>
    </row>
    <row r="285" spans="1:9">
      <c r="A285" s="1">
        <v>42860.916666666664</v>
      </c>
      <c r="B285" s="19">
        <v>42438</v>
      </c>
      <c r="C285" s="21">
        <v>0.91111111111111109</v>
      </c>
      <c r="D285" s="20" t="s">
        <v>3048</v>
      </c>
      <c r="E285" t="s">
        <v>0</v>
      </c>
      <c r="F285" t="s">
        <v>313</v>
      </c>
      <c r="G285" t="s">
        <v>2866</v>
      </c>
      <c r="H285">
        <v>7</v>
      </c>
      <c r="I285">
        <f t="shared" si="6"/>
        <v>9</v>
      </c>
    </row>
    <row r="286" spans="1:9">
      <c r="A286" s="1">
        <v>42860.261111111111</v>
      </c>
      <c r="B286" s="19">
        <v>42438</v>
      </c>
      <c r="C286" s="21">
        <v>0.9</v>
      </c>
      <c r="D286" s="20" t="s">
        <v>3048</v>
      </c>
      <c r="E286" t="s">
        <v>0</v>
      </c>
      <c r="F286" t="s">
        <v>10</v>
      </c>
      <c r="G286" t="s">
        <v>2867</v>
      </c>
      <c r="H286">
        <v>25</v>
      </c>
      <c r="I286">
        <f t="shared" si="6"/>
        <v>31</v>
      </c>
    </row>
    <row r="287" spans="1:9">
      <c r="A287" s="1">
        <v>42860.261111111111</v>
      </c>
      <c r="B287" s="19">
        <v>42438</v>
      </c>
      <c r="C287" s="21">
        <v>0.84444444444444444</v>
      </c>
      <c r="D287" s="20" t="s">
        <v>3047</v>
      </c>
      <c r="E287" t="s">
        <v>0</v>
      </c>
      <c r="F287" t="s">
        <v>313</v>
      </c>
      <c r="G287" t="s">
        <v>2672</v>
      </c>
      <c r="H287">
        <v>3</v>
      </c>
      <c r="I287">
        <f t="shared" si="6"/>
        <v>4</v>
      </c>
    </row>
    <row r="288" spans="1:9">
      <c r="A288" s="1">
        <v>42859.875694444447</v>
      </c>
      <c r="B288" s="19">
        <v>42438</v>
      </c>
      <c r="C288" s="21">
        <v>0.80069444444444449</v>
      </c>
      <c r="D288" s="20" t="s">
        <v>3046</v>
      </c>
      <c r="E288" t="s">
        <v>0</v>
      </c>
      <c r="F288" t="s">
        <v>313</v>
      </c>
      <c r="G288" t="s">
        <v>2672</v>
      </c>
      <c r="H288">
        <v>2</v>
      </c>
      <c r="I288">
        <f t="shared" si="6"/>
        <v>3</v>
      </c>
    </row>
    <row r="289" spans="1:9">
      <c r="A289" s="1">
        <v>42859.793749999997</v>
      </c>
      <c r="B289" s="19">
        <v>42438</v>
      </c>
      <c r="C289" s="21">
        <v>0.75</v>
      </c>
      <c r="D289" s="20" t="s">
        <v>3045</v>
      </c>
      <c r="E289" t="s">
        <v>0</v>
      </c>
      <c r="G289" t="s">
        <v>2871</v>
      </c>
      <c r="H289">
        <v>56</v>
      </c>
      <c r="I289">
        <f t="shared" si="6"/>
        <v>70</v>
      </c>
    </row>
    <row r="290" spans="1:9">
      <c r="A290" s="1">
        <v>42859.646527777775</v>
      </c>
      <c r="B290" s="19">
        <v>42438</v>
      </c>
      <c r="C290" s="21">
        <v>0.7270833333333333</v>
      </c>
      <c r="D290" s="20" t="s">
        <v>3044</v>
      </c>
      <c r="E290" t="s">
        <v>0</v>
      </c>
      <c r="F290" t="s">
        <v>313</v>
      </c>
      <c r="G290" t="s">
        <v>2872</v>
      </c>
      <c r="H290">
        <v>3</v>
      </c>
      <c r="I290">
        <f t="shared" si="6"/>
        <v>4</v>
      </c>
    </row>
    <row r="291" spans="1:9">
      <c r="A291" s="1">
        <v>42859.627083333333</v>
      </c>
      <c r="B291" s="19">
        <v>42438</v>
      </c>
      <c r="C291" s="21">
        <v>0.7104166666666667</v>
      </c>
      <c r="D291" s="20" t="s">
        <v>3044</v>
      </c>
      <c r="E291" t="s">
        <v>0</v>
      </c>
      <c r="G291" t="s">
        <v>2873</v>
      </c>
      <c r="H291">
        <v>50</v>
      </c>
      <c r="I291">
        <f t="shared" si="6"/>
        <v>62</v>
      </c>
    </row>
    <row r="292" spans="1:9">
      <c r="A292" s="1">
        <v>42859.917361111111</v>
      </c>
      <c r="B292" s="19">
        <v>42438</v>
      </c>
      <c r="C292" s="21">
        <v>0.69097222222222221</v>
      </c>
      <c r="D292" s="20" t="s">
        <v>3043</v>
      </c>
      <c r="E292" t="s">
        <v>0</v>
      </c>
      <c r="F292" t="s">
        <v>313</v>
      </c>
      <c r="G292" t="s">
        <v>2672</v>
      </c>
      <c r="H292">
        <v>2</v>
      </c>
      <c r="I292">
        <f t="shared" si="6"/>
        <v>3</v>
      </c>
    </row>
    <row r="293" spans="1:9">
      <c r="A293" s="1">
        <v>42859.586111111108</v>
      </c>
      <c r="B293" s="19">
        <v>42438</v>
      </c>
      <c r="C293" s="21">
        <v>0.64166666666666672</v>
      </c>
      <c r="D293" s="20" t="s">
        <v>3042</v>
      </c>
      <c r="E293" t="s">
        <v>0</v>
      </c>
      <c r="F293" t="s">
        <v>313</v>
      </c>
      <c r="G293" t="s">
        <v>2672</v>
      </c>
      <c r="H293">
        <v>3</v>
      </c>
      <c r="I293">
        <f t="shared" si="6"/>
        <v>4</v>
      </c>
    </row>
    <row r="294" spans="1:9">
      <c r="A294" s="1">
        <v>42859.232638888891</v>
      </c>
      <c r="B294" s="19">
        <v>42438</v>
      </c>
      <c r="C294" s="21">
        <v>0.62361111111111112</v>
      </c>
      <c r="D294" s="20" t="s">
        <v>3040</v>
      </c>
      <c r="E294" t="s">
        <v>0</v>
      </c>
      <c r="G294" t="s">
        <v>2876</v>
      </c>
      <c r="H294">
        <v>2</v>
      </c>
      <c r="I294">
        <f t="shared" si="6"/>
        <v>3</v>
      </c>
    </row>
    <row r="295" spans="1:9">
      <c r="A295" s="1">
        <v>42859.090277777781</v>
      </c>
      <c r="B295" s="19">
        <v>42438</v>
      </c>
      <c r="C295" s="21">
        <v>0.34722222222222221</v>
      </c>
      <c r="D295" s="20" t="s">
        <v>3034</v>
      </c>
      <c r="E295" t="s">
        <v>0</v>
      </c>
      <c r="F295" t="s">
        <v>313</v>
      </c>
      <c r="G295" t="s">
        <v>2687</v>
      </c>
      <c r="H295">
        <v>3</v>
      </c>
      <c r="I295">
        <f t="shared" si="6"/>
        <v>4</v>
      </c>
    </row>
    <row r="296" spans="1:9">
      <c r="A296" s="1">
        <v>42854.1875</v>
      </c>
      <c r="B296" s="19">
        <v>42438</v>
      </c>
      <c r="C296" s="21">
        <v>0.30694444444444446</v>
      </c>
      <c r="D296" s="20" t="s">
        <v>3033</v>
      </c>
      <c r="E296" t="s">
        <v>0</v>
      </c>
      <c r="F296" t="s">
        <v>313</v>
      </c>
      <c r="G296" t="s">
        <v>2688</v>
      </c>
      <c r="H296">
        <v>4</v>
      </c>
      <c r="I296">
        <f t="shared" si="6"/>
        <v>5</v>
      </c>
    </row>
    <row r="297" spans="1:9">
      <c r="A297" s="1">
        <v>42853.960416666669</v>
      </c>
      <c r="B297" s="19">
        <v>42438</v>
      </c>
      <c r="C297" s="21">
        <v>0.28402777777777777</v>
      </c>
      <c r="D297" s="20" t="s">
        <v>3031</v>
      </c>
      <c r="E297" t="s">
        <v>0</v>
      </c>
      <c r="F297" t="s">
        <v>313</v>
      </c>
      <c r="G297" t="s">
        <v>2687</v>
      </c>
      <c r="H297">
        <v>3</v>
      </c>
      <c r="I297">
        <f t="shared" si="6"/>
        <v>4</v>
      </c>
    </row>
    <row r="298" spans="1:9">
      <c r="A298" s="1">
        <v>42853.93472222222</v>
      </c>
      <c r="B298" s="19">
        <v>42438</v>
      </c>
      <c r="C298" s="21">
        <v>0.24097222222222223</v>
      </c>
      <c r="D298" s="20" t="s">
        <v>3055</v>
      </c>
      <c r="E298" t="s">
        <v>0</v>
      </c>
      <c r="F298" t="s">
        <v>313</v>
      </c>
      <c r="H298">
        <v>4</v>
      </c>
      <c r="I298">
        <f t="shared" si="6"/>
        <v>5</v>
      </c>
    </row>
    <row r="299" spans="1:9">
      <c r="A299" s="1">
        <v>42853.809027777781</v>
      </c>
      <c r="B299" s="19">
        <v>42438</v>
      </c>
      <c r="C299" s="21">
        <v>0.24097222222222223</v>
      </c>
      <c r="D299" s="20" t="s">
        <v>3055</v>
      </c>
      <c r="E299" t="s">
        <v>0</v>
      </c>
      <c r="F299" t="s">
        <v>75</v>
      </c>
      <c r="H299">
        <v>7</v>
      </c>
      <c r="I299">
        <f t="shared" si="6"/>
        <v>9</v>
      </c>
    </row>
    <row r="300" spans="1:9">
      <c r="A300" s="1">
        <v>42853.777777777781</v>
      </c>
      <c r="B300" s="19">
        <v>42438</v>
      </c>
      <c r="C300" s="21">
        <v>0.89027777777777772</v>
      </c>
      <c r="D300" s="20" t="s">
        <v>3048</v>
      </c>
      <c r="E300" t="s">
        <v>6</v>
      </c>
      <c r="F300" t="s">
        <v>15</v>
      </c>
      <c r="G300" t="s">
        <v>2868</v>
      </c>
      <c r="H300">
        <v>13</v>
      </c>
      <c r="I300">
        <f t="shared" si="6"/>
        <v>17</v>
      </c>
    </row>
    <row r="301" spans="1:9">
      <c r="A301" s="1">
        <v>42853.566666666666</v>
      </c>
      <c r="B301" s="19">
        <v>42438</v>
      </c>
      <c r="C301" s="21">
        <v>0.80902777777777779</v>
      </c>
      <c r="D301" s="20" t="s">
        <v>3046</v>
      </c>
      <c r="E301" t="s">
        <v>6</v>
      </c>
      <c r="F301" t="s">
        <v>15</v>
      </c>
      <c r="G301" t="s">
        <v>2869</v>
      </c>
      <c r="H301">
        <v>10</v>
      </c>
      <c r="I301">
        <f t="shared" si="6"/>
        <v>13</v>
      </c>
    </row>
    <row r="302" spans="1:9">
      <c r="A302" s="1">
        <v>42853.561111111114</v>
      </c>
      <c r="B302" s="19">
        <v>42438</v>
      </c>
      <c r="C302" s="21">
        <v>0.76388888888888884</v>
      </c>
      <c r="D302" s="20" t="s">
        <v>3045</v>
      </c>
      <c r="E302" t="s">
        <v>6</v>
      </c>
      <c r="F302" t="s">
        <v>15</v>
      </c>
      <c r="G302" t="s">
        <v>2870</v>
      </c>
      <c r="H302">
        <v>7</v>
      </c>
      <c r="I302">
        <f t="shared" si="6"/>
        <v>9</v>
      </c>
    </row>
    <row r="303" spans="1:9">
      <c r="A303" s="1">
        <v>42853.42083333333</v>
      </c>
      <c r="B303" s="19">
        <v>42438</v>
      </c>
      <c r="C303" s="21">
        <v>0.6958333333333333</v>
      </c>
      <c r="D303" s="20" t="s">
        <v>3043</v>
      </c>
      <c r="E303" t="s">
        <v>2</v>
      </c>
      <c r="F303" t="s">
        <v>5</v>
      </c>
      <c r="G303" t="s">
        <v>2874</v>
      </c>
      <c r="H303">
        <v>2</v>
      </c>
      <c r="I303">
        <f t="shared" si="6"/>
        <v>3</v>
      </c>
    </row>
    <row r="304" spans="1:9">
      <c r="A304" s="1">
        <v>42853.044444444444</v>
      </c>
      <c r="B304" s="19">
        <v>42438</v>
      </c>
      <c r="C304" s="21">
        <v>0.68125000000000002</v>
      </c>
      <c r="D304" s="20" t="s">
        <v>3043</v>
      </c>
      <c r="E304" t="s">
        <v>6</v>
      </c>
      <c r="F304" t="s">
        <v>21</v>
      </c>
      <c r="G304" t="s">
        <v>2875</v>
      </c>
      <c r="H304">
        <v>38</v>
      </c>
      <c r="I304">
        <f t="shared" si="6"/>
        <v>48</v>
      </c>
    </row>
    <row r="305" spans="1:9">
      <c r="A305" s="1">
        <v>42853.044444444444</v>
      </c>
      <c r="B305" s="19">
        <v>42438</v>
      </c>
      <c r="C305" s="21">
        <v>0.6020833333333333</v>
      </c>
      <c r="D305" s="20" t="s">
        <v>3040</v>
      </c>
      <c r="E305" t="s">
        <v>6</v>
      </c>
      <c r="F305" t="s">
        <v>46</v>
      </c>
      <c r="G305" t="s">
        <v>2877</v>
      </c>
      <c r="H305">
        <v>19</v>
      </c>
      <c r="I305">
        <f t="shared" si="6"/>
        <v>24</v>
      </c>
    </row>
    <row r="306" spans="1:9">
      <c r="A306" s="1">
        <v>42853.916666666664</v>
      </c>
      <c r="B306" s="19">
        <v>42438</v>
      </c>
      <c r="C306" s="21">
        <v>0.4236111111111111</v>
      </c>
      <c r="D306" s="20" t="s">
        <v>3036</v>
      </c>
      <c r="E306" t="s">
        <v>6</v>
      </c>
      <c r="F306" t="s">
        <v>89</v>
      </c>
      <c r="G306" t="s">
        <v>2878</v>
      </c>
      <c r="H306">
        <v>3</v>
      </c>
      <c r="I306">
        <f t="shared" si="6"/>
        <v>4</v>
      </c>
    </row>
    <row r="307" spans="1:9">
      <c r="A307" s="1">
        <v>42853.909722222219</v>
      </c>
      <c r="B307" s="19">
        <v>42438</v>
      </c>
      <c r="C307" s="21">
        <v>0.3659722222222222</v>
      </c>
      <c r="D307" s="20" t="s">
        <v>3034</v>
      </c>
      <c r="E307" t="s">
        <v>6</v>
      </c>
      <c r="F307" t="s">
        <v>12</v>
      </c>
      <c r="G307" t="s">
        <v>2879</v>
      </c>
      <c r="H307">
        <v>44</v>
      </c>
      <c r="I307">
        <f t="shared" si="6"/>
        <v>55</v>
      </c>
    </row>
    <row r="308" spans="1:9">
      <c r="A308" s="1">
        <v>42853.791666666664</v>
      </c>
      <c r="B308" s="19">
        <v>42438</v>
      </c>
      <c r="C308" s="21">
        <v>0.34791666666666665</v>
      </c>
      <c r="D308" s="20" t="s">
        <v>3034</v>
      </c>
      <c r="E308" t="s">
        <v>6</v>
      </c>
      <c r="F308" t="s">
        <v>12</v>
      </c>
      <c r="G308" t="s">
        <v>2880</v>
      </c>
      <c r="H308">
        <v>5</v>
      </c>
      <c r="I308">
        <f t="shared" si="6"/>
        <v>7</v>
      </c>
    </row>
    <row r="309" spans="1:9">
      <c r="A309" s="1">
        <v>42853.761805555558</v>
      </c>
      <c r="B309" s="19">
        <v>42439</v>
      </c>
      <c r="C309" s="21">
        <v>0.90763888888888888</v>
      </c>
      <c r="D309" s="20" t="s">
        <v>3048</v>
      </c>
      <c r="E309" t="s">
        <v>0</v>
      </c>
      <c r="F309" t="s">
        <v>10</v>
      </c>
      <c r="G309" t="s">
        <v>448</v>
      </c>
      <c r="H309">
        <v>25</v>
      </c>
      <c r="I309">
        <f t="shared" si="6"/>
        <v>31</v>
      </c>
    </row>
    <row r="310" spans="1:9">
      <c r="A310" s="1">
        <v>42853.583333333336</v>
      </c>
      <c r="B310" s="19">
        <v>42439</v>
      </c>
      <c r="C310" s="21">
        <v>0.89097222222222228</v>
      </c>
      <c r="D310" s="20" t="s">
        <v>3048</v>
      </c>
      <c r="E310" t="s">
        <v>0</v>
      </c>
      <c r="F310" t="s">
        <v>313</v>
      </c>
      <c r="G310" t="s">
        <v>2856</v>
      </c>
      <c r="H310">
        <v>7</v>
      </c>
      <c r="I310">
        <f t="shared" si="6"/>
        <v>9</v>
      </c>
    </row>
    <row r="311" spans="1:9">
      <c r="A311" s="1">
        <v>42853.583333333336</v>
      </c>
      <c r="B311" s="19">
        <v>42439</v>
      </c>
      <c r="C311" s="21">
        <v>0.87777777777777777</v>
      </c>
      <c r="D311" s="20" t="s">
        <v>3048</v>
      </c>
      <c r="E311" t="s">
        <v>33</v>
      </c>
      <c r="G311" t="s">
        <v>2857</v>
      </c>
      <c r="H311">
        <v>13</v>
      </c>
      <c r="I311">
        <f t="shared" si="6"/>
        <v>17</v>
      </c>
    </row>
    <row r="312" spans="1:9">
      <c r="A312" s="1">
        <v>42853.559027777781</v>
      </c>
      <c r="B312" s="19">
        <v>42439</v>
      </c>
      <c r="C312" s="21">
        <v>0.79236111111111107</v>
      </c>
      <c r="D312" s="20" t="s">
        <v>3046</v>
      </c>
      <c r="E312" t="s">
        <v>0</v>
      </c>
      <c r="F312" t="s">
        <v>313</v>
      </c>
      <c r="G312" t="s">
        <v>2672</v>
      </c>
      <c r="H312">
        <v>2</v>
      </c>
      <c r="I312">
        <f t="shared" si="6"/>
        <v>3</v>
      </c>
    </row>
    <row r="313" spans="1:9">
      <c r="A313" s="1">
        <v>42853.421527777777</v>
      </c>
      <c r="B313" s="19">
        <v>42439</v>
      </c>
      <c r="C313" s="21">
        <v>0.69930555555555551</v>
      </c>
      <c r="D313" s="20" t="s">
        <v>3043</v>
      </c>
      <c r="E313" t="s">
        <v>0</v>
      </c>
      <c r="F313" t="s">
        <v>313</v>
      </c>
      <c r="G313" t="s">
        <v>2682</v>
      </c>
      <c r="H313">
        <v>4</v>
      </c>
      <c r="I313">
        <f t="shared" si="6"/>
        <v>5</v>
      </c>
    </row>
    <row r="314" spans="1:9">
      <c r="A314" s="1">
        <v>42853.259722222225</v>
      </c>
      <c r="B314" s="19">
        <v>42439</v>
      </c>
      <c r="C314" s="21">
        <v>0.63124999999999998</v>
      </c>
      <c r="D314" s="20" t="s">
        <v>3042</v>
      </c>
      <c r="E314" t="s">
        <v>0</v>
      </c>
      <c r="F314" t="s">
        <v>313</v>
      </c>
      <c r="G314" t="s">
        <v>2672</v>
      </c>
      <c r="H314">
        <v>2</v>
      </c>
      <c r="I314">
        <f t="shared" si="6"/>
        <v>3</v>
      </c>
    </row>
    <row r="315" spans="1:9">
      <c r="A315" s="1">
        <v>42853.084027777775</v>
      </c>
      <c r="B315" s="19">
        <v>42439</v>
      </c>
      <c r="C315" s="21">
        <v>0.5708333333333333</v>
      </c>
      <c r="D315" s="20" t="s">
        <v>3039</v>
      </c>
      <c r="E315" t="s">
        <v>0</v>
      </c>
      <c r="F315" t="s">
        <v>10</v>
      </c>
      <c r="G315" t="s">
        <v>2864</v>
      </c>
      <c r="H315">
        <v>25</v>
      </c>
      <c r="I315">
        <f t="shared" si="6"/>
        <v>31</v>
      </c>
    </row>
    <row r="316" spans="1:9">
      <c r="A316" s="1">
        <v>42852.220833333333</v>
      </c>
      <c r="B316" s="19">
        <v>42439</v>
      </c>
      <c r="C316" s="21">
        <v>0.55833333333333335</v>
      </c>
      <c r="D316" s="20" t="s">
        <v>3039</v>
      </c>
      <c r="E316" t="s">
        <v>0</v>
      </c>
      <c r="F316" t="s">
        <v>313</v>
      </c>
      <c r="G316" t="s">
        <v>2688</v>
      </c>
      <c r="H316">
        <v>3</v>
      </c>
      <c r="I316">
        <f t="shared" si="6"/>
        <v>4</v>
      </c>
    </row>
    <row r="317" spans="1:9">
      <c r="A317" s="1">
        <v>42852.918055555558</v>
      </c>
      <c r="B317" s="19">
        <v>42439</v>
      </c>
      <c r="C317" s="21">
        <v>0.24583333333333332</v>
      </c>
      <c r="D317" s="20" t="s">
        <v>3055</v>
      </c>
      <c r="H317">
        <v>0</v>
      </c>
      <c r="I317">
        <f t="shared" si="6"/>
        <v>0</v>
      </c>
    </row>
    <row r="318" spans="1:9">
      <c r="A318" s="1">
        <v>42852.75277777778</v>
      </c>
      <c r="B318" s="19">
        <v>42439</v>
      </c>
      <c r="C318" s="21">
        <v>0.19027777777777777</v>
      </c>
      <c r="D318" s="20" t="s">
        <v>3054</v>
      </c>
      <c r="E318" t="s">
        <v>0</v>
      </c>
      <c r="F318" t="s">
        <v>1</v>
      </c>
      <c r="H318">
        <v>13</v>
      </c>
      <c r="I318">
        <f t="shared" si="6"/>
        <v>17</v>
      </c>
    </row>
    <row r="319" spans="1:9">
      <c r="A319" s="1">
        <v>42852.581250000003</v>
      </c>
      <c r="B319" s="19">
        <v>42439</v>
      </c>
      <c r="C319" s="21">
        <v>0.99861111111111112</v>
      </c>
      <c r="D319" s="20" t="s">
        <v>3063</v>
      </c>
      <c r="E319" t="s">
        <v>6</v>
      </c>
      <c r="F319" t="s">
        <v>21</v>
      </c>
      <c r="G319" t="s">
        <v>2854</v>
      </c>
      <c r="H319">
        <v>13</v>
      </c>
      <c r="I319">
        <f t="shared" si="6"/>
        <v>17</v>
      </c>
    </row>
    <row r="320" spans="1:9">
      <c r="A320" s="1">
        <v>42852.580555555556</v>
      </c>
      <c r="B320" s="19">
        <v>42439</v>
      </c>
      <c r="C320" s="21">
        <v>0.99791666666666667</v>
      </c>
      <c r="D320" s="20" t="s">
        <v>3063</v>
      </c>
      <c r="E320" t="s">
        <v>6</v>
      </c>
      <c r="F320" t="s">
        <v>273</v>
      </c>
      <c r="G320" t="s">
        <v>2855</v>
      </c>
      <c r="H320">
        <v>13</v>
      </c>
      <c r="I320">
        <f t="shared" si="6"/>
        <v>17</v>
      </c>
    </row>
    <row r="321" spans="1:9">
      <c r="A321" s="1">
        <v>42852.482638888891</v>
      </c>
      <c r="B321" s="19">
        <v>42439</v>
      </c>
      <c r="C321" s="21">
        <v>0.8354166666666667</v>
      </c>
      <c r="D321" s="20" t="s">
        <v>3047</v>
      </c>
      <c r="E321" t="s">
        <v>2</v>
      </c>
      <c r="F321" t="s">
        <v>56</v>
      </c>
      <c r="G321" t="s">
        <v>2858</v>
      </c>
      <c r="H321">
        <v>75</v>
      </c>
      <c r="I321">
        <f t="shared" si="6"/>
        <v>93</v>
      </c>
    </row>
    <row r="322" spans="1:9">
      <c r="A322" s="1">
        <v>42852.25277777778</v>
      </c>
      <c r="B322" s="19">
        <v>42439</v>
      </c>
      <c r="C322" s="21">
        <v>0.81666666666666665</v>
      </c>
      <c r="D322" s="20" t="s">
        <v>3046</v>
      </c>
      <c r="E322" t="s">
        <v>2</v>
      </c>
      <c r="F322" t="s">
        <v>56</v>
      </c>
      <c r="G322" t="s">
        <v>2859</v>
      </c>
      <c r="H322">
        <v>31</v>
      </c>
      <c r="I322">
        <f t="shared" si="6"/>
        <v>39</v>
      </c>
    </row>
    <row r="323" spans="1:9">
      <c r="A323" s="1">
        <v>42852.162499999999</v>
      </c>
      <c r="B323" s="19">
        <v>42439</v>
      </c>
      <c r="C323" s="21">
        <v>0.79861111111111116</v>
      </c>
      <c r="D323" s="20" t="s">
        <v>3046</v>
      </c>
      <c r="E323" t="s">
        <v>6</v>
      </c>
      <c r="F323" t="s">
        <v>21</v>
      </c>
      <c r="G323" t="s">
        <v>2860</v>
      </c>
      <c r="H323">
        <v>19</v>
      </c>
      <c r="I323">
        <f t="shared" ref="I323:I386" si="7">ROUNDUP((H323*1.24), 0)</f>
        <v>24</v>
      </c>
    </row>
    <row r="324" spans="1:9">
      <c r="A324" s="1">
        <v>42851.547222222223</v>
      </c>
      <c r="B324" s="19">
        <v>42439</v>
      </c>
      <c r="C324" s="21">
        <v>0.7583333333333333</v>
      </c>
      <c r="D324" s="20" t="s">
        <v>3045</v>
      </c>
      <c r="E324" t="s">
        <v>6</v>
      </c>
      <c r="F324" t="s">
        <v>76</v>
      </c>
      <c r="H324">
        <v>19</v>
      </c>
      <c r="I324">
        <f t="shared" si="7"/>
        <v>24</v>
      </c>
    </row>
    <row r="325" spans="1:9">
      <c r="A325" s="1">
        <v>42851.493750000001</v>
      </c>
      <c r="B325" s="19">
        <v>42439</v>
      </c>
      <c r="C325" s="21">
        <v>0.72430555555555554</v>
      </c>
      <c r="D325" s="20" t="s">
        <v>3044</v>
      </c>
      <c r="E325" t="s">
        <v>6</v>
      </c>
      <c r="F325" t="s">
        <v>15</v>
      </c>
      <c r="G325" t="s">
        <v>2860</v>
      </c>
      <c r="H325">
        <v>19</v>
      </c>
      <c r="I325">
        <f t="shared" si="7"/>
        <v>24</v>
      </c>
    </row>
    <row r="326" spans="1:9">
      <c r="A326" s="1">
        <v>42851.918749999997</v>
      </c>
      <c r="B326" s="19">
        <v>42439</v>
      </c>
      <c r="C326" s="21">
        <v>0.70763888888888893</v>
      </c>
      <c r="D326" s="20" t="s">
        <v>3043</v>
      </c>
      <c r="E326" t="s">
        <v>6</v>
      </c>
      <c r="F326" t="s">
        <v>21</v>
      </c>
      <c r="G326" t="s">
        <v>2861</v>
      </c>
      <c r="H326">
        <v>13</v>
      </c>
      <c r="I326">
        <f t="shared" si="7"/>
        <v>17</v>
      </c>
    </row>
    <row r="327" spans="1:9">
      <c r="A327" s="1">
        <v>42851.754166666666</v>
      </c>
      <c r="B327" s="19">
        <v>42439</v>
      </c>
      <c r="C327" s="21">
        <v>0.66111111111111109</v>
      </c>
      <c r="D327" s="20" t="s">
        <v>3042</v>
      </c>
      <c r="E327" t="s">
        <v>6</v>
      </c>
      <c r="F327" t="s">
        <v>21</v>
      </c>
      <c r="G327" t="s">
        <v>2862</v>
      </c>
      <c r="H327">
        <v>19</v>
      </c>
      <c r="I327">
        <f t="shared" si="7"/>
        <v>24</v>
      </c>
    </row>
    <row r="328" spans="1:9">
      <c r="A328" s="1">
        <v>42851.598611111112</v>
      </c>
      <c r="B328" s="19">
        <v>42439</v>
      </c>
      <c r="C328" s="21">
        <v>0.64930555555555558</v>
      </c>
      <c r="D328" s="20" t="s">
        <v>3042</v>
      </c>
      <c r="E328" t="s">
        <v>2</v>
      </c>
      <c r="F328" t="s">
        <v>48</v>
      </c>
      <c r="G328" t="s">
        <v>2863</v>
      </c>
      <c r="H328">
        <v>13</v>
      </c>
      <c r="I328">
        <f t="shared" si="7"/>
        <v>17</v>
      </c>
    </row>
    <row r="329" spans="1:9">
      <c r="A329" s="1">
        <v>42851.583333333336</v>
      </c>
      <c r="B329" s="19">
        <v>42439</v>
      </c>
      <c r="C329" s="21">
        <v>0.28263888888888888</v>
      </c>
      <c r="D329" s="20" t="s">
        <v>3031</v>
      </c>
      <c r="E329" t="s">
        <v>6</v>
      </c>
      <c r="F329" t="s">
        <v>7</v>
      </c>
      <c r="G329" t="s">
        <v>2865</v>
      </c>
      <c r="H329" t="e">
        <v>#VALUE!</v>
      </c>
      <c r="I329" t="e">
        <f t="shared" si="7"/>
        <v>#VALUE!</v>
      </c>
    </row>
    <row r="330" spans="1:9">
      <c r="A330" s="1">
        <v>42851.250694444447</v>
      </c>
      <c r="B330" s="19">
        <v>42439</v>
      </c>
      <c r="C330" s="21">
        <v>0.13680555555555557</v>
      </c>
      <c r="D330" s="20" t="s">
        <v>3053</v>
      </c>
      <c r="E330" t="s">
        <v>6</v>
      </c>
      <c r="F330" t="s">
        <v>26</v>
      </c>
      <c r="G330" t="s">
        <v>120</v>
      </c>
      <c r="H330">
        <v>75</v>
      </c>
      <c r="I330">
        <f t="shared" si="7"/>
        <v>93</v>
      </c>
    </row>
    <row r="331" spans="1:9">
      <c r="A331" s="1">
        <v>42850.929861111108</v>
      </c>
      <c r="B331" s="19">
        <v>42440</v>
      </c>
      <c r="C331" s="21">
        <v>0.8979166666666667</v>
      </c>
      <c r="D331" s="20" t="s">
        <v>3048</v>
      </c>
      <c r="E331" t="s">
        <v>0</v>
      </c>
      <c r="F331" t="s">
        <v>10</v>
      </c>
      <c r="G331" t="s">
        <v>2663</v>
      </c>
      <c r="H331">
        <v>25</v>
      </c>
      <c r="I331">
        <f t="shared" si="7"/>
        <v>31</v>
      </c>
    </row>
    <row r="332" spans="1:9">
      <c r="A332" s="1">
        <v>42850.825694444444</v>
      </c>
      <c r="B332" s="19">
        <v>42440</v>
      </c>
      <c r="C332" s="21">
        <v>0.79166666666666663</v>
      </c>
      <c r="D332" s="20" t="s">
        <v>3046</v>
      </c>
      <c r="E332" t="s">
        <v>149</v>
      </c>
      <c r="G332" t="s">
        <v>2441</v>
      </c>
      <c r="H332">
        <v>75</v>
      </c>
      <c r="I332">
        <f t="shared" si="7"/>
        <v>93</v>
      </c>
    </row>
    <row r="333" spans="1:9">
      <c r="A333" s="1">
        <v>42850.825694444444</v>
      </c>
      <c r="B333" s="19">
        <v>42440</v>
      </c>
      <c r="C333" s="21">
        <v>0.71319444444444446</v>
      </c>
      <c r="D333" s="20" t="s">
        <v>3044</v>
      </c>
      <c r="E333" t="s">
        <v>33</v>
      </c>
      <c r="F333" t="s">
        <v>34</v>
      </c>
      <c r="G333" t="s">
        <v>2837</v>
      </c>
      <c r="H333">
        <v>13</v>
      </c>
      <c r="I333">
        <f t="shared" si="7"/>
        <v>17</v>
      </c>
    </row>
    <row r="334" spans="1:9">
      <c r="A334" s="1">
        <v>42850.813194444447</v>
      </c>
      <c r="B334" s="19">
        <v>42440</v>
      </c>
      <c r="C334" s="21">
        <v>0.60416666666666663</v>
      </c>
      <c r="D334" s="20" t="s">
        <v>3040</v>
      </c>
      <c r="E334" t="s">
        <v>0</v>
      </c>
      <c r="F334" t="s">
        <v>1</v>
      </c>
      <c r="H334">
        <v>19</v>
      </c>
      <c r="I334">
        <f t="shared" si="7"/>
        <v>24</v>
      </c>
    </row>
    <row r="335" spans="1:9">
      <c r="A335" s="1">
        <v>42850.301388888889</v>
      </c>
      <c r="B335" s="19">
        <v>42440</v>
      </c>
      <c r="C335" s="21">
        <v>0.47083333333333333</v>
      </c>
      <c r="D335" s="20" t="s">
        <v>3037</v>
      </c>
      <c r="E335" t="s">
        <v>0</v>
      </c>
      <c r="F335" t="s">
        <v>75</v>
      </c>
      <c r="G335" t="s">
        <v>2846</v>
      </c>
      <c r="H335">
        <v>10</v>
      </c>
      <c r="I335">
        <f t="shared" si="7"/>
        <v>13</v>
      </c>
    </row>
    <row r="336" spans="1:9">
      <c r="A336" s="1">
        <v>42850.246527777781</v>
      </c>
      <c r="B336" s="19">
        <v>42440</v>
      </c>
      <c r="C336" s="21">
        <v>0.36388888888888887</v>
      </c>
      <c r="D336" s="20" t="s">
        <v>3034</v>
      </c>
      <c r="E336" t="s">
        <v>0</v>
      </c>
      <c r="F336" t="s">
        <v>313</v>
      </c>
      <c r="G336" t="s">
        <v>2691</v>
      </c>
      <c r="H336">
        <v>3</v>
      </c>
      <c r="I336">
        <f t="shared" si="7"/>
        <v>4</v>
      </c>
    </row>
    <row r="337" spans="1:9">
      <c r="A337" s="1">
        <v>42850.135416666664</v>
      </c>
      <c r="B337" s="19">
        <v>42440</v>
      </c>
      <c r="C337" s="21">
        <v>0.35694444444444445</v>
      </c>
      <c r="D337" s="20" t="s">
        <v>3034</v>
      </c>
      <c r="E337" t="s">
        <v>33</v>
      </c>
      <c r="F337" t="s">
        <v>44</v>
      </c>
      <c r="G337" t="s">
        <v>2848</v>
      </c>
      <c r="H337" t="e">
        <v>#VALUE!</v>
      </c>
      <c r="I337" t="e">
        <f t="shared" si="7"/>
        <v>#VALUE!</v>
      </c>
    </row>
    <row r="338" spans="1:9">
      <c r="A338" s="1">
        <v>42850.026388888888</v>
      </c>
      <c r="B338" s="19">
        <v>42440</v>
      </c>
      <c r="C338" s="21">
        <v>0.29652777777777778</v>
      </c>
      <c r="D338" s="20" t="s">
        <v>3033</v>
      </c>
      <c r="E338" t="s">
        <v>33</v>
      </c>
      <c r="G338" t="s">
        <v>2852</v>
      </c>
      <c r="H338">
        <v>3</v>
      </c>
      <c r="I338">
        <f t="shared" si="7"/>
        <v>4</v>
      </c>
    </row>
    <row r="339" spans="1:9">
      <c r="A339" s="1">
        <v>42850.021527777775</v>
      </c>
      <c r="B339" s="19">
        <v>42440</v>
      </c>
      <c r="C339" s="21">
        <v>0.92361111111111116</v>
      </c>
      <c r="D339" s="20" t="s">
        <v>3049</v>
      </c>
      <c r="E339" t="s">
        <v>6</v>
      </c>
      <c r="F339" t="s">
        <v>21</v>
      </c>
      <c r="G339" t="s">
        <v>942</v>
      </c>
      <c r="H339">
        <v>75</v>
      </c>
      <c r="I339">
        <f t="shared" si="7"/>
        <v>93</v>
      </c>
    </row>
    <row r="340" spans="1:9">
      <c r="A340" s="1">
        <v>42850.9375</v>
      </c>
      <c r="B340" s="19">
        <v>42440</v>
      </c>
      <c r="C340" s="21">
        <v>0.89375000000000004</v>
      </c>
      <c r="D340" s="20" t="s">
        <v>3048</v>
      </c>
      <c r="E340" t="s">
        <v>6</v>
      </c>
      <c r="F340" t="s">
        <v>21</v>
      </c>
      <c r="G340" t="s">
        <v>942</v>
      </c>
      <c r="H340">
        <v>19</v>
      </c>
      <c r="I340">
        <f t="shared" si="7"/>
        <v>24</v>
      </c>
    </row>
    <row r="341" spans="1:9">
      <c r="A341" s="1">
        <v>42850.92291666667</v>
      </c>
      <c r="B341" s="19">
        <v>42440</v>
      </c>
      <c r="C341" s="21">
        <v>0.87361111111111112</v>
      </c>
      <c r="D341" s="20" t="s">
        <v>3047</v>
      </c>
      <c r="E341" t="s">
        <v>2</v>
      </c>
      <c r="F341" t="s">
        <v>5</v>
      </c>
      <c r="H341">
        <v>75</v>
      </c>
      <c r="I341">
        <f t="shared" si="7"/>
        <v>93</v>
      </c>
    </row>
    <row r="342" spans="1:9">
      <c r="A342" s="1">
        <v>42850.902083333334</v>
      </c>
      <c r="B342" s="19">
        <v>42440</v>
      </c>
      <c r="C342" s="21">
        <v>0.75624999999999998</v>
      </c>
      <c r="D342" s="20" t="s">
        <v>3045</v>
      </c>
      <c r="E342" t="s">
        <v>6</v>
      </c>
      <c r="F342" t="s">
        <v>26</v>
      </c>
      <c r="G342" t="s">
        <v>2835</v>
      </c>
      <c r="H342">
        <v>75</v>
      </c>
      <c r="I342">
        <f t="shared" si="7"/>
        <v>93</v>
      </c>
    </row>
    <row r="343" spans="1:9">
      <c r="A343" s="1">
        <v>42850.788194444445</v>
      </c>
      <c r="B343" s="19">
        <v>42440</v>
      </c>
      <c r="C343" s="21">
        <v>0.71527777777777779</v>
      </c>
      <c r="D343" s="20" t="s">
        <v>3044</v>
      </c>
      <c r="E343" t="s">
        <v>6</v>
      </c>
      <c r="F343" t="s">
        <v>26</v>
      </c>
      <c r="G343" t="s">
        <v>2836</v>
      </c>
      <c r="H343">
        <v>62</v>
      </c>
      <c r="I343">
        <f t="shared" si="7"/>
        <v>77</v>
      </c>
    </row>
    <row r="344" spans="1:9">
      <c r="A344" s="1">
        <v>42850.634722222225</v>
      </c>
      <c r="B344" s="19">
        <v>42440</v>
      </c>
      <c r="C344" s="21">
        <v>0.66666666666666663</v>
      </c>
      <c r="D344" s="20" t="s">
        <v>3043</v>
      </c>
      <c r="E344" t="s">
        <v>2</v>
      </c>
      <c r="F344" t="s">
        <v>48</v>
      </c>
      <c r="G344" t="s">
        <v>2838</v>
      </c>
      <c r="H344">
        <v>56</v>
      </c>
      <c r="I344">
        <f t="shared" si="7"/>
        <v>70</v>
      </c>
    </row>
    <row r="345" spans="1:9">
      <c r="A345" s="1">
        <v>42850.581944444442</v>
      </c>
      <c r="B345" s="19">
        <v>42440</v>
      </c>
      <c r="C345" s="21">
        <v>0.64861111111111114</v>
      </c>
      <c r="D345" s="20" t="s">
        <v>3042</v>
      </c>
      <c r="E345" t="s">
        <v>2</v>
      </c>
      <c r="F345" t="s">
        <v>48</v>
      </c>
      <c r="G345" t="s">
        <v>2839</v>
      </c>
      <c r="H345">
        <v>31</v>
      </c>
      <c r="I345">
        <f t="shared" si="7"/>
        <v>39</v>
      </c>
    </row>
    <row r="346" spans="1:9">
      <c r="A346" s="1">
        <v>42850.572916666664</v>
      </c>
      <c r="B346" s="19">
        <v>42440</v>
      </c>
      <c r="C346" s="21">
        <v>0.64652777777777781</v>
      </c>
      <c r="D346" s="20" t="s">
        <v>3042</v>
      </c>
      <c r="E346" t="s">
        <v>6</v>
      </c>
      <c r="F346" t="s">
        <v>26</v>
      </c>
      <c r="G346" t="s">
        <v>2840</v>
      </c>
      <c r="H346">
        <v>38</v>
      </c>
      <c r="I346">
        <f t="shared" si="7"/>
        <v>48</v>
      </c>
    </row>
    <row r="347" spans="1:9">
      <c r="A347" s="1">
        <v>42850.375</v>
      </c>
      <c r="B347" s="19">
        <v>42440</v>
      </c>
      <c r="C347" s="21">
        <v>0.64236111111111116</v>
      </c>
      <c r="D347" s="20" t="s">
        <v>3042</v>
      </c>
      <c r="E347" t="s">
        <v>6</v>
      </c>
      <c r="F347" t="s">
        <v>21</v>
      </c>
      <c r="G347" t="s">
        <v>942</v>
      </c>
      <c r="H347">
        <v>7</v>
      </c>
      <c r="I347">
        <f t="shared" si="7"/>
        <v>9</v>
      </c>
    </row>
    <row r="348" spans="1:9">
      <c r="A348" s="1">
        <v>42850.353472222225</v>
      </c>
      <c r="B348" s="19">
        <v>42440</v>
      </c>
      <c r="C348" s="21">
        <v>0.62638888888888888</v>
      </c>
      <c r="D348" s="20" t="s">
        <v>3042</v>
      </c>
      <c r="E348" t="s">
        <v>2</v>
      </c>
      <c r="F348" t="s">
        <v>5</v>
      </c>
      <c r="G348" t="s">
        <v>2841</v>
      </c>
      <c r="H348">
        <v>31</v>
      </c>
      <c r="I348">
        <f t="shared" si="7"/>
        <v>39</v>
      </c>
    </row>
    <row r="349" spans="1:9">
      <c r="A349" s="1">
        <v>42849.8</v>
      </c>
      <c r="B349" s="19">
        <v>42440</v>
      </c>
      <c r="C349" s="21">
        <v>0.61805555555555558</v>
      </c>
      <c r="D349" s="20" t="s">
        <v>3040</v>
      </c>
      <c r="E349" t="s">
        <v>6</v>
      </c>
      <c r="F349" t="s">
        <v>26</v>
      </c>
      <c r="G349" t="s">
        <v>2842</v>
      </c>
      <c r="H349">
        <v>13</v>
      </c>
      <c r="I349">
        <f t="shared" si="7"/>
        <v>17</v>
      </c>
    </row>
    <row r="350" spans="1:9">
      <c r="A350" s="1">
        <v>42849.341666666667</v>
      </c>
      <c r="B350" s="19">
        <v>42440</v>
      </c>
      <c r="C350" s="21">
        <v>0.59652777777777777</v>
      </c>
      <c r="D350" s="20" t="s">
        <v>3040</v>
      </c>
      <c r="E350" t="s">
        <v>2</v>
      </c>
      <c r="F350" t="s">
        <v>48</v>
      </c>
      <c r="G350" t="s">
        <v>2843</v>
      </c>
      <c r="H350">
        <v>19</v>
      </c>
      <c r="I350">
        <f t="shared" si="7"/>
        <v>24</v>
      </c>
    </row>
    <row r="351" spans="1:9">
      <c r="A351" s="1">
        <v>42849.336111111108</v>
      </c>
      <c r="B351" s="19">
        <v>42440</v>
      </c>
      <c r="C351" s="21">
        <v>0.58750000000000002</v>
      </c>
      <c r="D351" s="20" t="s">
        <v>3040</v>
      </c>
      <c r="E351" t="s">
        <v>2</v>
      </c>
      <c r="F351" t="s">
        <v>48</v>
      </c>
      <c r="G351" t="s">
        <v>2839</v>
      </c>
      <c r="H351">
        <v>19</v>
      </c>
      <c r="I351">
        <f t="shared" si="7"/>
        <v>24</v>
      </c>
    </row>
    <row r="352" spans="1:9">
      <c r="A352" s="1">
        <v>42849.922222222223</v>
      </c>
      <c r="B352" s="19">
        <v>42440</v>
      </c>
      <c r="C352" s="21">
        <v>0.5229166666666667</v>
      </c>
      <c r="D352" s="20" t="s">
        <v>3038</v>
      </c>
      <c r="E352" t="s">
        <v>2</v>
      </c>
      <c r="F352" t="s">
        <v>56</v>
      </c>
      <c r="G352" t="s">
        <v>2844</v>
      </c>
      <c r="H352">
        <v>0</v>
      </c>
      <c r="I352">
        <f t="shared" si="7"/>
        <v>0</v>
      </c>
    </row>
    <row r="353" spans="1:9">
      <c r="A353" s="1">
        <v>42849.574305555558</v>
      </c>
      <c r="B353" s="19">
        <v>42440</v>
      </c>
      <c r="C353" s="21">
        <v>0.48888888888888887</v>
      </c>
      <c r="D353" s="20" t="s">
        <v>3037</v>
      </c>
      <c r="E353" t="s">
        <v>6</v>
      </c>
      <c r="F353" t="s">
        <v>15</v>
      </c>
      <c r="G353" t="s">
        <v>2845</v>
      </c>
      <c r="H353">
        <v>62</v>
      </c>
      <c r="I353">
        <f t="shared" si="7"/>
        <v>77</v>
      </c>
    </row>
    <row r="354" spans="1:9">
      <c r="A354" s="1">
        <v>42849.421527777777</v>
      </c>
      <c r="B354" s="19">
        <v>42440</v>
      </c>
      <c r="C354" s="21">
        <v>0.41805555555555557</v>
      </c>
      <c r="D354" s="20" t="s">
        <v>3036</v>
      </c>
      <c r="E354" t="s">
        <v>2</v>
      </c>
      <c r="F354" t="s">
        <v>56</v>
      </c>
      <c r="G354" t="s">
        <v>2847</v>
      </c>
      <c r="H354">
        <v>50</v>
      </c>
      <c r="I354">
        <f t="shared" si="7"/>
        <v>62</v>
      </c>
    </row>
    <row r="355" spans="1:9">
      <c r="A355" s="1">
        <v>42849.322916666664</v>
      </c>
      <c r="B355" s="19">
        <v>42440</v>
      </c>
      <c r="C355" s="21">
        <v>0.37777777777777777</v>
      </c>
      <c r="D355" s="20" t="s">
        <v>3035</v>
      </c>
      <c r="E355" t="s">
        <v>6</v>
      </c>
      <c r="F355" t="s">
        <v>273</v>
      </c>
      <c r="G355" t="s">
        <v>453</v>
      </c>
      <c r="H355">
        <v>17</v>
      </c>
      <c r="I355">
        <f t="shared" si="7"/>
        <v>22</v>
      </c>
    </row>
    <row r="356" spans="1:9">
      <c r="A356" s="1">
        <v>42849.288888888892</v>
      </c>
      <c r="B356" s="19">
        <v>42440</v>
      </c>
      <c r="C356" s="21">
        <v>0.33055555555555555</v>
      </c>
      <c r="D356" s="20" t="s">
        <v>3033</v>
      </c>
      <c r="E356" t="s">
        <v>2</v>
      </c>
      <c r="F356" t="s">
        <v>56</v>
      </c>
      <c r="G356" t="s">
        <v>1827</v>
      </c>
      <c r="H356">
        <v>25</v>
      </c>
      <c r="I356">
        <f t="shared" si="7"/>
        <v>31</v>
      </c>
    </row>
    <row r="357" spans="1:9">
      <c r="A357" s="1">
        <v>42849.272222222222</v>
      </c>
      <c r="B357" s="19">
        <v>42440</v>
      </c>
      <c r="C357" s="21">
        <v>0.31736111111111109</v>
      </c>
      <c r="D357" s="20" t="s">
        <v>3033</v>
      </c>
      <c r="E357" t="s">
        <v>2</v>
      </c>
      <c r="F357" t="s">
        <v>48</v>
      </c>
      <c r="G357" t="s">
        <v>2849</v>
      </c>
      <c r="H357">
        <v>17</v>
      </c>
      <c r="I357">
        <f t="shared" si="7"/>
        <v>22</v>
      </c>
    </row>
    <row r="358" spans="1:9">
      <c r="A358" s="1">
        <v>42847.111805555556</v>
      </c>
      <c r="B358" s="19">
        <v>42440</v>
      </c>
      <c r="C358" s="21">
        <v>0.3</v>
      </c>
      <c r="D358" s="20" t="s">
        <v>3033</v>
      </c>
      <c r="E358" t="s">
        <v>6</v>
      </c>
      <c r="F358" t="s">
        <v>7</v>
      </c>
      <c r="G358" t="s">
        <v>2850</v>
      </c>
      <c r="H358">
        <v>13</v>
      </c>
      <c r="I358">
        <f t="shared" si="7"/>
        <v>17</v>
      </c>
    </row>
    <row r="359" spans="1:9">
      <c r="A359" s="1">
        <v>42847.063194444447</v>
      </c>
      <c r="B359" s="19">
        <v>42440</v>
      </c>
      <c r="C359" s="21">
        <v>0.29722222222222222</v>
      </c>
      <c r="D359" s="20" t="s">
        <v>3033</v>
      </c>
      <c r="E359" t="s">
        <v>6</v>
      </c>
      <c r="F359" t="s">
        <v>21</v>
      </c>
      <c r="G359" t="s">
        <v>2851</v>
      </c>
      <c r="H359">
        <v>38</v>
      </c>
      <c r="I359">
        <f t="shared" si="7"/>
        <v>48</v>
      </c>
    </row>
    <row r="360" spans="1:9">
      <c r="A360" s="1">
        <v>42846.935416666667</v>
      </c>
      <c r="B360" s="19">
        <v>42440</v>
      </c>
      <c r="C360" s="21">
        <v>0.29652777777777778</v>
      </c>
      <c r="D360" s="20" t="s">
        <v>3033</v>
      </c>
      <c r="E360" t="s">
        <v>6</v>
      </c>
      <c r="F360" t="s">
        <v>21</v>
      </c>
      <c r="G360" t="s">
        <v>196</v>
      </c>
      <c r="H360" t="e">
        <v>#VALUE!</v>
      </c>
      <c r="I360" t="e">
        <f t="shared" si="7"/>
        <v>#VALUE!</v>
      </c>
    </row>
    <row r="361" spans="1:9">
      <c r="A361" s="1">
        <v>42846.912499999999</v>
      </c>
      <c r="B361" s="19">
        <v>42440</v>
      </c>
      <c r="C361" s="21">
        <v>0.24305555555555555</v>
      </c>
      <c r="D361" s="20" t="s">
        <v>3055</v>
      </c>
      <c r="E361" t="s">
        <v>6</v>
      </c>
      <c r="F361" t="s">
        <v>26</v>
      </c>
      <c r="H361">
        <v>0</v>
      </c>
      <c r="I361">
        <f t="shared" si="7"/>
        <v>0</v>
      </c>
    </row>
    <row r="362" spans="1:9">
      <c r="A362" s="1">
        <v>42846.893750000003</v>
      </c>
      <c r="B362" s="19">
        <v>42440</v>
      </c>
      <c r="C362" s="21">
        <v>8.819444444444445E-2</v>
      </c>
      <c r="D362" s="20" t="s">
        <v>3052</v>
      </c>
      <c r="E362" t="s">
        <v>6</v>
      </c>
      <c r="F362" t="s">
        <v>26</v>
      </c>
      <c r="H362">
        <v>87</v>
      </c>
      <c r="I362">
        <f t="shared" si="7"/>
        <v>108</v>
      </c>
    </row>
    <row r="363" spans="1:9">
      <c r="A363" s="1">
        <v>42846.854861111111</v>
      </c>
      <c r="B363" s="19">
        <v>42440</v>
      </c>
      <c r="C363" s="21">
        <v>4.791666666666667E-2</v>
      </c>
      <c r="D363" s="20" t="s">
        <v>3051</v>
      </c>
      <c r="E363" t="s">
        <v>2</v>
      </c>
      <c r="F363" t="s">
        <v>5</v>
      </c>
      <c r="H363">
        <v>75</v>
      </c>
      <c r="I363">
        <f t="shared" si="7"/>
        <v>93</v>
      </c>
    </row>
    <row r="364" spans="1:9">
      <c r="A364" s="1">
        <v>42846.829861111109</v>
      </c>
      <c r="B364" s="19">
        <v>42440</v>
      </c>
      <c r="C364" s="21">
        <v>4.0972222222222222E-2</v>
      </c>
      <c r="D364" s="20" t="s">
        <v>3050</v>
      </c>
      <c r="E364" t="s">
        <v>2</v>
      </c>
      <c r="F364" t="s">
        <v>3</v>
      </c>
      <c r="G364" t="s">
        <v>365</v>
      </c>
      <c r="H364">
        <v>19</v>
      </c>
      <c r="I364">
        <f t="shared" si="7"/>
        <v>24</v>
      </c>
    </row>
    <row r="365" spans="1:9">
      <c r="A365" s="1">
        <v>42846.813888888886</v>
      </c>
      <c r="B365" s="19">
        <v>42440</v>
      </c>
      <c r="C365" s="21">
        <v>1.3888888888888889E-3</v>
      </c>
      <c r="D365" s="20" t="s">
        <v>3050</v>
      </c>
      <c r="E365" t="s">
        <v>6</v>
      </c>
      <c r="F365" t="s">
        <v>26</v>
      </c>
      <c r="G365" t="s">
        <v>2853</v>
      </c>
      <c r="H365">
        <v>75</v>
      </c>
      <c r="I365">
        <f t="shared" si="7"/>
        <v>93</v>
      </c>
    </row>
    <row r="366" spans="1:9">
      <c r="A366" s="1">
        <v>42846.642361111109</v>
      </c>
      <c r="B366" s="19">
        <v>42441</v>
      </c>
      <c r="C366" s="21">
        <v>1.0416666666666666E-2</v>
      </c>
      <c r="D366" s="20" t="s">
        <v>3050</v>
      </c>
      <c r="E366" t="s">
        <v>6</v>
      </c>
      <c r="F366" t="s">
        <v>21</v>
      </c>
      <c r="G366" t="s">
        <v>2834</v>
      </c>
      <c r="H366">
        <v>447</v>
      </c>
      <c r="I366">
        <f t="shared" si="7"/>
        <v>555</v>
      </c>
    </row>
    <row r="367" spans="1:9">
      <c r="A367" s="1">
        <v>42846.633333333331</v>
      </c>
      <c r="B367" s="19">
        <v>42441</v>
      </c>
      <c r="C367" s="21">
        <v>9.7222222222222224E-3</v>
      </c>
      <c r="D367" s="20" t="s">
        <v>3050</v>
      </c>
      <c r="E367" t="s">
        <v>6</v>
      </c>
      <c r="F367" t="s">
        <v>21</v>
      </c>
      <c r="G367" t="s">
        <v>942</v>
      </c>
      <c r="H367">
        <v>75</v>
      </c>
      <c r="I367">
        <f t="shared" si="7"/>
        <v>93</v>
      </c>
    </row>
    <row r="368" spans="1:9">
      <c r="A368" s="1">
        <v>42846.586111111108</v>
      </c>
      <c r="B368" s="19">
        <v>42443</v>
      </c>
      <c r="C368" s="21">
        <v>0.83333333333333337</v>
      </c>
      <c r="D368" s="20" t="s">
        <v>3047</v>
      </c>
      <c r="E368" t="s">
        <v>0</v>
      </c>
      <c r="G368" t="s">
        <v>2827</v>
      </c>
      <c r="H368">
        <v>10</v>
      </c>
      <c r="I368">
        <f t="shared" si="7"/>
        <v>13</v>
      </c>
    </row>
    <row r="369" spans="1:9">
      <c r="A369" s="1">
        <v>42846.565972222219</v>
      </c>
      <c r="B369" s="19">
        <v>42443</v>
      </c>
      <c r="C369" s="21">
        <v>0.67013888888888884</v>
      </c>
      <c r="D369" s="20" t="s">
        <v>3043</v>
      </c>
      <c r="E369" t="s">
        <v>0</v>
      </c>
      <c r="F369" t="s">
        <v>313</v>
      </c>
      <c r="G369" t="s">
        <v>2672</v>
      </c>
      <c r="H369">
        <v>3</v>
      </c>
      <c r="I369">
        <f t="shared" si="7"/>
        <v>4</v>
      </c>
    </row>
    <row r="370" spans="1:9">
      <c r="A370" s="1">
        <v>42846.520138888889</v>
      </c>
      <c r="B370" s="19">
        <v>42443</v>
      </c>
      <c r="C370" s="21">
        <v>0.65625</v>
      </c>
      <c r="D370" s="20" t="s">
        <v>3042</v>
      </c>
      <c r="E370" t="s">
        <v>0</v>
      </c>
      <c r="G370" t="s">
        <v>2828</v>
      </c>
      <c r="H370">
        <v>38</v>
      </c>
      <c r="I370">
        <f t="shared" si="7"/>
        <v>48</v>
      </c>
    </row>
    <row r="371" spans="1:9">
      <c r="A371" s="1">
        <v>42846.425000000003</v>
      </c>
      <c r="B371" s="19">
        <v>42443</v>
      </c>
      <c r="C371" s="21">
        <v>0.56666666666666665</v>
      </c>
      <c r="D371" s="20" t="s">
        <v>3039</v>
      </c>
      <c r="E371" t="s">
        <v>0</v>
      </c>
      <c r="F371" t="s">
        <v>10</v>
      </c>
      <c r="G371" t="s">
        <v>2829</v>
      </c>
      <c r="H371">
        <v>25</v>
      </c>
      <c r="I371">
        <f t="shared" si="7"/>
        <v>31</v>
      </c>
    </row>
    <row r="372" spans="1:9">
      <c r="A372" s="1">
        <v>42846.347222222219</v>
      </c>
      <c r="B372" s="19">
        <v>42443</v>
      </c>
      <c r="C372" s="21">
        <v>0.56597222222222221</v>
      </c>
      <c r="D372" s="20" t="s">
        <v>3039</v>
      </c>
      <c r="E372" t="s">
        <v>0</v>
      </c>
      <c r="F372" t="s">
        <v>313</v>
      </c>
      <c r="G372" t="s">
        <v>2664</v>
      </c>
      <c r="H372">
        <v>4</v>
      </c>
      <c r="I372">
        <f t="shared" si="7"/>
        <v>5</v>
      </c>
    </row>
    <row r="373" spans="1:9">
      <c r="A373" s="1">
        <v>42846.247916666667</v>
      </c>
      <c r="B373" s="19">
        <v>42443</v>
      </c>
      <c r="C373" s="21">
        <v>0.54583333333333328</v>
      </c>
      <c r="D373" s="20" t="s">
        <v>3039</v>
      </c>
      <c r="E373" t="s">
        <v>0</v>
      </c>
      <c r="F373" t="s">
        <v>75</v>
      </c>
      <c r="H373">
        <v>3</v>
      </c>
      <c r="I373">
        <f t="shared" si="7"/>
        <v>4</v>
      </c>
    </row>
    <row r="374" spans="1:9">
      <c r="A374" s="1">
        <v>42846.77847222222</v>
      </c>
      <c r="B374" s="19">
        <v>42443</v>
      </c>
      <c r="C374" s="21">
        <v>0.52847222222222223</v>
      </c>
      <c r="D374" s="20" t="s">
        <v>3038</v>
      </c>
      <c r="E374" t="s">
        <v>0</v>
      </c>
      <c r="F374" t="s">
        <v>313</v>
      </c>
      <c r="G374" t="s">
        <v>2672</v>
      </c>
      <c r="H374">
        <v>2</v>
      </c>
      <c r="I374">
        <f t="shared" si="7"/>
        <v>3</v>
      </c>
    </row>
    <row r="375" spans="1:9">
      <c r="A375" s="1">
        <v>42846.655555555553</v>
      </c>
      <c r="B375" s="19">
        <v>42443</v>
      </c>
      <c r="C375" s="21">
        <v>0.48888888888888887</v>
      </c>
      <c r="D375" s="20" t="s">
        <v>3037</v>
      </c>
      <c r="E375" t="s">
        <v>0</v>
      </c>
      <c r="F375" t="s">
        <v>313</v>
      </c>
      <c r="G375" t="s">
        <v>2672</v>
      </c>
      <c r="H375">
        <v>2</v>
      </c>
      <c r="I375">
        <f t="shared" si="7"/>
        <v>3</v>
      </c>
    </row>
    <row r="376" spans="1:9">
      <c r="A376" s="1">
        <v>42846.586111111108</v>
      </c>
      <c r="B376" s="19">
        <v>42443</v>
      </c>
      <c r="C376" s="21">
        <v>0.38472222222222224</v>
      </c>
      <c r="D376" s="20" t="s">
        <v>3035</v>
      </c>
      <c r="E376" t="s">
        <v>0</v>
      </c>
      <c r="F376" t="s">
        <v>313</v>
      </c>
      <c r="G376" t="s">
        <v>2682</v>
      </c>
      <c r="H376">
        <v>3</v>
      </c>
      <c r="I376">
        <f t="shared" si="7"/>
        <v>4</v>
      </c>
    </row>
    <row r="377" spans="1:9">
      <c r="A377" s="1">
        <v>42846.586111111108</v>
      </c>
      <c r="B377" s="19">
        <v>42443</v>
      </c>
      <c r="C377" s="21">
        <v>0.30625000000000002</v>
      </c>
      <c r="D377" s="20" t="s">
        <v>3033</v>
      </c>
      <c r="E377" t="s">
        <v>0</v>
      </c>
      <c r="F377" t="s">
        <v>313</v>
      </c>
      <c r="G377" t="s">
        <v>2672</v>
      </c>
      <c r="H377">
        <v>2</v>
      </c>
      <c r="I377">
        <f t="shared" si="7"/>
        <v>3</v>
      </c>
    </row>
    <row r="378" spans="1:9">
      <c r="A378" s="1">
        <v>42846.348611111112</v>
      </c>
      <c r="B378" s="19">
        <v>42443</v>
      </c>
      <c r="C378" s="21">
        <v>0.87708333333333333</v>
      </c>
      <c r="D378" s="20" t="s">
        <v>3048</v>
      </c>
      <c r="E378" t="s">
        <v>6</v>
      </c>
      <c r="F378" t="s">
        <v>12</v>
      </c>
      <c r="G378" t="s">
        <v>2825</v>
      </c>
      <c r="H378">
        <v>75</v>
      </c>
      <c r="I378">
        <f t="shared" si="7"/>
        <v>93</v>
      </c>
    </row>
    <row r="379" spans="1:9">
      <c r="A379" s="1">
        <v>42846.168749999997</v>
      </c>
      <c r="B379" s="19">
        <v>42443</v>
      </c>
      <c r="C379" s="21">
        <v>0.8618055555555556</v>
      </c>
      <c r="D379" s="20" t="s">
        <v>3047</v>
      </c>
      <c r="E379" t="s">
        <v>6</v>
      </c>
      <c r="F379" t="s">
        <v>12</v>
      </c>
      <c r="G379" t="s">
        <v>2826</v>
      </c>
      <c r="H379">
        <v>25</v>
      </c>
      <c r="I379">
        <f t="shared" si="7"/>
        <v>31</v>
      </c>
    </row>
    <row r="380" spans="1:9">
      <c r="A380" s="1">
        <v>42845.923611111109</v>
      </c>
      <c r="B380" s="19">
        <v>42443</v>
      </c>
      <c r="C380" s="21">
        <v>0.54097222222222219</v>
      </c>
      <c r="D380" s="20" t="s">
        <v>3038</v>
      </c>
      <c r="E380" t="s">
        <v>6</v>
      </c>
      <c r="F380" t="s">
        <v>12</v>
      </c>
      <c r="G380" t="s">
        <v>2830</v>
      </c>
      <c r="H380">
        <v>5</v>
      </c>
      <c r="I380">
        <f t="shared" si="7"/>
        <v>7</v>
      </c>
    </row>
    <row r="381" spans="1:9">
      <c r="A381" s="1">
        <v>42845.915972222225</v>
      </c>
      <c r="B381" s="19">
        <v>42443</v>
      </c>
      <c r="C381" s="21">
        <v>0.41736111111111113</v>
      </c>
      <c r="D381" s="20" t="s">
        <v>3036</v>
      </c>
      <c r="E381" t="s">
        <v>2</v>
      </c>
      <c r="F381" t="s">
        <v>48</v>
      </c>
      <c r="G381" t="s">
        <v>2831</v>
      </c>
      <c r="H381">
        <v>44</v>
      </c>
      <c r="I381">
        <f t="shared" si="7"/>
        <v>55</v>
      </c>
    </row>
    <row r="382" spans="1:9">
      <c r="A382" s="1">
        <v>42845.879861111112</v>
      </c>
      <c r="B382" s="19">
        <v>42443</v>
      </c>
      <c r="C382" s="21">
        <v>0.38263888888888886</v>
      </c>
      <c r="D382" s="20" t="s">
        <v>3035</v>
      </c>
      <c r="E382" t="s">
        <v>6</v>
      </c>
      <c r="F382" t="s">
        <v>21</v>
      </c>
      <c r="G382" t="s">
        <v>2832</v>
      </c>
      <c r="H382">
        <v>13</v>
      </c>
      <c r="I382">
        <f t="shared" si="7"/>
        <v>17</v>
      </c>
    </row>
    <row r="383" spans="1:9">
      <c r="A383" s="1">
        <v>42845.804861111108</v>
      </c>
      <c r="B383" s="19">
        <v>42443</v>
      </c>
      <c r="C383" s="21">
        <v>0.37638888888888888</v>
      </c>
      <c r="D383" s="20" t="s">
        <v>3035</v>
      </c>
      <c r="E383" t="s">
        <v>6</v>
      </c>
      <c r="F383" t="s">
        <v>754</v>
      </c>
      <c r="G383" t="s">
        <v>2833</v>
      </c>
      <c r="H383">
        <v>3</v>
      </c>
      <c r="I383">
        <f t="shared" si="7"/>
        <v>4</v>
      </c>
    </row>
    <row r="384" spans="1:9">
      <c r="A384" s="1">
        <v>42845.774305555555</v>
      </c>
      <c r="B384" s="19">
        <v>42443</v>
      </c>
      <c r="C384" s="21">
        <v>0.36875000000000002</v>
      </c>
      <c r="D384" s="20" t="s">
        <v>3034</v>
      </c>
      <c r="E384" t="s">
        <v>6</v>
      </c>
      <c r="F384" t="s">
        <v>21</v>
      </c>
      <c r="G384" t="s">
        <v>2832</v>
      </c>
      <c r="H384">
        <v>25</v>
      </c>
      <c r="I384">
        <f t="shared" si="7"/>
        <v>31</v>
      </c>
    </row>
    <row r="385" spans="1:9">
      <c r="A385" s="1">
        <v>42845.752083333333</v>
      </c>
      <c r="B385" s="19">
        <v>42443</v>
      </c>
      <c r="C385" s="21">
        <v>0.31111111111111112</v>
      </c>
      <c r="D385" s="20" t="s">
        <v>3033</v>
      </c>
      <c r="E385" t="s">
        <v>6</v>
      </c>
      <c r="F385" t="s">
        <v>21</v>
      </c>
      <c r="G385" t="s">
        <v>2832</v>
      </c>
      <c r="H385">
        <v>25</v>
      </c>
      <c r="I385">
        <f t="shared" si="7"/>
        <v>31</v>
      </c>
    </row>
    <row r="386" spans="1:9">
      <c r="A386" s="1">
        <v>42845.640972222223</v>
      </c>
      <c r="B386" s="19">
        <v>42443</v>
      </c>
      <c r="C386" s="21">
        <v>0.26041666666666669</v>
      </c>
      <c r="D386" s="20" t="s">
        <v>3031</v>
      </c>
      <c r="E386" t="s">
        <v>6</v>
      </c>
      <c r="F386" t="s">
        <v>21</v>
      </c>
      <c r="G386" t="s">
        <v>2832</v>
      </c>
      <c r="H386">
        <v>31</v>
      </c>
      <c r="I386">
        <f t="shared" si="7"/>
        <v>39</v>
      </c>
    </row>
    <row r="387" spans="1:9">
      <c r="A387" s="1">
        <v>42845.625</v>
      </c>
      <c r="B387" s="19">
        <v>42444</v>
      </c>
      <c r="C387" s="21">
        <v>0.92083333333333328</v>
      </c>
      <c r="D387" s="20" t="s">
        <v>3049</v>
      </c>
      <c r="E387" t="s">
        <v>33</v>
      </c>
      <c r="G387" t="s">
        <v>2796</v>
      </c>
      <c r="H387">
        <v>5</v>
      </c>
      <c r="I387">
        <f t="shared" ref="I387:I450" si="8">ROUNDUP((H387*1.24), 0)</f>
        <v>7</v>
      </c>
    </row>
    <row r="388" spans="1:9">
      <c r="A388" s="1">
        <v>42845.625</v>
      </c>
      <c r="B388" s="19">
        <v>42444</v>
      </c>
      <c r="C388" s="21">
        <v>0.76736111111111116</v>
      </c>
      <c r="D388" s="20" t="s">
        <v>3045</v>
      </c>
      <c r="E388" t="s">
        <v>0</v>
      </c>
      <c r="G388" t="s">
        <v>2799</v>
      </c>
      <c r="H388">
        <v>13</v>
      </c>
      <c r="I388">
        <f t="shared" si="8"/>
        <v>17</v>
      </c>
    </row>
    <row r="389" spans="1:9">
      <c r="A389" s="1">
        <v>42845.451388888891</v>
      </c>
      <c r="B389" s="19">
        <v>42444</v>
      </c>
      <c r="C389" s="21">
        <v>0.71111111111111114</v>
      </c>
      <c r="D389" s="20" t="s">
        <v>3044</v>
      </c>
      <c r="E389" t="s">
        <v>0</v>
      </c>
      <c r="G389" t="s">
        <v>2800</v>
      </c>
      <c r="H389">
        <v>19</v>
      </c>
      <c r="I389">
        <f t="shared" si="8"/>
        <v>24</v>
      </c>
    </row>
    <row r="390" spans="1:9">
      <c r="A390" s="1">
        <v>42845.435416666667</v>
      </c>
      <c r="B390" s="19">
        <v>42444</v>
      </c>
      <c r="C390" s="21">
        <v>0.66805555555555551</v>
      </c>
      <c r="D390" s="20" t="s">
        <v>3043</v>
      </c>
      <c r="E390" t="s">
        <v>0</v>
      </c>
      <c r="G390" t="s">
        <v>2800</v>
      </c>
      <c r="H390">
        <v>28</v>
      </c>
      <c r="I390">
        <f t="shared" si="8"/>
        <v>35</v>
      </c>
    </row>
    <row r="391" spans="1:9">
      <c r="A391" s="1">
        <v>42845.600694444445</v>
      </c>
      <c r="B391" s="19">
        <v>42444</v>
      </c>
      <c r="C391" s="21">
        <v>0.62638888888888888</v>
      </c>
      <c r="D391" s="20" t="s">
        <v>3042</v>
      </c>
      <c r="E391" t="s">
        <v>0</v>
      </c>
      <c r="G391" t="s">
        <v>2800</v>
      </c>
      <c r="H391">
        <v>28</v>
      </c>
      <c r="I391">
        <f t="shared" si="8"/>
        <v>35</v>
      </c>
    </row>
    <row r="392" spans="1:9">
      <c r="A392" s="1">
        <v>42845.252083333333</v>
      </c>
      <c r="B392" s="19">
        <v>42444</v>
      </c>
      <c r="C392" s="21">
        <v>0.58680555555555558</v>
      </c>
      <c r="D392" s="20" t="s">
        <v>3040</v>
      </c>
      <c r="E392" t="s">
        <v>0</v>
      </c>
      <c r="G392" t="s">
        <v>2801</v>
      </c>
      <c r="H392">
        <v>28</v>
      </c>
      <c r="I392">
        <f t="shared" si="8"/>
        <v>35</v>
      </c>
    </row>
    <row r="393" spans="1:9">
      <c r="A393" s="1">
        <v>42844.454861111109</v>
      </c>
      <c r="B393" s="19">
        <v>42444</v>
      </c>
      <c r="C393" s="21">
        <v>0.57708333333333328</v>
      </c>
      <c r="D393" s="20" t="s">
        <v>3039</v>
      </c>
      <c r="E393" t="s">
        <v>0</v>
      </c>
      <c r="F393" t="s">
        <v>10</v>
      </c>
      <c r="G393" t="s">
        <v>255</v>
      </c>
      <c r="H393">
        <v>13</v>
      </c>
      <c r="I393">
        <f t="shared" si="8"/>
        <v>17</v>
      </c>
    </row>
    <row r="394" spans="1:9">
      <c r="A394" s="1">
        <v>42844.293749999997</v>
      </c>
      <c r="B394" s="19">
        <v>42444</v>
      </c>
      <c r="C394" s="21">
        <v>0.5708333333333333</v>
      </c>
      <c r="D394" s="20" t="s">
        <v>3039</v>
      </c>
      <c r="E394" t="s">
        <v>0</v>
      </c>
      <c r="F394" t="s">
        <v>313</v>
      </c>
      <c r="G394" t="s">
        <v>2664</v>
      </c>
      <c r="H394">
        <v>7</v>
      </c>
      <c r="I394">
        <f t="shared" si="8"/>
        <v>9</v>
      </c>
    </row>
    <row r="395" spans="1:9">
      <c r="A395" s="1">
        <v>42844.288888888892</v>
      </c>
      <c r="B395" s="19">
        <v>42444</v>
      </c>
      <c r="C395" s="21">
        <v>0.46388888888888891</v>
      </c>
      <c r="D395" s="20" t="s">
        <v>3037</v>
      </c>
      <c r="E395" t="s">
        <v>0</v>
      </c>
      <c r="F395" t="s">
        <v>313</v>
      </c>
      <c r="G395" t="s">
        <v>2682</v>
      </c>
      <c r="H395">
        <v>4</v>
      </c>
      <c r="I395">
        <f t="shared" si="8"/>
        <v>5</v>
      </c>
    </row>
    <row r="396" spans="1:9">
      <c r="A396" s="1">
        <v>42844.916666666664</v>
      </c>
      <c r="B396" s="19">
        <v>42444</v>
      </c>
      <c r="C396" s="21">
        <v>0.4513888888888889</v>
      </c>
      <c r="D396" s="20" t="s">
        <v>3036</v>
      </c>
      <c r="E396" t="s">
        <v>0</v>
      </c>
      <c r="F396" t="s">
        <v>75</v>
      </c>
      <c r="G396" t="s">
        <v>2805</v>
      </c>
      <c r="H396">
        <v>13</v>
      </c>
      <c r="I396">
        <f t="shared" si="8"/>
        <v>17</v>
      </c>
    </row>
    <row r="397" spans="1:9">
      <c r="A397" s="1">
        <v>42844.837500000001</v>
      </c>
      <c r="B397" s="19">
        <v>42444</v>
      </c>
      <c r="C397" s="21">
        <v>0.36319444444444443</v>
      </c>
      <c r="D397" s="20" t="s">
        <v>3034</v>
      </c>
      <c r="E397" t="s">
        <v>0</v>
      </c>
      <c r="F397" t="s">
        <v>313</v>
      </c>
      <c r="G397" t="s">
        <v>2672</v>
      </c>
      <c r="H397">
        <v>2</v>
      </c>
      <c r="I397">
        <f t="shared" si="8"/>
        <v>3</v>
      </c>
    </row>
    <row r="398" spans="1:9">
      <c r="A398" s="1">
        <v>42844.790972222225</v>
      </c>
      <c r="B398" s="19">
        <v>42444</v>
      </c>
      <c r="C398" s="21">
        <v>0.30625000000000002</v>
      </c>
      <c r="D398" s="20" t="s">
        <v>3033</v>
      </c>
      <c r="E398" t="s">
        <v>0</v>
      </c>
      <c r="F398" t="s">
        <v>313</v>
      </c>
      <c r="G398" t="s">
        <v>2672</v>
      </c>
      <c r="H398">
        <v>2</v>
      </c>
      <c r="I398">
        <f t="shared" si="8"/>
        <v>3</v>
      </c>
    </row>
    <row r="399" spans="1:9">
      <c r="A399" s="1">
        <v>42844.584722222222</v>
      </c>
      <c r="B399" s="19">
        <v>42444</v>
      </c>
      <c r="C399" s="21">
        <v>0.26597222222222222</v>
      </c>
      <c r="D399" s="20" t="s">
        <v>3031</v>
      </c>
      <c r="E399" t="s">
        <v>33</v>
      </c>
      <c r="F399" t="s">
        <v>44</v>
      </c>
      <c r="G399" t="s">
        <v>2807</v>
      </c>
      <c r="H399">
        <v>25</v>
      </c>
      <c r="I399">
        <f t="shared" si="8"/>
        <v>31</v>
      </c>
    </row>
    <row r="400" spans="1:9">
      <c r="A400" s="1">
        <v>42844.584722222222</v>
      </c>
      <c r="B400" s="19">
        <v>42444</v>
      </c>
      <c r="C400" s="21">
        <v>0.14652777777777778</v>
      </c>
      <c r="D400" s="20" t="s">
        <v>3053</v>
      </c>
      <c r="E400" t="s">
        <v>0</v>
      </c>
      <c r="G400" t="s">
        <v>2810</v>
      </c>
      <c r="H400" t="e">
        <v>#VALUE!</v>
      </c>
      <c r="I400" t="e">
        <f t="shared" si="8"/>
        <v>#VALUE!</v>
      </c>
    </row>
    <row r="401" spans="1:9">
      <c r="A401" s="1">
        <v>42844.251388888886</v>
      </c>
      <c r="B401" s="19">
        <v>42444</v>
      </c>
      <c r="C401" s="21">
        <v>0.11319444444444444</v>
      </c>
      <c r="D401" s="20" t="s">
        <v>3052</v>
      </c>
      <c r="E401" t="s">
        <v>0</v>
      </c>
      <c r="G401" t="s">
        <v>2816</v>
      </c>
      <c r="H401">
        <v>13</v>
      </c>
      <c r="I401">
        <f t="shared" si="8"/>
        <v>17</v>
      </c>
    </row>
    <row r="402" spans="1:9">
      <c r="A402" s="1">
        <v>42843.595833333333</v>
      </c>
      <c r="B402" s="19">
        <v>42444</v>
      </c>
      <c r="C402" s="21">
        <v>0.1111111111111111</v>
      </c>
      <c r="D402" s="20" t="s">
        <v>3052</v>
      </c>
      <c r="E402" t="s">
        <v>0</v>
      </c>
      <c r="F402" t="s">
        <v>75</v>
      </c>
      <c r="G402" t="s">
        <v>2820</v>
      </c>
      <c r="H402">
        <v>38</v>
      </c>
      <c r="I402">
        <f t="shared" si="8"/>
        <v>48</v>
      </c>
    </row>
    <row r="403" spans="1:9">
      <c r="A403" s="1">
        <v>42843.573611111111</v>
      </c>
      <c r="B403" s="19">
        <v>42444</v>
      </c>
      <c r="C403" s="21">
        <v>0.11041666666666666</v>
      </c>
      <c r="D403" s="20" t="s">
        <v>3052</v>
      </c>
      <c r="E403" t="s">
        <v>730</v>
      </c>
      <c r="G403" t="s">
        <v>2822</v>
      </c>
      <c r="H403">
        <v>33</v>
      </c>
      <c r="I403">
        <f t="shared" si="8"/>
        <v>41</v>
      </c>
    </row>
    <row r="404" spans="1:9">
      <c r="A404" s="1">
        <v>42843.5625</v>
      </c>
      <c r="B404" s="19">
        <v>42444</v>
      </c>
      <c r="C404" s="21">
        <v>5.6944444444444443E-2</v>
      </c>
      <c r="D404" s="20" t="s">
        <v>3051</v>
      </c>
      <c r="E404" t="s">
        <v>730</v>
      </c>
      <c r="G404" t="s">
        <v>2822</v>
      </c>
      <c r="H404">
        <v>33</v>
      </c>
      <c r="I404">
        <f t="shared" si="8"/>
        <v>41</v>
      </c>
    </row>
    <row r="405" spans="1:9">
      <c r="A405" s="1">
        <v>42843.334722222222</v>
      </c>
      <c r="B405" s="19">
        <v>42444</v>
      </c>
      <c r="C405" s="21">
        <v>5.6944444444444443E-2</v>
      </c>
      <c r="D405" s="20" t="s">
        <v>3051</v>
      </c>
      <c r="E405" t="s">
        <v>0</v>
      </c>
      <c r="F405" t="s">
        <v>75</v>
      </c>
      <c r="G405" t="s">
        <v>2824</v>
      </c>
      <c r="H405">
        <v>38</v>
      </c>
      <c r="I405">
        <f t="shared" si="8"/>
        <v>48</v>
      </c>
    </row>
    <row r="406" spans="1:9">
      <c r="A406" s="1">
        <v>42843.916666666664</v>
      </c>
      <c r="B406" s="19">
        <v>42444</v>
      </c>
      <c r="C406" s="21">
        <v>0.93819444444444444</v>
      </c>
      <c r="D406" s="20" t="s">
        <v>3049</v>
      </c>
      <c r="E406" t="s">
        <v>6</v>
      </c>
      <c r="F406" t="s">
        <v>76</v>
      </c>
      <c r="G406" t="s">
        <v>2794</v>
      </c>
      <c r="H406" t="e">
        <v>#VALUE!</v>
      </c>
      <c r="I406" t="e">
        <f t="shared" si="8"/>
        <v>#VALUE!</v>
      </c>
    </row>
    <row r="407" spans="1:9">
      <c r="A407" s="1">
        <v>42843.826388888891</v>
      </c>
      <c r="B407" s="19">
        <v>42444</v>
      </c>
      <c r="C407" s="21">
        <v>0.9291666666666667</v>
      </c>
      <c r="D407" s="20" t="s">
        <v>3049</v>
      </c>
      <c r="E407" t="s">
        <v>6</v>
      </c>
      <c r="F407" t="s">
        <v>76</v>
      </c>
      <c r="G407" t="s">
        <v>2795</v>
      </c>
      <c r="H407">
        <v>13</v>
      </c>
      <c r="I407">
        <f t="shared" si="8"/>
        <v>17</v>
      </c>
    </row>
    <row r="408" spans="1:9">
      <c r="A408" s="1">
        <v>42843.786111111112</v>
      </c>
      <c r="B408" s="19">
        <v>42444</v>
      </c>
      <c r="C408" s="21">
        <v>0.84513888888888888</v>
      </c>
      <c r="D408" s="20" t="s">
        <v>3047</v>
      </c>
      <c r="E408" t="s">
        <v>6</v>
      </c>
      <c r="F408" t="s">
        <v>15</v>
      </c>
      <c r="G408" t="s">
        <v>2797</v>
      </c>
      <c r="H408">
        <v>38</v>
      </c>
      <c r="I408">
        <f t="shared" si="8"/>
        <v>48</v>
      </c>
    </row>
    <row r="409" spans="1:9">
      <c r="A409" s="1">
        <v>42843.676388888889</v>
      </c>
      <c r="B409" s="19">
        <v>42444</v>
      </c>
      <c r="C409" s="21">
        <v>0.82361111111111107</v>
      </c>
      <c r="D409" s="20" t="s">
        <v>3046</v>
      </c>
      <c r="E409" t="s">
        <v>6</v>
      </c>
      <c r="F409" t="s">
        <v>15</v>
      </c>
      <c r="G409" t="s">
        <v>2798</v>
      </c>
      <c r="H409">
        <v>25</v>
      </c>
      <c r="I409">
        <f t="shared" si="8"/>
        <v>31</v>
      </c>
    </row>
    <row r="410" spans="1:9">
      <c r="A410" s="1">
        <v>42843.584027777775</v>
      </c>
      <c r="B410" s="19">
        <v>42444</v>
      </c>
      <c r="C410" s="21">
        <v>0.77430555555555558</v>
      </c>
      <c r="D410" s="20" t="s">
        <v>3045</v>
      </c>
      <c r="E410" t="s">
        <v>6</v>
      </c>
      <c r="F410" t="s">
        <v>26</v>
      </c>
      <c r="G410" t="s">
        <v>2379</v>
      </c>
      <c r="H410">
        <v>38</v>
      </c>
      <c r="I410">
        <f t="shared" si="8"/>
        <v>48</v>
      </c>
    </row>
    <row r="411" spans="1:9">
      <c r="A411" s="1">
        <v>42843.584027777775</v>
      </c>
      <c r="B411" s="19">
        <v>42444</v>
      </c>
      <c r="C411" s="21">
        <v>0.55763888888888891</v>
      </c>
      <c r="D411" s="20" t="s">
        <v>3039</v>
      </c>
      <c r="E411" t="s">
        <v>6</v>
      </c>
      <c r="F411" t="s">
        <v>21</v>
      </c>
      <c r="G411" t="s">
        <v>2802</v>
      </c>
      <c r="H411">
        <v>13</v>
      </c>
      <c r="I411">
        <f t="shared" si="8"/>
        <v>17</v>
      </c>
    </row>
    <row r="412" spans="1:9">
      <c r="A412" s="1">
        <v>42843.249305555553</v>
      </c>
      <c r="B412" s="19">
        <v>42444</v>
      </c>
      <c r="C412" s="21">
        <v>0.5444444444444444</v>
      </c>
      <c r="D412" s="20" t="s">
        <v>3039</v>
      </c>
      <c r="E412" t="s">
        <v>6</v>
      </c>
      <c r="F412" t="s">
        <v>21</v>
      </c>
      <c r="G412" t="s">
        <v>2803</v>
      </c>
      <c r="H412">
        <v>25</v>
      </c>
      <c r="I412">
        <f t="shared" si="8"/>
        <v>31</v>
      </c>
    </row>
    <row r="413" spans="1:9">
      <c r="A413" s="1">
        <v>42842.880555555559</v>
      </c>
      <c r="B413" s="19">
        <v>42444</v>
      </c>
      <c r="C413" s="21">
        <v>0.54097222222222219</v>
      </c>
      <c r="D413" s="20" t="s">
        <v>3038</v>
      </c>
      <c r="E413" t="s">
        <v>6</v>
      </c>
      <c r="F413" t="s">
        <v>21</v>
      </c>
      <c r="G413" t="s">
        <v>2803</v>
      </c>
      <c r="H413">
        <v>25</v>
      </c>
      <c r="I413">
        <f t="shared" si="8"/>
        <v>31</v>
      </c>
    </row>
    <row r="414" spans="1:9">
      <c r="A414" s="1">
        <v>42842.856944444444</v>
      </c>
      <c r="B414" s="19">
        <v>42444</v>
      </c>
      <c r="C414" s="21">
        <v>0.51666666666666672</v>
      </c>
      <c r="D414" s="20" t="s">
        <v>3038</v>
      </c>
      <c r="E414" t="s">
        <v>6</v>
      </c>
      <c r="F414" t="s">
        <v>15</v>
      </c>
      <c r="G414" t="s">
        <v>2804</v>
      </c>
      <c r="H414">
        <v>25</v>
      </c>
      <c r="I414">
        <f t="shared" si="8"/>
        <v>31</v>
      </c>
    </row>
    <row r="415" spans="1:9">
      <c r="A415" s="1">
        <v>42842.829861111109</v>
      </c>
      <c r="B415" s="19">
        <v>42444</v>
      </c>
      <c r="C415" s="21">
        <v>0.49652777777777779</v>
      </c>
      <c r="D415" s="20" t="s">
        <v>3037</v>
      </c>
      <c r="E415" t="s">
        <v>6</v>
      </c>
      <c r="F415" t="s">
        <v>21</v>
      </c>
      <c r="G415" t="s">
        <v>2803</v>
      </c>
      <c r="H415">
        <v>15</v>
      </c>
      <c r="I415">
        <f t="shared" si="8"/>
        <v>19</v>
      </c>
    </row>
    <row r="416" spans="1:9">
      <c r="A416" s="1">
        <v>42842.807638888888</v>
      </c>
      <c r="B416" s="19">
        <v>42444</v>
      </c>
      <c r="C416" s="21">
        <v>0.43611111111111112</v>
      </c>
      <c r="D416" s="20" t="s">
        <v>3036</v>
      </c>
      <c r="E416" t="s">
        <v>2</v>
      </c>
      <c r="G416" t="s">
        <v>2806</v>
      </c>
      <c r="H416">
        <v>13</v>
      </c>
      <c r="I416">
        <f t="shared" si="8"/>
        <v>17</v>
      </c>
    </row>
    <row r="417" spans="1:9">
      <c r="A417" s="1">
        <v>42842.6</v>
      </c>
      <c r="B417" s="19">
        <v>42444</v>
      </c>
      <c r="C417" s="21">
        <v>0.26111111111111113</v>
      </c>
      <c r="D417" s="20" t="s">
        <v>3031</v>
      </c>
      <c r="E417" t="s">
        <v>2</v>
      </c>
      <c r="F417" t="s">
        <v>3</v>
      </c>
      <c r="G417" t="s">
        <v>202</v>
      </c>
      <c r="H417">
        <v>13</v>
      </c>
      <c r="I417">
        <f t="shared" si="8"/>
        <v>17</v>
      </c>
    </row>
    <row r="418" spans="1:9">
      <c r="A418" s="1">
        <v>42842.70416666667</v>
      </c>
      <c r="B418" s="19">
        <v>42444</v>
      </c>
      <c r="C418" s="21">
        <v>0.21249999999999999</v>
      </c>
      <c r="D418" s="20" t="s">
        <v>3055</v>
      </c>
      <c r="E418" t="s">
        <v>2</v>
      </c>
      <c r="F418" t="s">
        <v>56</v>
      </c>
      <c r="G418" t="s">
        <v>2656</v>
      </c>
      <c r="H418">
        <v>31</v>
      </c>
      <c r="I418">
        <f t="shared" si="8"/>
        <v>39</v>
      </c>
    </row>
    <row r="419" spans="1:9">
      <c r="A419" s="1">
        <v>42842.584722222222</v>
      </c>
      <c r="B419" s="19">
        <v>42444</v>
      </c>
      <c r="C419" s="21">
        <v>0.18194444444444444</v>
      </c>
      <c r="D419" s="20" t="s">
        <v>3054</v>
      </c>
      <c r="E419" t="s">
        <v>6</v>
      </c>
      <c r="F419" t="s">
        <v>89</v>
      </c>
      <c r="G419" t="s">
        <v>2808</v>
      </c>
      <c r="H419" t="e">
        <v>#VALUE!</v>
      </c>
      <c r="I419" t="e">
        <f t="shared" si="8"/>
        <v>#VALUE!</v>
      </c>
    </row>
    <row r="420" spans="1:9">
      <c r="A420" s="1">
        <v>42842.578472222223</v>
      </c>
      <c r="B420" s="19">
        <v>42444</v>
      </c>
      <c r="C420" s="21">
        <v>0.16944444444444445</v>
      </c>
      <c r="D420" s="20" t="s">
        <v>3054</v>
      </c>
      <c r="E420" t="s">
        <v>6</v>
      </c>
      <c r="G420" t="s">
        <v>2809</v>
      </c>
      <c r="H420" t="e">
        <v>#VALUE!</v>
      </c>
      <c r="I420" t="e">
        <f t="shared" si="8"/>
        <v>#VALUE!</v>
      </c>
    </row>
    <row r="421" spans="1:9">
      <c r="A421" s="1">
        <v>42842.272916666669</v>
      </c>
      <c r="B421" s="19">
        <v>42444</v>
      </c>
      <c r="C421" s="21">
        <v>0.14652777777777778</v>
      </c>
      <c r="D421" s="20" t="s">
        <v>3053</v>
      </c>
      <c r="E421" t="s">
        <v>6</v>
      </c>
      <c r="F421" t="s">
        <v>273</v>
      </c>
      <c r="G421" t="s">
        <v>2811</v>
      </c>
      <c r="H421">
        <v>41</v>
      </c>
      <c r="I421">
        <f t="shared" si="8"/>
        <v>51</v>
      </c>
    </row>
    <row r="422" spans="1:9">
      <c r="A422" s="1">
        <v>42840.228472222225</v>
      </c>
      <c r="B422" s="19">
        <v>42444</v>
      </c>
      <c r="C422" s="21">
        <v>0.1451388888888889</v>
      </c>
      <c r="D422" s="20" t="s">
        <v>3053</v>
      </c>
      <c r="E422" t="s">
        <v>6</v>
      </c>
      <c r="F422" t="s">
        <v>46</v>
      </c>
      <c r="G422" t="s">
        <v>2812</v>
      </c>
      <c r="H422">
        <v>3</v>
      </c>
      <c r="I422">
        <f t="shared" si="8"/>
        <v>4</v>
      </c>
    </row>
    <row r="423" spans="1:9">
      <c r="A423" s="1">
        <v>42840.167361111111</v>
      </c>
      <c r="B423" s="19">
        <v>42444</v>
      </c>
      <c r="C423" s="21">
        <v>0.14305555555555555</v>
      </c>
      <c r="D423" s="20" t="s">
        <v>3053</v>
      </c>
      <c r="E423" t="s">
        <v>6</v>
      </c>
      <c r="F423" t="s">
        <v>7</v>
      </c>
      <c r="G423" t="s">
        <v>2813</v>
      </c>
      <c r="H423">
        <v>5</v>
      </c>
      <c r="I423">
        <f t="shared" si="8"/>
        <v>7</v>
      </c>
    </row>
    <row r="424" spans="1:9">
      <c r="A424" s="1">
        <v>42840.165972222225</v>
      </c>
      <c r="B424" s="19">
        <v>42444</v>
      </c>
      <c r="C424" s="21">
        <v>0.13958333333333334</v>
      </c>
      <c r="D424" s="20" t="s">
        <v>3053</v>
      </c>
      <c r="E424" t="s">
        <v>6</v>
      </c>
      <c r="F424" t="s">
        <v>89</v>
      </c>
      <c r="G424" t="s">
        <v>2814</v>
      </c>
      <c r="H424">
        <v>7</v>
      </c>
      <c r="I424">
        <f t="shared" si="8"/>
        <v>9</v>
      </c>
    </row>
    <row r="425" spans="1:9">
      <c r="A425" s="1">
        <v>42839.95</v>
      </c>
      <c r="B425" s="19">
        <v>42444</v>
      </c>
      <c r="C425" s="21">
        <v>0.11527777777777778</v>
      </c>
      <c r="D425" s="20" t="s">
        <v>3052</v>
      </c>
      <c r="E425" t="s">
        <v>6</v>
      </c>
      <c r="F425" t="s">
        <v>12</v>
      </c>
      <c r="G425" t="s">
        <v>2815</v>
      </c>
      <c r="H425">
        <v>31</v>
      </c>
      <c r="I425">
        <f t="shared" si="8"/>
        <v>39</v>
      </c>
    </row>
    <row r="426" spans="1:9">
      <c r="A426" s="1">
        <v>42839.813194444447</v>
      </c>
      <c r="B426" s="19">
        <v>42444</v>
      </c>
      <c r="C426" s="21">
        <v>0.1125</v>
      </c>
      <c r="D426" s="20" t="s">
        <v>3052</v>
      </c>
      <c r="E426" t="s">
        <v>6</v>
      </c>
      <c r="G426" t="s">
        <v>2817</v>
      </c>
      <c r="H426" t="e">
        <v>#VALUE!</v>
      </c>
      <c r="I426" t="e">
        <f t="shared" si="8"/>
        <v>#VALUE!</v>
      </c>
    </row>
    <row r="427" spans="1:9">
      <c r="A427" s="1">
        <v>42839.796527777777</v>
      </c>
      <c r="B427" s="19">
        <v>42444</v>
      </c>
      <c r="C427" s="21">
        <v>0.11180555555555556</v>
      </c>
      <c r="D427" s="20" t="s">
        <v>3052</v>
      </c>
      <c r="E427" t="s">
        <v>6</v>
      </c>
      <c r="G427" t="s">
        <v>2818</v>
      </c>
      <c r="H427" t="e">
        <v>#VALUE!</v>
      </c>
      <c r="I427" t="e">
        <f t="shared" si="8"/>
        <v>#VALUE!</v>
      </c>
    </row>
    <row r="428" spans="1:9">
      <c r="A428" s="1">
        <v>42839.790972222225</v>
      </c>
      <c r="B428" s="19">
        <v>42444</v>
      </c>
      <c r="C428" s="21">
        <v>0.11180555555555556</v>
      </c>
      <c r="D428" s="20" t="s">
        <v>3052</v>
      </c>
      <c r="E428" t="s">
        <v>6</v>
      </c>
      <c r="G428" t="s">
        <v>2819</v>
      </c>
      <c r="H428">
        <v>7</v>
      </c>
      <c r="I428">
        <f t="shared" si="8"/>
        <v>9</v>
      </c>
    </row>
    <row r="429" spans="1:9">
      <c r="A429" s="1">
        <v>42839.758333333331</v>
      </c>
      <c r="B429" s="19">
        <v>42444</v>
      </c>
      <c r="C429" s="21">
        <v>0.1111111111111111</v>
      </c>
      <c r="D429" s="20" t="s">
        <v>3052</v>
      </c>
      <c r="E429" t="s">
        <v>2</v>
      </c>
      <c r="F429" t="s">
        <v>56</v>
      </c>
      <c r="G429" t="s">
        <v>2821</v>
      </c>
      <c r="H429">
        <v>25</v>
      </c>
      <c r="I429">
        <f t="shared" si="8"/>
        <v>31</v>
      </c>
    </row>
    <row r="430" spans="1:9">
      <c r="A430" s="1">
        <v>42839.712500000001</v>
      </c>
      <c r="B430" s="19">
        <v>42444</v>
      </c>
      <c r="C430" s="21">
        <v>5.8333333333333334E-2</v>
      </c>
      <c r="D430" s="20" t="s">
        <v>3051</v>
      </c>
      <c r="E430" t="s">
        <v>6</v>
      </c>
      <c r="G430" t="s">
        <v>2823</v>
      </c>
      <c r="H430" t="e">
        <v>#VALUE!</v>
      </c>
      <c r="I430" t="e">
        <f t="shared" si="8"/>
        <v>#VALUE!</v>
      </c>
    </row>
    <row r="431" spans="1:9">
      <c r="A431" s="1">
        <v>42839.685416666667</v>
      </c>
      <c r="B431" s="19">
        <v>42444</v>
      </c>
      <c r="C431" s="21">
        <v>5.7638888888888892E-2</v>
      </c>
      <c r="D431" s="20" t="s">
        <v>3051</v>
      </c>
      <c r="E431" t="s">
        <v>2</v>
      </c>
      <c r="F431" t="s">
        <v>56</v>
      </c>
      <c r="G431" t="s">
        <v>2821</v>
      </c>
      <c r="H431">
        <v>25</v>
      </c>
      <c r="I431">
        <f t="shared" si="8"/>
        <v>31</v>
      </c>
    </row>
    <row r="432" spans="1:9">
      <c r="A432" s="1">
        <v>42839.677083333336</v>
      </c>
      <c r="B432" s="19">
        <v>42444</v>
      </c>
      <c r="C432" s="21">
        <v>5.7638888888888892E-2</v>
      </c>
      <c r="D432" s="20" t="s">
        <v>3051</v>
      </c>
      <c r="E432" t="s">
        <v>6</v>
      </c>
      <c r="G432" t="s">
        <v>2818</v>
      </c>
      <c r="H432" t="e">
        <v>#VALUE!</v>
      </c>
      <c r="I432" t="e">
        <f t="shared" si="8"/>
        <v>#VALUE!</v>
      </c>
    </row>
    <row r="433" spans="1:9">
      <c r="A433" s="1">
        <v>42839.917361111111</v>
      </c>
      <c r="B433" s="19">
        <v>42445</v>
      </c>
      <c r="C433" s="21">
        <v>0.95833333333333337</v>
      </c>
      <c r="D433" s="20" t="s">
        <v>3063</v>
      </c>
      <c r="E433" t="s">
        <v>0</v>
      </c>
      <c r="F433" t="s">
        <v>10</v>
      </c>
      <c r="H433">
        <v>13</v>
      </c>
      <c r="I433">
        <f t="shared" si="8"/>
        <v>17</v>
      </c>
    </row>
    <row r="434" spans="1:9">
      <c r="A434" s="1">
        <v>42839.916666666664</v>
      </c>
      <c r="B434" s="19">
        <v>42445</v>
      </c>
      <c r="C434" s="21">
        <v>0.90833333333333333</v>
      </c>
      <c r="D434" s="20" t="s">
        <v>3048</v>
      </c>
      <c r="E434" t="s">
        <v>0</v>
      </c>
      <c r="G434" t="s">
        <v>2780</v>
      </c>
      <c r="H434">
        <v>13</v>
      </c>
      <c r="I434">
        <f t="shared" si="8"/>
        <v>17</v>
      </c>
    </row>
    <row r="435" spans="1:9">
      <c r="A435" s="1">
        <v>42839.906944444447</v>
      </c>
      <c r="B435" s="19">
        <v>42445</v>
      </c>
      <c r="C435" s="21">
        <v>0.62152777777777779</v>
      </c>
      <c r="D435" s="20" t="s">
        <v>3040</v>
      </c>
      <c r="E435" t="s">
        <v>0</v>
      </c>
      <c r="F435" t="s">
        <v>75</v>
      </c>
      <c r="G435" t="s">
        <v>75</v>
      </c>
      <c r="H435">
        <v>3</v>
      </c>
      <c r="I435">
        <f t="shared" si="8"/>
        <v>4</v>
      </c>
    </row>
    <row r="436" spans="1:9">
      <c r="A436" s="1">
        <v>42839.723611111112</v>
      </c>
      <c r="B436" s="19">
        <v>42445</v>
      </c>
      <c r="C436" s="21">
        <v>0.62013888888888891</v>
      </c>
      <c r="D436" s="20" t="s">
        <v>3040</v>
      </c>
      <c r="E436" t="s">
        <v>33</v>
      </c>
      <c r="G436" t="s">
        <v>2786</v>
      </c>
      <c r="H436">
        <v>4</v>
      </c>
      <c r="I436">
        <f t="shared" si="8"/>
        <v>5</v>
      </c>
    </row>
    <row r="437" spans="1:9">
      <c r="A437" s="1">
        <v>42839.588888888888</v>
      </c>
      <c r="B437" s="19">
        <v>42445</v>
      </c>
      <c r="C437" s="21">
        <v>0.5756944444444444</v>
      </c>
      <c r="D437" s="20" t="s">
        <v>3039</v>
      </c>
      <c r="E437" t="s">
        <v>0</v>
      </c>
      <c r="F437" t="s">
        <v>10</v>
      </c>
      <c r="G437" t="s">
        <v>255</v>
      </c>
      <c r="H437">
        <v>13</v>
      </c>
      <c r="I437">
        <f t="shared" si="8"/>
        <v>17</v>
      </c>
    </row>
    <row r="438" spans="1:9">
      <c r="A438" s="1">
        <v>42839.569444444445</v>
      </c>
      <c r="B438" s="19">
        <v>42445</v>
      </c>
      <c r="C438" s="21">
        <v>0.57291666666666663</v>
      </c>
      <c r="D438" s="20" t="s">
        <v>3039</v>
      </c>
      <c r="E438" t="s">
        <v>0</v>
      </c>
      <c r="F438" t="s">
        <v>313</v>
      </c>
      <c r="G438" t="s">
        <v>2787</v>
      </c>
      <c r="H438">
        <v>5</v>
      </c>
      <c r="I438">
        <f t="shared" si="8"/>
        <v>7</v>
      </c>
    </row>
    <row r="439" spans="1:9">
      <c r="A439" s="1">
        <v>42839.253472222219</v>
      </c>
      <c r="B439" s="19">
        <v>42445</v>
      </c>
      <c r="C439" s="21">
        <v>0.52916666666666667</v>
      </c>
      <c r="D439" s="20" t="s">
        <v>3038</v>
      </c>
      <c r="E439" t="s">
        <v>0</v>
      </c>
      <c r="F439" t="s">
        <v>313</v>
      </c>
      <c r="G439" t="s">
        <v>2672</v>
      </c>
      <c r="H439">
        <v>2</v>
      </c>
      <c r="I439">
        <f t="shared" si="8"/>
        <v>3</v>
      </c>
    </row>
    <row r="440" spans="1:9">
      <c r="A440" s="1">
        <v>42839.250694444447</v>
      </c>
      <c r="B440" s="19">
        <v>42445</v>
      </c>
      <c r="C440" s="21">
        <v>0.49652777777777779</v>
      </c>
      <c r="D440" s="20" t="s">
        <v>3037</v>
      </c>
      <c r="E440" t="s">
        <v>0</v>
      </c>
      <c r="F440" t="s">
        <v>313</v>
      </c>
      <c r="G440" t="s">
        <v>2672</v>
      </c>
      <c r="H440">
        <v>2</v>
      </c>
      <c r="I440">
        <f t="shared" si="8"/>
        <v>3</v>
      </c>
    </row>
    <row r="441" spans="1:9">
      <c r="A441" s="1">
        <v>42839.240972222222</v>
      </c>
      <c r="B441" s="19">
        <v>42445</v>
      </c>
      <c r="C441" s="21">
        <v>0.43263888888888891</v>
      </c>
      <c r="D441" s="20" t="s">
        <v>3036</v>
      </c>
      <c r="E441" t="s">
        <v>0</v>
      </c>
      <c r="F441" t="s">
        <v>313</v>
      </c>
      <c r="G441" t="s">
        <v>2672</v>
      </c>
      <c r="H441">
        <v>3</v>
      </c>
      <c r="I441">
        <f t="shared" si="8"/>
        <v>4</v>
      </c>
    </row>
    <row r="442" spans="1:9">
      <c r="A442" s="1">
        <v>42839.158333333333</v>
      </c>
      <c r="B442" s="19">
        <v>42445</v>
      </c>
      <c r="C442" s="21">
        <v>0.35208333333333336</v>
      </c>
      <c r="D442" s="20" t="s">
        <v>3034</v>
      </c>
      <c r="E442" t="s">
        <v>0</v>
      </c>
      <c r="F442" t="s">
        <v>313</v>
      </c>
      <c r="G442" t="s">
        <v>2682</v>
      </c>
      <c r="H442">
        <v>3</v>
      </c>
      <c r="I442">
        <f t="shared" si="8"/>
        <v>4</v>
      </c>
    </row>
    <row r="443" spans="1:9">
      <c r="A443" s="1">
        <v>42839.157638888886</v>
      </c>
      <c r="B443" s="19">
        <v>42445</v>
      </c>
      <c r="C443" s="21">
        <v>0.30486111111111114</v>
      </c>
      <c r="D443" s="20" t="s">
        <v>3033</v>
      </c>
      <c r="E443" t="s">
        <v>0</v>
      </c>
      <c r="F443" t="s">
        <v>313</v>
      </c>
      <c r="G443" t="s">
        <v>2672</v>
      </c>
      <c r="H443">
        <v>2</v>
      </c>
      <c r="I443">
        <f t="shared" si="8"/>
        <v>3</v>
      </c>
    </row>
    <row r="444" spans="1:9">
      <c r="A444" s="1">
        <v>42838.833333333336</v>
      </c>
      <c r="B444" s="19">
        <v>42445</v>
      </c>
      <c r="C444" s="21">
        <v>0.99930555555555556</v>
      </c>
      <c r="D444" s="20" t="s">
        <v>3063</v>
      </c>
      <c r="E444" t="s">
        <v>2</v>
      </c>
      <c r="F444" t="s">
        <v>5</v>
      </c>
      <c r="G444" t="s">
        <v>2775</v>
      </c>
      <c r="H444">
        <v>50</v>
      </c>
      <c r="I444">
        <f t="shared" si="8"/>
        <v>62</v>
      </c>
    </row>
    <row r="445" spans="1:9">
      <c r="A445" s="1">
        <v>42838.768750000003</v>
      </c>
      <c r="B445" s="19">
        <v>42445</v>
      </c>
      <c r="C445" s="21">
        <v>0.99097222222222225</v>
      </c>
      <c r="D445" s="20" t="s">
        <v>3063</v>
      </c>
      <c r="E445" t="s">
        <v>6</v>
      </c>
      <c r="F445" t="s">
        <v>21</v>
      </c>
      <c r="G445" t="s">
        <v>2776</v>
      </c>
      <c r="H445">
        <v>17</v>
      </c>
      <c r="I445">
        <f t="shared" si="8"/>
        <v>22</v>
      </c>
    </row>
    <row r="446" spans="1:9">
      <c r="A446" s="1">
        <v>42838.595138888886</v>
      </c>
      <c r="B446" s="19">
        <v>42445</v>
      </c>
      <c r="C446" s="21">
        <v>0.98124999999999996</v>
      </c>
      <c r="D446" s="20" t="s">
        <v>3063</v>
      </c>
      <c r="E446" t="s">
        <v>6</v>
      </c>
      <c r="F446" t="s">
        <v>15</v>
      </c>
      <c r="G446" t="s">
        <v>2777</v>
      </c>
      <c r="H446">
        <v>18</v>
      </c>
      <c r="I446">
        <f t="shared" si="8"/>
        <v>23</v>
      </c>
    </row>
    <row r="447" spans="1:9">
      <c r="A447" s="1">
        <v>42838.538888888892</v>
      </c>
      <c r="B447" s="19">
        <v>42445</v>
      </c>
      <c r="C447" s="21">
        <v>0.95902777777777781</v>
      </c>
      <c r="D447" s="20" t="s">
        <v>3063</v>
      </c>
      <c r="E447" t="s">
        <v>6</v>
      </c>
      <c r="F447" t="s">
        <v>15</v>
      </c>
      <c r="G447" t="s">
        <v>2778</v>
      </c>
      <c r="H447">
        <v>40</v>
      </c>
      <c r="I447">
        <f t="shared" si="8"/>
        <v>50</v>
      </c>
    </row>
    <row r="448" spans="1:9">
      <c r="A448" s="1">
        <v>42838.238888888889</v>
      </c>
      <c r="B448" s="19">
        <v>42445</v>
      </c>
      <c r="C448" s="21">
        <v>0.95833333333333337</v>
      </c>
      <c r="D448" s="20" t="s">
        <v>3063</v>
      </c>
      <c r="E448" t="s">
        <v>2</v>
      </c>
      <c r="F448" t="s">
        <v>56</v>
      </c>
      <c r="G448" t="s">
        <v>2779</v>
      </c>
      <c r="H448">
        <v>31</v>
      </c>
      <c r="I448">
        <f t="shared" si="8"/>
        <v>39</v>
      </c>
    </row>
    <row r="449" spans="1:9">
      <c r="A449" s="1">
        <v>42838.177083333336</v>
      </c>
      <c r="B449" s="19">
        <v>42445</v>
      </c>
      <c r="C449" s="21">
        <v>0.88888888888888884</v>
      </c>
      <c r="D449" s="20" t="s">
        <v>3048</v>
      </c>
      <c r="E449" t="s">
        <v>6</v>
      </c>
      <c r="F449" t="s">
        <v>26</v>
      </c>
      <c r="G449" t="s">
        <v>2781</v>
      </c>
      <c r="H449">
        <v>31</v>
      </c>
      <c r="I449">
        <f t="shared" si="8"/>
        <v>39</v>
      </c>
    </row>
    <row r="450" spans="1:9">
      <c r="A450" s="1">
        <v>42838.167361111111</v>
      </c>
      <c r="B450" s="19">
        <v>42445</v>
      </c>
      <c r="C450" s="21">
        <v>0.88055555555555554</v>
      </c>
      <c r="D450" s="20" t="s">
        <v>3048</v>
      </c>
      <c r="E450" t="s">
        <v>6</v>
      </c>
      <c r="F450" t="s">
        <v>26</v>
      </c>
      <c r="G450" t="s">
        <v>2782</v>
      </c>
      <c r="H450">
        <v>15</v>
      </c>
      <c r="I450">
        <f t="shared" si="8"/>
        <v>19</v>
      </c>
    </row>
    <row r="451" spans="1:9">
      <c r="A451" s="1">
        <v>42838.956250000003</v>
      </c>
      <c r="B451" s="19">
        <v>42445</v>
      </c>
      <c r="C451" s="21">
        <v>0.78611111111111109</v>
      </c>
      <c r="D451" s="20" t="s">
        <v>3045</v>
      </c>
      <c r="E451" t="s">
        <v>6</v>
      </c>
      <c r="F451" t="s">
        <v>12</v>
      </c>
      <c r="G451" t="s">
        <v>78</v>
      </c>
      <c r="H451">
        <v>4</v>
      </c>
      <c r="I451">
        <f t="shared" ref="I451:I514" si="9">ROUNDUP((H451*1.24), 0)</f>
        <v>5</v>
      </c>
    </row>
    <row r="452" spans="1:9">
      <c r="A452" s="1">
        <v>42838.917361111111</v>
      </c>
      <c r="B452" s="19">
        <v>42445</v>
      </c>
      <c r="C452" s="21">
        <v>0.7583333333333333</v>
      </c>
      <c r="D452" s="20" t="s">
        <v>3045</v>
      </c>
      <c r="E452" t="s">
        <v>6</v>
      </c>
      <c r="F452" t="s">
        <v>21</v>
      </c>
      <c r="G452" t="s">
        <v>2783</v>
      </c>
      <c r="H452">
        <v>10</v>
      </c>
      <c r="I452">
        <f t="shared" si="9"/>
        <v>13</v>
      </c>
    </row>
    <row r="453" spans="1:9">
      <c r="A453" s="1">
        <v>42838.917361111111</v>
      </c>
      <c r="B453" s="19">
        <v>42445</v>
      </c>
      <c r="C453" s="21">
        <v>0.71388888888888891</v>
      </c>
      <c r="D453" s="20" t="s">
        <v>3044</v>
      </c>
      <c r="E453" t="s">
        <v>6</v>
      </c>
      <c r="F453" t="s">
        <v>21</v>
      </c>
      <c r="G453" t="s">
        <v>2784</v>
      </c>
      <c r="H453">
        <v>10</v>
      </c>
      <c r="I453">
        <f t="shared" si="9"/>
        <v>13</v>
      </c>
    </row>
    <row r="454" spans="1:9">
      <c r="A454" s="1">
        <v>42838.831944444442</v>
      </c>
      <c r="B454" s="19">
        <v>42445</v>
      </c>
      <c r="C454" s="21">
        <v>0.65208333333333335</v>
      </c>
      <c r="D454" s="20" t="s">
        <v>3042</v>
      </c>
      <c r="E454" t="s">
        <v>6</v>
      </c>
      <c r="F454" t="s">
        <v>61</v>
      </c>
      <c r="G454" t="s">
        <v>2785</v>
      </c>
      <c r="H454">
        <v>19</v>
      </c>
      <c r="I454">
        <f t="shared" si="9"/>
        <v>24</v>
      </c>
    </row>
    <row r="455" spans="1:9">
      <c r="A455" s="1">
        <v>42838.611111111109</v>
      </c>
      <c r="B455" s="19">
        <v>42445</v>
      </c>
      <c r="C455" s="21">
        <v>0.57222222222222219</v>
      </c>
      <c r="D455" s="20" t="s">
        <v>3039</v>
      </c>
      <c r="E455" t="s">
        <v>2</v>
      </c>
      <c r="F455" t="s">
        <v>5</v>
      </c>
      <c r="G455" t="s">
        <v>2788</v>
      </c>
      <c r="H455">
        <v>56</v>
      </c>
      <c r="I455">
        <f t="shared" si="9"/>
        <v>70</v>
      </c>
    </row>
    <row r="456" spans="1:9">
      <c r="A456" s="1">
        <v>42838.584027777775</v>
      </c>
      <c r="B456" s="19">
        <v>42445</v>
      </c>
      <c r="C456" s="21">
        <v>0.53472222222222221</v>
      </c>
      <c r="D456" s="20" t="s">
        <v>3038</v>
      </c>
      <c r="E456" t="s">
        <v>2</v>
      </c>
      <c r="F456" t="s">
        <v>5</v>
      </c>
      <c r="H456">
        <v>13</v>
      </c>
      <c r="I456">
        <f t="shared" si="9"/>
        <v>17</v>
      </c>
    </row>
    <row r="457" spans="1:9">
      <c r="A457" s="1">
        <v>42838.563888888886</v>
      </c>
      <c r="B457" s="19">
        <v>42445</v>
      </c>
      <c r="C457" s="21">
        <v>0.53125</v>
      </c>
      <c r="D457" s="20" t="s">
        <v>3038</v>
      </c>
      <c r="E457" t="s">
        <v>6</v>
      </c>
      <c r="F457" t="s">
        <v>15</v>
      </c>
      <c r="G457" t="s">
        <v>2789</v>
      </c>
      <c r="H457">
        <v>7</v>
      </c>
      <c r="I457">
        <f t="shared" si="9"/>
        <v>9</v>
      </c>
    </row>
    <row r="458" spans="1:9">
      <c r="A458" s="1">
        <v>42838.254861111112</v>
      </c>
      <c r="B458" s="19">
        <v>42445</v>
      </c>
      <c r="C458" s="21">
        <v>0.47361111111111109</v>
      </c>
      <c r="D458" s="20" t="s">
        <v>3037</v>
      </c>
      <c r="E458" t="s">
        <v>6</v>
      </c>
      <c r="F458" t="s">
        <v>12</v>
      </c>
      <c r="G458" t="s">
        <v>2790</v>
      </c>
      <c r="H458">
        <v>3</v>
      </c>
      <c r="I458">
        <f t="shared" si="9"/>
        <v>4</v>
      </c>
    </row>
    <row r="459" spans="1:9">
      <c r="A459" s="1">
        <v>42838.254861111112</v>
      </c>
      <c r="B459" s="19">
        <v>42445</v>
      </c>
      <c r="C459" s="21">
        <v>0.42430555555555555</v>
      </c>
      <c r="D459" s="20" t="s">
        <v>3036</v>
      </c>
      <c r="E459" t="s">
        <v>6</v>
      </c>
      <c r="F459" t="s">
        <v>21</v>
      </c>
      <c r="G459" t="s">
        <v>2791</v>
      </c>
      <c r="H459">
        <v>13</v>
      </c>
      <c r="I459">
        <f t="shared" si="9"/>
        <v>17</v>
      </c>
    </row>
    <row r="460" spans="1:9">
      <c r="A460" s="1">
        <v>42838.239583333336</v>
      </c>
      <c r="B460" s="19">
        <v>42445</v>
      </c>
      <c r="C460" s="21">
        <v>0.37777777777777777</v>
      </c>
      <c r="D460" s="20" t="s">
        <v>3035</v>
      </c>
      <c r="E460" t="s">
        <v>2</v>
      </c>
      <c r="F460" t="s">
        <v>56</v>
      </c>
      <c r="G460" t="s">
        <v>2792</v>
      </c>
      <c r="H460">
        <v>25</v>
      </c>
      <c r="I460">
        <f t="shared" si="9"/>
        <v>31</v>
      </c>
    </row>
    <row r="461" spans="1:9">
      <c r="A461" s="1">
        <v>42837.847222222219</v>
      </c>
      <c r="B461" s="19">
        <v>42445</v>
      </c>
      <c r="C461" s="21">
        <v>0.36041666666666666</v>
      </c>
      <c r="D461" s="20" t="s">
        <v>3034</v>
      </c>
      <c r="E461" t="s">
        <v>6</v>
      </c>
      <c r="F461" t="s">
        <v>21</v>
      </c>
      <c r="G461" t="s">
        <v>2791</v>
      </c>
      <c r="H461">
        <v>9</v>
      </c>
      <c r="I461">
        <f t="shared" si="9"/>
        <v>12</v>
      </c>
    </row>
    <row r="462" spans="1:9">
      <c r="A462" s="1">
        <v>42837.807638888888</v>
      </c>
      <c r="B462" s="19">
        <v>42445</v>
      </c>
      <c r="C462" s="21">
        <v>0.30069444444444443</v>
      </c>
      <c r="D462" s="20" t="s">
        <v>3033</v>
      </c>
      <c r="E462" t="s">
        <v>6</v>
      </c>
      <c r="F462" t="s">
        <v>21</v>
      </c>
      <c r="G462" t="s">
        <v>2791</v>
      </c>
      <c r="H462">
        <v>7</v>
      </c>
      <c r="I462">
        <f t="shared" si="9"/>
        <v>9</v>
      </c>
    </row>
    <row r="463" spans="1:9">
      <c r="A463" s="1">
        <v>42837.525694444441</v>
      </c>
      <c r="B463" s="19">
        <v>42445</v>
      </c>
      <c r="C463" s="21">
        <v>0.26458333333333334</v>
      </c>
      <c r="D463" s="20" t="s">
        <v>3031</v>
      </c>
      <c r="E463" t="s">
        <v>6</v>
      </c>
      <c r="F463" t="s">
        <v>167</v>
      </c>
      <c r="G463" t="s">
        <v>2587</v>
      </c>
      <c r="H463">
        <v>7</v>
      </c>
      <c r="I463">
        <f t="shared" si="9"/>
        <v>9</v>
      </c>
    </row>
    <row r="464" spans="1:9">
      <c r="A464" s="1">
        <v>42837.517361111109</v>
      </c>
      <c r="B464" s="19">
        <v>42445</v>
      </c>
      <c r="C464" s="21">
        <v>9.6527777777777782E-2</v>
      </c>
      <c r="D464" s="20" t="s">
        <v>3052</v>
      </c>
      <c r="E464" t="s">
        <v>6</v>
      </c>
      <c r="G464" t="s">
        <v>2793</v>
      </c>
      <c r="H464">
        <v>13</v>
      </c>
      <c r="I464">
        <f t="shared" si="9"/>
        <v>17</v>
      </c>
    </row>
    <row r="465" spans="1:9">
      <c r="A465" s="1">
        <v>42837.384027777778</v>
      </c>
      <c r="B465" s="19">
        <v>42446</v>
      </c>
      <c r="C465" s="21">
        <v>0.56874999999999998</v>
      </c>
      <c r="D465" s="20" t="s">
        <v>3039</v>
      </c>
      <c r="E465" t="s">
        <v>0</v>
      </c>
      <c r="F465" t="s">
        <v>313</v>
      </c>
      <c r="G465" t="s">
        <v>2664</v>
      </c>
      <c r="H465">
        <v>7</v>
      </c>
      <c r="I465">
        <f t="shared" si="9"/>
        <v>9</v>
      </c>
    </row>
    <row r="466" spans="1:9">
      <c r="A466" s="1">
        <v>42837.295138888891</v>
      </c>
      <c r="B466" s="19">
        <v>42446</v>
      </c>
      <c r="C466" s="21">
        <v>0.54583333333333328</v>
      </c>
      <c r="D466" s="20" t="s">
        <v>3039</v>
      </c>
      <c r="E466" t="s">
        <v>33</v>
      </c>
      <c r="F466" t="s">
        <v>44</v>
      </c>
      <c r="G466" t="s">
        <v>2767</v>
      </c>
      <c r="H466">
        <v>7</v>
      </c>
      <c r="I466">
        <f t="shared" si="9"/>
        <v>9</v>
      </c>
    </row>
    <row r="467" spans="1:9">
      <c r="A467" s="1">
        <v>42837.252083333333</v>
      </c>
      <c r="B467" s="19">
        <v>42446</v>
      </c>
      <c r="C467" s="21">
        <v>0.54166666666666663</v>
      </c>
      <c r="D467" s="20" t="s">
        <v>3039</v>
      </c>
      <c r="E467" t="s">
        <v>33</v>
      </c>
      <c r="F467" t="s">
        <v>44</v>
      </c>
      <c r="G467" t="s">
        <v>2768</v>
      </c>
      <c r="H467">
        <v>13</v>
      </c>
      <c r="I467">
        <f t="shared" si="9"/>
        <v>17</v>
      </c>
    </row>
    <row r="468" spans="1:9">
      <c r="A468" s="1">
        <v>42837.050694444442</v>
      </c>
      <c r="B468" s="19">
        <v>42446</v>
      </c>
      <c r="C468" s="21">
        <v>0.52222222222222225</v>
      </c>
      <c r="D468" s="20" t="s">
        <v>3038</v>
      </c>
      <c r="E468" t="s">
        <v>0</v>
      </c>
      <c r="F468" t="s">
        <v>313</v>
      </c>
      <c r="G468" t="s">
        <v>2672</v>
      </c>
      <c r="H468">
        <v>3</v>
      </c>
      <c r="I468">
        <f t="shared" si="9"/>
        <v>4</v>
      </c>
    </row>
    <row r="469" spans="1:9">
      <c r="A469" s="1">
        <v>42837.916666666664</v>
      </c>
      <c r="B469" s="19">
        <v>42446</v>
      </c>
      <c r="C469" s="21">
        <v>0.48402777777777778</v>
      </c>
      <c r="D469" s="20" t="s">
        <v>3037</v>
      </c>
      <c r="E469" t="s">
        <v>0</v>
      </c>
      <c r="F469" t="s">
        <v>75</v>
      </c>
      <c r="G469" t="s">
        <v>2769</v>
      </c>
      <c r="H469">
        <v>13</v>
      </c>
      <c r="I469">
        <f t="shared" si="9"/>
        <v>17</v>
      </c>
    </row>
    <row r="470" spans="1:9">
      <c r="A470" s="1">
        <v>42837.916666666664</v>
      </c>
      <c r="B470" s="19">
        <v>42446</v>
      </c>
      <c r="C470" s="21">
        <v>0.48194444444444445</v>
      </c>
      <c r="D470" s="20" t="s">
        <v>3037</v>
      </c>
      <c r="E470" t="s">
        <v>77</v>
      </c>
      <c r="G470" t="s">
        <v>2770</v>
      </c>
      <c r="H470">
        <v>18</v>
      </c>
      <c r="I470">
        <f t="shared" si="9"/>
        <v>23</v>
      </c>
    </row>
    <row r="471" spans="1:9">
      <c r="A471" s="1">
        <v>42837.669444444444</v>
      </c>
      <c r="B471" s="19">
        <v>42446</v>
      </c>
      <c r="C471" s="21">
        <v>0.46458333333333335</v>
      </c>
      <c r="D471" s="20" t="s">
        <v>3037</v>
      </c>
      <c r="E471" t="s">
        <v>0</v>
      </c>
      <c r="F471" t="s">
        <v>313</v>
      </c>
      <c r="G471" t="s">
        <v>2672</v>
      </c>
      <c r="H471">
        <v>2</v>
      </c>
      <c r="I471">
        <f t="shared" si="9"/>
        <v>3</v>
      </c>
    </row>
    <row r="472" spans="1:9">
      <c r="A472" s="1">
        <v>42837.583333333336</v>
      </c>
      <c r="B472" s="19">
        <v>42446</v>
      </c>
      <c r="C472" s="21">
        <v>0.37638888888888888</v>
      </c>
      <c r="D472" s="20" t="s">
        <v>3035</v>
      </c>
      <c r="E472" t="s">
        <v>0</v>
      </c>
      <c r="F472" t="s">
        <v>313</v>
      </c>
      <c r="G472" t="s">
        <v>2771</v>
      </c>
      <c r="H472">
        <v>7</v>
      </c>
      <c r="I472">
        <f t="shared" si="9"/>
        <v>9</v>
      </c>
    </row>
    <row r="473" spans="1:9">
      <c r="A473" s="1">
        <v>42837.556250000001</v>
      </c>
      <c r="B473" s="19">
        <v>42446</v>
      </c>
      <c r="C473" s="21">
        <v>0.36736111111111114</v>
      </c>
      <c r="D473" s="20" t="s">
        <v>3034</v>
      </c>
      <c r="E473" t="s">
        <v>0</v>
      </c>
      <c r="F473" t="s">
        <v>313</v>
      </c>
      <c r="G473" t="s">
        <v>2772</v>
      </c>
      <c r="H473">
        <v>2</v>
      </c>
      <c r="I473">
        <f t="shared" si="9"/>
        <v>3</v>
      </c>
    </row>
    <row r="474" spans="1:9">
      <c r="A474" s="1">
        <v>42837.390277777777</v>
      </c>
      <c r="B474" s="19">
        <v>42446</v>
      </c>
      <c r="C474" s="21">
        <v>0.29583333333333334</v>
      </c>
      <c r="D474" s="20" t="s">
        <v>3033</v>
      </c>
      <c r="E474" t="s">
        <v>0</v>
      </c>
      <c r="F474" t="s">
        <v>313</v>
      </c>
      <c r="G474" t="s">
        <v>2772</v>
      </c>
      <c r="H474">
        <v>3</v>
      </c>
      <c r="I474">
        <f t="shared" si="9"/>
        <v>4</v>
      </c>
    </row>
    <row r="475" spans="1:9">
      <c r="A475" s="1">
        <v>42837.25277777778</v>
      </c>
      <c r="B475" s="19">
        <v>42446</v>
      </c>
      <c r="C475" s="21">
        <v>0.25</v>
      </c>
      <c r="D475" s="20" t="s">
        <v>3031</v>
      </c>
      <c r="E475" t="s">
        <v>0</v>
      </c>
      <c r="F475" t="s">
        <v>10</v>
      </c>
      <c r="G475" t="s">
        <v>255</v>
      </c>
      <c r="H475">
        <v>13</v>
      </c>
      <c r="I475">
        <f t="shared" si="9"/>
        <v>17</v>
      </c>
    </row>
    <row r="476" spans="1:9">
      <c r="A476" s="1">
        <v>42837.243750000001</v>
      </c>
      <c r="B476" s="19">
        <v>42446</v>
      </c>
      <c r="C476" s="21">
        <v>0.56944444444444442</v>
      </c>
      <c r="D476" s="20" t="s">
        <v>3039</v>
      </c>
      <c r="E476" t="s">
        <v>6</v>
      </c>
      <c r="F476" t="s">
        <v>15</v>
      </c>
      <c r="G476" t="s">
        <v>2765</v>
      </c>
      <c r="H476" t="e">
        <v>#VALUE!</v>
      </c>
      <c r="I476" t="e">
        <f t="shared" si="9"/>
        <v>#VALUE!</v>
      </c>
    </row>
    <row r="477" spans="1:9">
      <c r="A477" s="1">
        <v>42836.921527777777</v>
      </c>
      <c r="B477" s="19">
        <v>42446</v>
      </c>
      <c r="C477" s="21">
        <v>0.55972222222222223</v>
      </c>
      <c r="D477" s="20" t="s">
        <v>3039</v>
      </c>
      <c r="E477" t="s">
        <v>2</v>
      </c>
      <c r="F477" t="s">
        <v>56</v>
      </c>
      <c r="G477" t="s">
        <v>2766</v>
      </c>
      <c r="H477">
        <v>19</v>
      </c>
      <c r="I477">
        <f t="shared" si="9"/>
        <v>24</v>
      </c>
    </row>
    <row r="478" spans="1:9">
      <c r="A478" s="1">
        <v>42836.90902777778</v>
      </c>
      <c r="B478" s="19">
        <v>42446</v>
      </c>
      <c r="C478" s="21">
        <v>0.15625</v>
      </c>
      <c r="D478" s="20" t="s">
        <v>3053</v>
      </c>
      <c r="E478" t="s">
        <v>6</v>
      </c>
      <c r="F478" t="s">
        <v>15</v>
      </c>
      <c r="G478" t="s">
        <v>2773</v>
      </c>
      <c r="H478" t="e">
        <v>#VALUE!</v>
      </c>
      <c r="I478" t="e">
        <f t="shared" si="9"/>
        <v>#VALUE!</v>
      </c>
    </row>
    <row r="479" spans="1:9">
      <c r="A479" s="1">
        <v>42836.875694444447</v>
      </c>
      <c r="B479" s="19">
        <v>42446</v>
      </c>
      <c r="C479" s="21">
        <v>0.12291666666666666</v>
      </c>
      <c r="D479" s="20" t="s">
        <v>3052</v>
      </c>
      <c r="E479" t="s">
        <v>6</v>
      </c>
      <c r="F479" t="s">
        <v>21</v>
      </c>
      <c r="G479" t="s">
        <v>2774</v>
      </c>
      <c r="H479">
        <v>7</v>
      </c>
      <c r="I479">
        <f t="shared" si="9"/>
        <v>9</v>
      </c>
    </row>
    <row r="480" spans="1:9">
      <c r="A480" s="1">
        <v>42836.868750000001</v>
      </c>
      <c r="B480" s="19">
        <v>42447</v>
      </c>
      <c r="C480" s="21">
        <v>0.92777777777777781</v>
      </c>
      <c r="D480" s="20" t="s">
        <v>3049</v>
      </c>
      <c r="E480" t="s">
        <v>0</v>
      </c>
      <c r="F480" t="s">
        <v>1</v>
      </c>
      <c r="H480">
        <v>7</v>
      </c>
      <c r="I480">
        <f t="shared" si="9"/>
        <v>9</v>
      </c>
    </row>
    <row r="481" spans="1:9">
      <c r="A481" s="1">
        <v>42836.861805555556</v>
      </c>
      <c r="B481" s="19">
        <v>42447</v>
      </c>
      <c r="C481" s="21">
        <v>0.7993055555555556</v>
      </c>
      <c r="D481" s="20" t="s">
        <v>3046</v>
      </c>
      <c r="E481" t="s">
        <v>0</v>
      </c>
      <c r="F481" t="s">
        <v>75</v>
      </c>
      <c r="G481" t="s">
        <v>2764</v>
      </c>
      <c r="H481">
        <v>19</v>
      </c>
      <c r="I481">
        <f t="shared" si="9"/>
        <v>24</v>
      </c>
    </row>
    <row r="482" spans="1:9">
      <c r="A482" s="1">
        <v>42836.861805555556</v>
      </c>
      <c r="B482" s="19">
        <v>42447</v>
      </c>
      <c r="C482" s="21">
        <v>0.99722222222222223</v>
      </c>
      <c r="D482" s="20" t="s">
        <v>3063</v>
      </c>
      <c r="E482" t="s">
        <v>2</v>
      </c>
      <c r="F482" t="s">
        <v>56</v>
      </c>
      <c r="G482" t="s">
        <v>1827</v>
      </c>
      <c r="H482">
        <v>12</v>
      </c>
      <c r="I482">
        <f t="shared" si="9"/>
        <v>15</v>
      </c>
    </row>
    <row r="483" spans="1:9">
      <c r="A483" s="1">
        <v>42836.826388888891</v>
      </c>
      <c r="B483" s="19">
        <v>42447</v>
      </c>
      <c r="C483" s="21">
        <v>0.98958333333333337</v>
      </c>
      <c r="D483" s="20" t="s">
        <v>3063</v>
      </c>
      <c r="E483" t="s">
        <v>6</v>
      </c>
      <c r="F483" t="s">
        <v>26</v>
      </c>
      <c r="G483" t="s">
        <v>2760</v>
      </c>
      <c r="H483">
        <v>7</v>
      </c>
      <c r="I483">
        <f t="shared" si="9"/>
        <v>9</v>
      </c>
    </row>
    <row r="484" spans="1:9">
      <c r="A484" s="1">
        <v>42836.820138888892</v>
      </c>
      <c r="B484" s="19">
        <v>42447</v>
      </c>
      <c r="C484" s="21">
        <v>0.92013888888888884</v>
      </c>
      <c r="D484" s="20" t="s">
        <v>3049</v>
      </c>
      <c r="E484" t="s">
        <v>6</v>
      </c>
      <c r="F484" t="s">
        <v>12</v>
      </c>
      <c r="G484" t="s">
        <v>2761</v>
      </c>
      <c r="H484">
        <v>9</v>
      </c>
      <c r="I484">
        <f t="shared" si="9"/>
        <v>12</v>
      </c>
    </row>
    <row r="485" spans="1:9">
      <c r="A485" s="1">
        <v>42836.781944444447</v>
      </c>
      <c r="B485" s="19">
        <v>42447</v>
      </c>
      <c r="C485" s="21">
        <v>0.91805555555555551</v>
      </c>
      <c r="D485" s="20" t="s">
        <v>3049</v>
      </c>
      <c r="E485" t="s">
        <v>6</v>
      </c>
      <c r="F485" t="s">
        <v>12</v>
      </c>
      <c r="G485" t="s">
        <v>2762</v>
      </c>
      <c r="H485">
        <v>4</v>
      </c>
      <c r="I485">
        <f t="shared" si="9"/>
        <v>5</v>
      </c>
    </row>
    <row r="486" spans="1:9">
      <c r="A486" s="1">
        <v>42836.694444444445</v>
      </c>
      <c r="B486" s="19">
        <v>42447</v>
      </c>
      <c r="C486" s="21">
        <v>0.88124999999999998</v>
      </c>
      <c r="D486" s="20" t="s">
        <v>3048</v>
      </c>
      <c r="E486" t="s">
        <v>6</v>
      </c>
      <c r="F486" t="s">
        <v>12</v>
      </c>
      <c r="G486" t="s">
        <v>2763</v>
      </c>
      <c r="H486">
        <v>64</v>
      </c>
      <c r="I486">
        <f t="shared" si="9"/>
        <v>80</v>
      </c>
    </row>
    <row r="487" spans="1:9">
      <c r="A487" s="1">
        <v>42836.682638888888</v>
      </c>
      <c r="B487" s="19">
        <v>42448</v>
      </c>
      <c r="C487" s="21">
        <v>0.20416666666666666</v>
      </c>
      <c r="D487" s="20" t="s">
        <v>3054</v>
      </c>
      <c r="E487" t="s">
        <v>0</v>
      </c>
      <c r="F487" t="s">
        <v>313</v>
      </c>
      <c r="G487" t="s">
        <v>2688</v>
      </c>
      <c r="H487">
        <v>4</v>
      </c>
      <c r="I487">
        <f t="shared" si="9"/>
        <v>5</v>
      </c>
    </row>
    <row r="488" spans="1:9">
      <c r="A488" s="1">
        <v>42836.638888888891</v>
      </c>
      <c r="B488" s="19">
        <v>42448</v>
      </c>
      <c r="C488" s="21">
        <v>0.1701388888888889</v>
      </c>
      <c r="D488" s="20" t="s">
        <v>3054</v>
      </c>
      <c r="E488" t="s">
        <v>0</v>
      </c>
      <c r="F488" t="s">
        <v>313</v>
      </c>
      <c r="G488" t="s">
        <v>2691</v>
      </c>
      <c r="H488">
        <v>3</v>
      </c>
      <c r="I488">
        <f t="shared" si="9"/>
        <v>4</v>
      </c>
    </row>
    <row r="489" spans="1:9">
      <c r="A489" s="1">
        <v>42836.620138888888</v>
      </c>
      <c r="B489" s="19">
        <v>42448</v>
      </c>
      <c r="C489" s="21">
        <v>0.14305555555555555</v>
      </c>
      <c r="D489" s="20" t="s">
        <v>3053</v>
      </c>
      <c r="E489" t="s">
        <v>0</v>
      </c>
      <c r="F489" t="s">
        <v>313</v>
      </c>
      <c r="G489" t="s">
        <v>2691</v>
      </c>
      <c r="H489">
        <v>3</v>
      </c>
      <c r="I489">
        <f t="shared" si="9"/>
        <v>4</v>
      </c>
    </row>
    <row r="490" spans="1:9">
      <c r="A490" s="1">
        <v>42836.602083333331</v>
      </c>
      <c r="B490" s="19">
        <v>42448</v>
      </c>
      <c r="C490" s="21">
        <v>9.5138888888888884E-2</v>
      </c>
      <c r="D490" s="20" t="s">
        <v>3052</v>
      </c>
      <c r="E490" t="s">
        <v>0</v>
      </c>
      <c r="F490" t="s">
        <v>313</v>
      </c>
      <c r="G490" t="s">
        <v>2691</v>
      </c>
      <c r="H490">
        <v>3</v>
      </c>
      <c r="I490">
        <f t="shared" si="9"/>
        <v>4</v>
      </c>
    </row>
    <row r="491" spans="1:9">
      <c r="A491" s="1">
        <v>42836.5</v>
      </c>
      <c r="B491" s="19">
        <v>42448</v>
      </c>
      <c r="C491" s="21">
        <v>5.347222222222222E-2</v>
      </c>
      <c r="D491" s="20" t="s">
        <v>3051</v>
      </c>
      <c r="E491" t="s">
        <v>33</v>
      </c>
      <c r="F491" t="s">
        <v>44</v>
      </c>
      <c r="G491" t="s">
        <v>2757</v>
      </c>
      <c r="H491">
        <v>13</v>
      </c>
      <c r="I491">
        <f t="shared" si="9"/>
        <v>17</v>
      </c>
    </row>
    <row r="492" spans="1:9">
      <c r="A492" s="1">
        <v>42836.477777777778</v>
      </c>
      <c r="B492" s="19">
        <v>42448</v>
      </c>
      <c r="C492" s="21">
        <v>2.9861111111111113E-2</v>
      </c>
      <c r="D492" s="20" t="s">
        <v>3050</v>
      </c>
      <c r="E492" t="s">
        <v>0</v>
      </c>
      <c r="F492" t="s">
        <v>313</v>
      </c>
      <c r="G492" t="s">
        <v>2687</v>
      </c>
      <c r="H492">
        <v>3</v>
      </c>
      <c r="I492">
        <f t="shared" si="9"/>
        <v>4</v>
      </c>
    </row>
    <row r="493" spans="1:9">
      <c r="A493" s="1">
        <v>42836.917361111111</v>
      </c>
      <c r="B493" s="19">
        <v>42448</v>
      </c>
      <c r="C493" s="21">
        <v>2.9166666666666667E-2</v>
      </c>
      <c r="D493" s="20" t="s">
        <v>3050</v>
      </c>
      <c r="E493" t="s">
        <v>0</v>
      </c>
      <c r="F493" t="s">
        <v>313</v>
      </c>
      <c r="G493" t="s">
        <v>2688</v>
      </c>
      <c r="H493">
        <v>4</v>
      </c>
      <c r="I493">
        <f t="shared" si="9"/>
        <v>5</v>
      </c>
    </row>
    <row r="494" spans="1:9">
      <c r="A494" s="1">
        <v>42836.694444444445</v>
      </c>
      <c r="B494" s="19">
        <v>42448</v>
      </c>
      <c r="C494" s="21">
        <v>2.1527777777777778E-2</v>
      </c>
      <c r="D494" s="20" t="s">
        <v>3050</v>
      </c>
      <c r="E494" t="s">
        <v>33</v>
      </c>
      <c r="F494" t="s">
        <v>44</v>
      </c>
      <c r="G494" t="s">
        <v>2759</v>
      </c>
      <c r="H494" t="e">
        <v>#VALUE!</v>
      </c>
      <c r="I494" t="e">
        <f t="shared" si="9"/>
        <v>#VALUE!</v>
      </c>
    </row>
    <row r="495" spans="1:9">
      <c r="A495" s="1">
        <v>42836.638194444444</v>
      </c>
      <c r="B495" s="19">
        <v>42448</v>
      </c>
      <c r="C495" s="21">
        <v>3.3333333333333333E-2</v>
      </c>
      <c r="D495" s="20" t="s">
        <v>3050</v>
      </c>
      <c r="E495" t="s">
        <v>6</v>
      </c>
      <c r="F495" t="s">
        <v>26</v>
      </c>
      <c r="G495" t="s">
        <v>2758</v>
      </c>
      <c r="H495">
        <v>13</v>
      </c>
      <c r="I495">
        <f t="shared" si="9"/>
        <v>17</v>
      </c>
    </row>
    <row r="496" spans="1:9">
      <c r="A496" s="1">
        <v>42836.631249999999</v>
      </c>
      <c r="B496" s="19">
        <v>42450</v>
      </c>
      <c r="C496" s="21">
        <v>0.97430555555555554</v>
      </c>
      <c r="D496" s="20" t="s">
        <v>3063</v>
      </c>
      <c r="E496" t="s">
        <v>0</v>
      </c>
      <c r="F496" t="s">
        <v>313</v>
      </c>
      <c r="G496" t="s">
        <v>2672</v>
      </c>
      <c r="H496">
        <v>2</v>
      </c>
      <c r="I496">
        <f t="shared" si="9"/>
        <v>3</v>
      </c>
    </row>
    <row r="497" spans="1:9">
      <c r="A497" s="1">
        <v>42836.595138888886</v>
      </c>
      <c r="B497" s="19">
        <v>42450</v>
      </c>
      <c r="C497" s="21">
        <v>0.66597222222222219</v>
      </c>
      <c r="D497" s="20" t="s">
        <v>3042</v>
      </c>
      <c r="E497" t="s">
        <v>0</v>
      </c>
      <c r="F497" t="s">
        <v>313</v>
      </c>
      <c r="G497" t="s">
        <v>2688</v>
      </c>
      <c r="H497">
        <v>4</v>
      </c>
      <c r="I497">
        <f t="shared" si="9"/>
        <v>5</v>
      </c>
    </row>
    <row r="498" spans="1:9">
      <c r="A498" s="1">
        <v>42836.586111111108</v>
      </c>
      <c r="B498" s="19">
        <v>42450</v>
      </c>
      <c r="C498" s="21">
        <v>0.66597222222222219</v>
      </c>
      <c r="D498" s="20" t="s">
        <v>3042</v>
      </c>
      <c r="E498" t="s">
        <v>0</v>
      </c>
      <c r="F498" t="s">
        <v>313</v>
      </c>
      <c r="G498" t="s">
        <v>2687</v>
      </c>
      <c r="H498">
        <v>3</v>
      </c>
      <c r="I498">
        <f t="shared" si="9"/>
        <v>4</v>
      </c>
    </row>
    <row r="499" spans="1:9">
      <c r="A499" s="1">
        <v>42836.333333333336</v>
      </c>
      <c r="B499" s="19">
        <v>42450</v>
      </c>
      <c r="C499" s="21">
        <v>0.58680555555555558</v>
      </c>
      <c r="D499" s="20" t="s">
        <v>3040</v>
      </c>
      <c r="E499" t="s">
        <v>33</v>
      </c>
      <c r="G499" t="s">
        <v>2731</v>
      </c>
      <c r="H499">
        <v>5</v>
      </c>
      <c r="I499">
        <f t="shared" si="9"/>
        <v>7</v>
      </c>
    </row>
    <row r="500" spans="1:9">
      <c r="A500" s="1">
        <v>42836.250694444447</v>
      </c>
      <c r="B500" s="19">
        <v>42450</v>
      </c>
      <c r="C500" s="21">
        <v>0.57777777777777772</v>
      </c>
      <c r="D500" s="20" t="s">
        <v>3039</v>
      </c>
      <c r="E500" t="s">
        <v>0</v>
      </c>
      <c r="G500" t="s">
        <v>2753</v>
      </c>
      <c r="H500">
        <v>75</v>
      </c>
      <c r="I500">
        <f t="shared" si="9"/>
        <v>93</v>
      </c>
    </row>
    <row r="501" spans="1:9">
      <c r="A501" s="1">
        <v>42832.770138888889</v>
      </c>
      <c r="B501" s="19">
        <v>42450</v>
      </c>
      <c r="C501" s="21">
        <v>0.26458333333333334</v>
      </c>
      <c r="D501" s="20" t="s">
        <v>3031</v>
      </c>
      <c r="E501" t="s">
        <v>0</v>
      </c>
      <c r="F501" t="s">
        <v>1</v>
      </c>
      <c r="H501">
        <v>25</v>
      </c>
      <c r="I501">
        <f t="shared" si="9"/>
        <v>31</v>
      </c>
    </row>
    <row r="502" spans="1:9">
      <c r="A502" s="1">
        <v>42832.561111111114</v>
      </c>
      <c r="B502" s="19">
        <v>42450</v>
      </c>
      <c r="C502" s="21">
        <v>0.71736111111111112</v>
      </c>
      <c r="D502" s="20" t="s">
        <v>3044</v>
      </c>
      <c r="E502" t="s">
        <v>6</v>
      </c>
      <c r="F502" t="s">
        <v>12</v>
      </c>
      <c r="G502" t="s">
        <v>2747</v>
      </c>
      <c r="H502" t="e">
        <v>#VALUE!</v>
      </c>
      <c r="I502" t="e">
        <f t="shared" si="9"/>
        <v>#VALUE!</v>
      </c>
    </row>
    <row r="503" spans="1:9">
      <c r="A503" s="1">
        <v>42832.384027777778</v>
      </c>
      <c r="B503" s="19">
        <v>42450</v>
      </c>
      <c r="C503" s="21">
        <v>0.70972222222222225</v>
      </c>
      <c r="D503" s="20" t="s">
        <v>3044</v>
      </c>
      <c r="E503" t="s">
        <v>6</v>
      </c>
      <c r="F503" t="s">
        <v>7</v>
      </c>
      <c r="G503" t="s">
        <v>2748</v>
      </c>
      <c r="H503" t="e">
        <v>#VALUE!</v>
      </c>
      <c r="I503" t="e">
        <f t="shared" si="9"/>
        <v>#VALUE!</v>
      </c>
    </row>
    <row r="504" spans="1:9">
      <c r="A504" s="1">
        <v>42832.900694444441</v>
      </c>
      <c r="B504" s="19">
        <v>42450</v>
      </c>
      <c r="C504" s="21">
        <v>0.69374999999999998</v>
      </c>
      <c r="D504" s="20" t="s">
        <v>3043</v>
      </c>
      <c r="E504" t="s">
        <v>6</v>
      </c>
      <c r="F504" t="s">
        <v>7</v>
      </c>
      <c r="G504" t="s">
        <v>2749</v>
      </c>
      <c r="H504">
        <v>29</v>
      </c>
      <c r="I504">
        <f t="shared" si="9"/>
        <v>36</v>
      </c>
    </row>
    <row r="505" spans="1:9">
      <c r="A505" s="1">
        <v>42832.57916666667</v>
      </c>
      <c r="B505" s="19">
        <v>42450</v>
      </c>
      <c r="C505" s="21">
        <v>0.68194444444444446</v>
      </c>
      <c r="D505" s="20" t="s">
        <v>3043</v>
      </c>
      <c r="E505" t="s">
        <v>6</v>
      </c>
      <c r="F505" t="s">
        <v>7</v>
      </c>
      <c r="G505" t="s">
        <v>2750</v>
      </c>
      <c r="H505">
        <v>15</v>
      </c>
      <c r="I505">
        <f t="shared" si="9"/>
        <v>19</v>
      </c>
    </row>
    <row r="506" spans="1:9">
      <c r="A506" s="1">
        <v>42832.420138888891</v>
      </c>
      <c r="B506" s="19">
        <v>42450</v>
      </c>
      <c r="C506" s="21">
        <v>0.63055555555555554</v>
      </c>
      <c r="D506" s="20" t="s">
        <v>3042</v>
      </c>
      <c r="E506" t="s">
        <v>6</v>
      </c>
      <c r="F506" t="s">
        <v>15</v>
      </c>
      <c r="G506" t="s">
        <v>2751</v>
      </c>
      <c r="H506">
        <v>33</v>
      </c>
      <c r="I506">
        <f t="shared" si="9"/>
        <v>41</v>
      </c>
    </row>
    <row r="507" spans="1:9">
      <c r="A507" s="1">
        <v>42832.293055555558</v>
      </c>
      <c r="B507" s="19">
        <v>42450</v>
      </c>
      <c r="C507" s="21">
        <v>0.61875000000000002</v>
      </c>
      <c r="D507" s="20" t="s">
        <v>3040</v>
      </c>
      <c r="E507" t="s">
        <v>2</v>
      </c>
      <c r="F507" t="s">
        <v>48</v>
      </c>
      <c r="G507" t="s">
        <v>2752</v>
      </c>
      <c r="H507">
        <v>10</v>
      </c>
      <c r="I507">
        <f t="shared" si="9"/>
        <v>13</v>
      </c>
    </row>
    <row r="508" spans="1:9">
      <c r="A508" s="1">
        <v>42832.282638888886</v>
      </c>
      <c r="B508" s="19">
        <v>42450</v>
      </c>
      <c r="C508" s="21">
        <v>0.44930555555555557</v>
      </c>
      <c r="D508" s="20" t="s">
        <v>3036</v>
      </c>
      <c r="E508" t="s">
        <v>2</v>
      </c>
      <c r="F508" t="s">
        <v>48</v>
      </c>
      <c r="G508" t="s">
        <v>2398</v>
      </c>
      <c r="H508">
        <v>13</v>
      </c>
      <c r="I508">
        <f t="shared" si="9"/>
        <v>17</v>
      </c>
    </row>
    <row r="509" spans="1:9">
      <c r="A509" s="1">
        <v>42832.252083333333</v>
      </c>
      <c r="B509" s="19">
        <v>42450</v>
      </c>
      <c r="C509" s="21">
        <v>0.43402777777777779</v>
      </c>
      <c r="D509" s="20" t="s">
        <v>3036</v>
      </c>
      <c r="E509" t="s">
        <v>6</v>
      </c>
      <c r="F509" t="s">
        <v>15</v>
      </c>
      <c r="G509" t="s">
        <v>2754</v>
      </c>
      <c r="H509">
        <v>13</v>
      </c>
      <c r="I509">
        <f t="shared" si="9"/>
        <v>17</v>
      </c>
    </row>
    <row r="510" spans="1:9">
      <c r="A510" s="1">
        <v>42831.625</v>
      </c>
      <c r="B510" s="19">
        <v>42450</v>
      </c>
      <c r="C510" s="21">
        <v>0.34166666666666667</v>
      </c>
      <c r="D510" s="20" t="s">
        <v>3034</v>
      </c>
      <c r="E510" t="s">
        <v>6</v>
      </c>
      <c r="F510" t="s">
        <v>46</v>
      </c>
      <c r="G510" t="s">
        <v>2755</v>
      </c>
      <c r="H510">
        <v>31</v>
      </c>
      <c r="I510">
        <f t="shared" si="9"/>
        <v>39</v>
      </c>
    </row>
    <row r="511" spans="1:9">
      <c r="A511" s="1">
        <v>42831.585416666669</v>
      </c>
      <c r="B511" s="19">
        <v>42450</v>
      </c>
      <c r="C511" s="21">
        <v>0.33402777777777776</v>
      </c>
      <c r="D511" s="20" t="s">
        <v>3034</v>
      </c>
      <c r="E511" t="s">
        <v>6</v>
      </c>
      <c r="F511" t="s">
        <v>15</v>
      </c>
      <c r="G511" t="s">
        <v>2756</v>
      </c>
      <c r="H511">
        <v>10</v>
      </c>
      <c r="I511">
        <f t="shared" si="9"/>
        <v>13</v>
      </c>
    </row>
    <row r="512" spans="1:9">
      <c r="A512" s="1">
        <v>42831.526388888888</v>
      </c>
      <c r="B512" s="19">
        <v>42451</v>
      </c>
      <c r="C512" s="21">
        <v>0.90833333333333333</v>
      </c>
      <c r="D512" s="20" t="s">
        <v>3048</v>
      </c>
      <c r="E512" t="s">
        <v>0</v>
      </c>
      <c r="F512" t="s">
        <v>10</v>
      </c>
      <c r="G512" t="s">
        <v>965</v>
      </c>
      <c r="H512">
        <v>13</v>
      </c>
      <c r="I512">
        <f t="shared" si="9"/>
        <v>17</v>
      </c>
    </row>
    <row r="513" spans="1:9">
      <c r="A513" s="1">
        <v>42831.526388888888</v>
      </c>
      <c r="B513" s="19">
        <v>42451</v>
      </c>
      <c r="C513" s="21">
        <v>0.87638888888888888</v>
      </c>
      <c r="D513" s="20" t="s">
        <v>3048</v>
      </c>
      <c r="E513" t="s">
        <v>0</v>
      </c>
      <c r="F513" t="s">
        <v>313</v>
      </c>
      <c r="G513" t="s">
        <v>2691</v>
      </c>
      <c r="H513">
        <v>3</v>
      </c>
      <c r="I513">
        <f t="shared" si="9"/>
        <v>4</v>
      </c>
    </row>
    <row r="514" spans="1:9">
      <c r="A514" s="1">
        <v>42831.511805555558</v>
      </c>
      <c r="B514" s="19">
        <v>42451</v>
      </c>
      <c r="C514" s="21">
        <v>0.85138888888888886</v>
      </c>
      <c r="D514" s="20" t="s">
        <v>3047</v>
      </c>
      <c r="E514" t="s">
        <v>0</v>
      </c>
      <c r="F514" t="s">
        <v>313</v>
      </c>
      <c r="G514" t="s">
        <v>2691</v>
      </c>
      <c r="H514">
        <v>3</v>
      </c>
      <c r="I514">
        <f t="shared" si="9"/>
        <v>4</v>
      </c>
    </row>
    <row r="515" spans="1:9">
      <c r="A515" s="1">
        <v>42831.511805555558</v>
      </c>
      <c r="B515" s="19">
        <v>42451</v>
      </c>
      <c r="C515" s="21">
        <v>0.85138888888888886</v>
      </c>
      <c r="D515" s="20" t="s">
        <v>3047</v>
      </c>
      <c r="E515" t="s">
        <v>0</v>
      </c>
      <c r="F515" t="s">
        <v>313</v>
      </c>
      <c r="G515" t="s">
        <v>2688</v>
      </c>
      <c r="H515">
        <v>4</v>
      </c>
      <c r="I515">
        <f t="shared" ref="I515:I578" si="10">ROUNDUP((H515*1.24), 0)</f>
        <v>5</v>
      </c>
    </row>
    <row r="516" spans="1:9">
      <c r="A516" s="1">
        <v>42831.510416666664</v>
      </c>
      <c r="B516" s="19">
        <v>42451</v>
      </c>
      <c r="C516" s="21">
        <v>0.77430555555555558</v>
      </c>
      <c r="D516" s="20" t="s">
        <v>3045</v>
      </c>
      <c r="E516" t="s">
        <v>0</v>
      </c>
      <c r="F516" t="s">
        <v>313</v>
      </c>
      <c r="G516" t="s">
        <v>2688</v>
      </c>
      <c r="H516">
        <v>4</v>
      </c>
      <c r="I516">
        <f t="shared" si="10"/>
        <v>5</v>
      </c>
    </row>
    <row r="517" spans="1:9">
      <c r="A517" s="1">
        <v>42831.510416666664</v>
      </c>
      <c r="B517" s="19">
        <v>42451</v>
      </c>
      <c r="C517" s="21">
        <v>0.72430555555555554</v>
      </c>
      <c r="D517" s="20" t="s">
        <v>3044</v>
      </c>
      <c r="E517" t="s">
        <v>149</v>
      </c>
      <c r="G517" t="s">
        <v>2742</v>
      </c>
      <c r="H517">
        <v>3</v>
      </c>
      <c r="I517">
        <f t="shared" si="10"/>
        <v>4</v>
      </c>
    </row>
    <row r="518" spans="1:9">
      <c r="A518" s="1">
        <v>42831.393055555556</v>
      </c>
      <c r="B518" s="19">
        <v>42451</v>
      </c>
      <c r="C518" s="21">
        <v>0.68263888888888891</v>
      </c>
      <c r="D518" s="20" t="s">
        <v>3043</v>
      </c>
      <c r="E518" t="s">
        <v>0</v>
      </c>
      <c r="F518" t="s">
        <v>313</v>
      </c>
      <c r="G518" t="s">
        <v>2691</v>
      </c>
      <c r="H518">
        <v>3</v>
      </c>
      <c r="I518">
        <f t="shared" si="10"/>
        <v>4</v>
      </c>
    </row>
    <row r="519" spans="1:9">
      <c r="A519" s="1">
        <v>42831.393055555556</v>
      </c>
      <c r="B519" s="19">
        <v>42451</v>
      </c>
      <c r="C519" s="21">
        <v>0.62013888888888891</v>
      </c>
      <c r="D519" s="20" t="s">
        <v>3040</v>
      </c>
      <c r="E519" t="s">
        <v>0</v>
      </c>
      <c r="F519" t="s">
        <v>313</v>
      </c>
      <c r="G519" t="s">
        <v>2688</v>
      </c>
      <c r="H519">
        <v>4</v>
      </c>
      <c r="I519">
        <f t="shared" si="10"/>
        <v>5</v>
      </c>
    </row>
    <row r="520" spans="1:9">
      <c r="A520" s="1">
        <v>42831.320833333331</v>
      </c>
      <c r="B520" s="19">
        <v>42451</v>
      </c>
      <c r="C520" s="21">
        <v>0.62013888888888891</v>
      </c>
      <c r="D520" s="20" t="s">
        <v>3040</v>
      </c>
      <c r="E520" t="s">
        <v>0</v>
      </c>
      <c r="F520" t="s">
        <v>313</v>
      </c>
      <c r="G520" t="s">
        <v>2688</v>
      </c>
      <c r="H520">
        <v>4</v>
      </c>
      <c r="I520">
        <f t="shared" si="10"/>
        <v>5</v>
      </c>
    </row>
    <row r="521" spans="1:9">
      <c r="A521" s="1">
        <v>42831.320833333331</v>
      </c>
      <c r="B521" s="19">
        <v>42451</v>
      </c>
      <c r="C521" s="21">
        <v>0.62013888888888891</v>
      </c>
      <c r="D521" s="20" t="s">
        <v>3040</v>
      </c>
      <c r="E521" t="s">
        <v>0</v>
      </c>
      <c r="F521" t="s">
        <v>313</v>
      </c>
      <c r="G521" t="s">
        <v>2688</v>
      </c>
      <c r="H521">
        <v>4</v>
      </c>
      <c r="I521">
        <f t="shared" si="10"/>
        <v>5</v>
      </c>
    </row>
    <row r="522" spans="1:9">
      <c r="A522" s="1">
        <v>42831.306944444441</v>
      </c>
      <c r="B522" s="19">
        <v>42451</v>
      </c>
      <c r="C522" s="21">
        <v>0.61944444444444446</v>
      </c>
      <c r="D522" s="20" t="s">
        <v>3040</v>
      </c>
      <c r="E522" t="s">
        <v>0</v>
      </c>
      <c r="F522" t="s">
        <v>10</v>
      </c>
      <c r="G522" t="s">
        <v>2358</v>
      </c>
      <c r="H522">
        <v>13</v>
      </c>
      <c r="I522">
        <f t="shared" si="10"/>
        <v>17</v>
      </c>
    </row>
    <row r="523" spans="1:9">
      <c r="A523" s="1">
        <v>42831.306944444441</v>
      </c>
      <c r="B523" s="19">
        <v>42451</v>
      </c>
      <c r="C523" s="21">
        <v>0.61944444444444446</v>
      </c>
      <c r="D523" s="20" t="s">
        <v>3040</v>
      </c>
      <c r="E523" t="s">
        <v>0</v>
      </c>
      <c r="F523" t="s">
        <v>10</v>
      </c>
      <c r="G523" t="s">
        <v>2358</v>
      </c>
      <c r="H523">
        <v>13</v>
      </c>
      <c r="I523">
        <f t="shared" si="10"/>
        <v>17</v>
      </c>
    </row>
    <row r="524" spans="1:9">
      <c r="A524" s="1">
        <v>42831.275000000001</v>
      </c>
      <c r="B524" s="19">
        <v>42451</v>
      </c>
      <c r="C524" s="21">
        <v>0.61944444444444446</v>
      </c>
      <c r="D524" s="20" t="s">
        <v>3040</v>
      </c>
      <c r="E524" t="s">
        <v>0</v>
      </c>
      <c r="F524" t="s">
        <v>10</v>
      </c>
      <c r="G524" t="s">
        <v>2358</v>
      </c>
      <c r="H524">
        <v>13</v>
      </c>
      <c r="I524">
        <f t="shared" si="10"/>
        <v>17</v>
      </c>
    </row>
    <row r="525" spans="1:9">
      <c r="A525" s="1">
        <v>42831.275000000001</v>
      </c>
      <c r="B525" s="19">
        <v>42451</v>
      </c>
      <c r="C525" s="21">
        <v>0.44305555555555554</v>
      </c>
      <c r="D525" s="20" t="s">
        <v>3036</v>
      </c>
      <c r="E525" t="s">
        <v>77</v>
      </c>
      <c r="F525" t="s">
        <v>78</v>
      </c>
      <c r="G525" t="s">
        <v>1583</v>
      </c>
      <c r="H525">
        <v>4</v>
      </c>
      <c r="I525">
        <f t="shared" si="10"/>
        <v>5</v>
      </c>
    </row>
    <row r="526" spans="1:9">
      <c r="A526" s="1">
        <v>42831.262499999997</v>
      </c>
      <c r="B526" s="19">
        <v>42451</v>
      </c>
      <c r="C526" s="21">
        <v>0.39791666666666664</v>
      </c>
      <c r="D526" s="20" t="s">
        <v>3035</v>
      </c>
      <c r="E526" t="s">
        <v>0</v>
      </c>
      <c r="G526" t="s">
        <v>2744</v>
      </c>
      <c r="H526">
        <v>10</v>
      </c>
      <c r="I526">
        <f t="shared" si="10"/>
        <v>13</v>
      </c>
    </row>
    <row r="527" spans="1:9">
      <c r="A527" s="1">
        <v>42831.262499999997</v>
      </c>
      <c r="B527" s="19">
        <v>42451</v>
      </c>
      <c r="C527" s="21">
        <v>0.39513888888888887</v>
      </c>
      <c r="D527" s="20" t="s">
        <v>3035</v>
      </c>
      <c r="E527" t="s">
        <v>18</v>
      </c>
      <c r="G527" t="s">
        <v>19</v>
      </c>
      <c r="H527">
        <v>7</v>
      </c>
      <c r="I527">
        <f t="shared" si="10"/>
        <v>9</v>
      </c>
    </row>
    <row r="528" spans="1:9">
      <c r="A528" s="1">
        <v>42831.921527777777</v>
      </c>
      <c r="B528" s="19">
        <v>42451</v>
      </c>
      <c r="C528" s="21">
        <v>0.18472222222222223</v>
      </c>
      <c r="D528" s="20" t="s">
        <v>3054</v>
      </c>
      <c r="E528" t="s">
        <v>0</v>
      </c>
      <c r="F528" t="s">
        <v>313</v>
      </c>
      <c r="G528" t="s">
        <v>2745</v>
      </c>
      <c r="H528">
        <v>7</v>
      </c>
      <c r="I528">
        <f t="shared" si="10"/>
        <v>9</v>
      </c>
    </row>
    <row r="529" spans="1:9">
      <c r="A529" s="1">
        <v>42831.92083333333</v>
      </c>
      <c r="B529" s="19">
        <v>42451</v>
      </c>
      <c r="C529" s="21">
        <v>0.18194444444444444</v>
      </c>
      <c r="D529" s="20" t="s">
        <v>3054</v>
      </c>
      <c r="E529" t="s">
        <v>0</v>
      </c>
      <c r="F529" t="s">
        <v>313</v>
      </c>
      <c r="G529" t="s">
        <v>2746</v>
      </c>
      <c r="H529">
        <v>3</v>
      </c>
      <c r="I529">
        <f t="shared" si="10"/>
        <v>4</v>
      </c>
    </row>
    <row r="530" spans="1:9">
      <c r="A530" s="1">
        <v>42831.912499999999</v>
      </c>
      <c r="B530" s="19">
        <v>42451</v>
      </c>
      <c r="C530" s="21">
        <v>0.14166666666666666</v>
      </c>
      <c r="D530" s="20" t="s">
        <v>3053</v>
      </c>
      <c r="E530" t="s">
        <v>0</v>
      </c>
      <c r="F530" t="s">
        <v>313</v>
      </c>
      <c r="G530" t="s">
        <v>2672</v>
      </c>
      <c r="H530">
        <v>3</v>
      </c>
      <c r="I530">
        <f t="shared" si="10"/>
        <v>4</v>
      </c>
    </row>
    <row r="531" spans="1:9">
      <c r="A531" s="1">
        <v>42831.722222222219</v>
      </c>
      <c r="B531" s="19">
        <v>42451</v>
      </c>
      <c r="C531" s="21">
        <v>0.11597222222222223</v>
      </c>
      <c r="D531" s="20" t="s">
        <v>3052</v>
      </c>
      <c r="E531" t="s">
        <v>0</v>
      </c>
      <c r="F531" t="s">
        <v>313</v>
      </c>
      <c r="G531" t="s">
        <v>2672</v>
      </c>
      <c r="H531">
        <v>2</v>
      </c>
      <c r="I531">
        <f t="shared" si="10"/>
        <v>3</v>
      </c>
    </row>
    <row r="532" spans="1:9">
      <c r="A532" s="1">
        <v>42831.590277777781</v>
      </c>
      <c r="B532" s="19">
        <v>42451</v>
      </c>
      <c r="C532" s="21">
        <v>4.2361111111111113E-2</v>
      </c>
      <c r="D532" s="20" t="s">
        <v>3051</v>
      </c>
      <c r="E532" t="s">
        <v>0</v>
      </c>
      <c r="F532" t="s">
        <v>313</v>
      </c>
      <c r="G532" t="s">
        <v>2682</v>
      </c>
      <c r="H532">
        <v>3</v>
      </c>
      <c r="I532">
        <f t="shared" si="10"/>
        <v>4</v>
      </c>
    </row>
    <row r="533" spans="1:9">
      <c r="A533" s="1">
        <v>42831.508333333331</v>
      </c>
      <c r="B533" s="19">
        <v>42451</v>
      </c>
      <c r="C533" s="21">
        <v>0.84375</v>
      </c>
      <c r="D533" s="20" t="s">
        <v>3047</v>
      </c>
      <c r="E533" t="s">
        <v>6</v>
      </c>
      <c r="F533" t="s">
        <v>273</v>
      </c>
      <c r="G533" t="s">
        <v>2741</v>
      </c>
      <c r="H533">
        <v>7</v>
      </c>
      <c r="I533">
        <f t="shared" si="10"/>
        <v>9</v>
      </c>
    </row>
    <row r="534" spans="1:9">
      <c r="A534" s="1">
        <v>42831.508333333331</v>
      </c>
      <c r="B534" s="19">
        <v>42451</v>
      </c>
      <c r="C534" s="21">
        <v>0.77638888888888891</v>
      </c>
      <c r="D534" s="20" t="s">
        <v>3045</v>
      </c>
      <c r="E534" t="s">
        <v>6</v>
      </c>
      <c r="F534" t="s">
        <v>12</v>
      </c>
      <c r="G534" t="s">
        <v>1675</v>
      </c>
      <c r="H534">
        <v>7</v>
      </c>
      <c r="I534">
        <f t="shared" si="10"/>
        <v>9</v>
      </c>
    </row>
    <row r="535" spans="1:9">
      <c r="A535" s="1">
        <v>42831.397916666669</v>
      </c>
      <c r="B535" s="19">
        <v>42451</v>
      </c>
      <c r="C535" s="21">
        <v>0.64583333333333337</v>
      </c>
      <c r="D535" s="20" t="s">
        <v>3042</v>
      </c>
      <c r="E535" t="s">
        <v>6</v>
      </c>
      <c r="F535" t="s">
        <v>273</v>
      </c>
      <c r="G535" t="s">
        <v>2743</v>
      </c>
      <c r="H535">
        <v>7</v>
      </c>
      <c r="I535">
        <f t="shared" si="10"/>
        <v>9</v>
      </c>
    </row>
    <row r="536" spans="1:9">
      <c r="A536" s="1">
        <v>42831.397916666669</v>
      </c>
      <c r="B536" s="19">
        <v>42451</v>
      </c>
      <c r="C536" s="21">
        <v>0.27291666666666664</v>
      </c>
      <c r="D536" s="20" t="s">
        <v>3031</v>
      </c>
      <c r="E536" t="s">
        <v>6</v>
      </c>
      <c r="F536" t="s">
        <v>15</v>
      </c>
      <c r="G536" t="s">
        <v>475</v>
      </c>
      <c r="H536">
        <v>13</v>
      </c>
      <c r="I536">
        <f t="shared" si="10"/>
        <v>17</v>
      </c>
    </row>
    <row r="537" spans="1:9">
      <c r="A537" s="1">
        <v>42831.334027777775</v>
      </c>
      <c r="B537" s="19">
        <v>42452</v>
      </c>
      <c r="C537" s="21">
        <v>0.97986111111111107</v>
      </c>
      <c r="D537" s="20" t="s">
        <v>3063</v>
      </c>
      <c r="E537" t="s">
        <v>0</v>
      </c>
      <c r="F537" t="s">
        <v>313</v>
      </c>
      <c r="G537" t="s">
        <v>2672</v>
      </c>
      <c r="H537">
        <v>2</v>
      </c>
      <c r="I537">
        <f t="shared" si="10"/>
        <v>3</v>
      </c>
    </row>
    <row r="538" spans="1:9">
      <c r="A538" s="1">
        <v>42831.334027777775</v>
      </c>
      <c r="B538" s="19">
        <v>42452</v>
      </c>
      <c r="C538" s="21">
        <v>0.90208333333333335</v>
      </c>
      <c r="D538" s="20" t="s">
        <v>3048</v>
      </c>
      <c r="E538" t="s">
        <v>0</v>
      </c>
      <c r="F538" t="s">
        <v>10</v>
      </c>
      <c r="G538" t="s">
        <v>2726</v>
      </c>
      <c r="H538">
        <v>13</v>
      </c>
      <c r="I538">
        <f t="shared" si="10"/>
        <v>17</v>
      </c>
    </row>
    <row r="539" spans="1:9">
      <c r="A539" s="1">
        <v>42831.32916666667</v>
      </c>
      <c r="B539" s="19">
        <v>42452</v>
      </c>
      <c r="C539" s="21">
        <v>0.8833333333333333</v>
      </c>
      <c r="D539" s="20" t="s">
        <v>3048</v>
      </c>
      <c r="E539" t="s">
        <v>0</v>
      </c>
      <c r="F539" t="s">
        <v>313</v>
      </c>
      <c r="G539" t="s">
        <v>2688</v>
      </c>
      <c r="H539">
        <v>4</v>
      </c>
      <c r="I539">
        <f t="shared" si="10"/>
        <v>5</v>
      </c>
    </row>
    <row r="540" spans="1:9">
      <c r="A540" s="1">
        <v>42831.32916666667</v>
      </c>
      <c r="B540" s="19">
        <v>42452</v>
      </c>
      <c r="C540" s="21">
        <v>0.86736111111111114</v>
      </c>
      <c r="D540" s="20" t="s">
        <v>3047</v>
      </c>
      <c r="E540" t="s">
        <v>18</v>
      </c>
      <c r="F540" t="s">
        <v>19</v>
      </c>
      <c r="G540" t="s">
        <v>2624</v>
      </c>
      <c r="H540">
        <v>4</v>
      </c>
      <c r="I540">
        <f t="shared" si="10"/>
        <v>5</v>
      </c>
    </row>
    <row r="541" spans="1:9">
      <c r="A541" s="1">
        <v>42831.291666666664</v>
      </c>
      <c r="B541" s="19">
        <v>42452</v>
      </c>
      <c r="C541" s="21">
        <v>0.8618055555555556</v>
      </c>
      <c r="D541" s="20" t="s">
        <v>3047</v>
      </c>
      <c r="E541" t="s">
        <v>0</v>
      </c>
      <c r="F541" t="s">
        <v>75</v>
      </c>
      <c r="G541" t="s">
        <v>2607</v>
      </c>
      <c r="H541">
        <v>3</v>
      </c>
      <c r="I541">
        <f t="shared" si="10"/>
        <v>4</v>
      </c>
    </row>
    <row r="542" spans="1:9">
      <c r="A542" s="1">
        <v>42831.291666666664</v>
      </c>
      <c r="B542" s="19">
        <v>42452</v>
      </c>
      <c r="C542" s="21">
        <v>0.8569444444444444</v>
      </c>
      <c r="D542" s="20" t="s">
        <v>3047</v>
      </c>
      <c r="E542" t="s">
        <v>0</v>
      </c>
      <c r="F542" t="s">
        <v>313</v>
      </c>
      <c r="G542" t="s">
        <v>2687</v>
      </c>
      <c r="H542">
        <v>3</v>
      </c>
      <c r="I542">
        <f t="shared" si="10"/>
        <v>4</v>
      </c>
    </row>
    <row r="543" spans="1:9">
      <c r="A543" s="1">
        <v>42831.25</v>
      </c>
      <c r="B543" s="19">
        <v>42452</v>
      </c>
      <c r="C543" s="21">
        <v>0.84652777777777777</v>
      </c>
      <c r="D543" s="20" t="s">
        <v>3047</v>
      </c>
      <c r="E543" t="s">
        <v>0</v>
      </c>
      <c r="F543" t="s">
        <v>313</v>
      </c>
      <c r="G543" t="s">
        <v>2727</v>
      </c>
      <c r="H543">
        <v>4</v>
      </c>
      <c r="I543">
        <f t="shared" si="10"/>
        <v>5</v>
      </c>
    </row>
    <row r="544" spans="1:9">
      <c r="A544" s="1">
        <v>42831.25</v>
      </c>
      <c r="B544" s="19">
        <v>42452</v>
      </c>
      <c r="C544" s="21">
        <v>0.66388888888888886</v>
      </c>
      <c r="D544" s="20" t="s">
        <v>3042</v>
      </c>
      <c r="E544" t="s">
        <v>0</v>
      </c>
      <c r="F544" t="s">
        <v>1</v>
      </c>
      <c r="G544" t="s">
        <v>2729</v>
      </c>
      <c r="H544">
        <v>5</v>
      </c>
      <c r="I544">
        <f t="shared" si="10"/>
        <v>7</v>
      </c>
    </row>
    <row r="545" spans="1:9">
      <c r="A545" s="1">
        <v>42830.974999999999</v>
      </c>
      <c r="B545" s="19">
        <v>42452</v>
      </c>
      <c r="C545" s="21">
        <v>0.65277777777777779</v>
      </c>
      <c r="D545" s="20" t="s">
        <v>3042</v>
      </c>
      <c r="E545" t="s">
        <v>149</v>
      </c>
      <c r="F545" t="s">
        <v>150</v>
      </c>
      <c r="G545" t="s">
        <v>2730</v>
      </c>
      <c r="H545">
        <v>8</v>
      </c>
      <c r="I545">
        <f t="shared" si="10"/>
        <v>10</v>
      </c>
    </row>
    <row r="546" spans="1:9">
      <c r="A546" s="1">
        <v>42830.710416666669</v>
      </c>
      <c r="B546" s="19">
        <v>42452</v>
      </c>
      <c r="C546" s="21">
        <v>0.65138888888888891</v>
      </c>
      <c r="D546" s="20" t="s">
        <v>3042</v>
      </c>
      <c r="E546" t="s">
        <v>0</v>
      </c>
      <c r="F546" t="s">
        <v>313</v>
      </c>
      <c r="G546" t="s">
        <v>2687</v>
      </c>
      <c r="H546">
        <v>2</v>
      </c>
      <c r="I546">
        <f t="shared" si="10"/>
        <v>3</v>
      </c>
    </row>
    <row r="547" spans="1:9">
      <c r="A547" s="1">
        <v>42830.465277777781</v>
      </c>
      <c r="B547" s="19">
        <v>42452</v>
      </c>
      <c r="C547" s="21">
        <v>0.58611111111111114</v>
      </c>
      <c r="D547" s="20" t="s">
        <v>3040</v>
      </c>
      <c r="E547" t="s">
        <v>33</v>
      </c>
      <c r="G547" t="s">
        <v>2731</v>
      </c>
      <c r="H547">
        <v>3</v>
      </c>
      <c r="I547">
        <f t="shared" si="10"/>
        <v>4</v>
      </c>
    </row>
    <row r="548" spans="1:9">
      <c r="A548" s="1">
        <v>42830.365972222222</v>
      </c>
      <c r="B548" s="19">
        <v>42452</v>
      </c>
      <c r="C548" s="21">
        <v>0.51458333333333328</v>
      </c>
      <c r="D548" s="20" t="s">
        <v>3038</v>
      </c>
      <c r="E548" t="s">
        <v>18</v>
      </c>
      <c r="F548" t="s">
        <v>71</v>
      </c>
      <c r="G548" t="s">
        <v>2732</v>
      </c>
      <c r="H548">
        <v>38</v>
      </c>
      <c r="I548">
        <f t="shared" si="10"/>
        <v>48</v>
      </c>
    </row>
    <row r="549" spans="1:9">
      <c r="A549" s="1">
        <v>42830.362500000003</v>
      </c>
      <c r="B549" s="19">
        <v>42452</v>
      </c>
      <c r="C549" s="21">
        <v>0.33333333333333331</v>
      </c>
      <c r="D549" s="20" t="s">
        <v>3034</v>
      </c>
      <c r="E549" t="s">
        <v>0</v>
      </c>
      <c r="G549" t="s">
        <v>2737</v>
      </c>
      <c r="H549">
        <v>75</v>
      </c>
      <c r="I549">
        <f t="shared" si="10"/>
        <v>93</v>
      </c>
    </row>
    <row r="550" spans="1:9">
      <c r="A550" s="1">
        <v>42830.21597222222</v>
      </c>
      <c r="B550" s="19">
        <v>42452</v>
      </c>
      <c r="C550" s="21">
        <v>0.28472222222222221</v>
      </c>
      <c r="D550" s="20" t="s">
        <v>3031</v>
      </c>
      <c r="E550" t="s">
        <v>0</v>
      </c>
      <c r="F550" t="s">
        <v>313</v>
      </c>
      <c r="G550" t="s">
        <v>2739</v>
      </c>
      <c r="H550">
        <v>7</v>
      </c>
      <c r="I550">
        <f t="shared" si="10"/>
        <v>9</v>
      </c>
    </row>
    <row r="551" spans="1:9">
      <c r="A551" s="1">
        <v>42830.041666666664</v>
      </c>
      <c r="B551" s="19">
        <v>42452</v>
      </c>
      <c r="C551" s="21">
        <v>0.72916666666666663</v>
      </c>
      <c r="D551" s="20" t="s">
        <v>3044</v>
      </c>
      <c r="E551" t="s">
        <v>6</v>
      </c>
      <c r="F551" t="s">
        <v>12</v>
      </c>
      <c r="G551" t="s">
        <v>65</v>
      </c>
      <c r="H551">
        <v>3</v>
      </c>
      <c r="I551">
        <f t="shared" si="10"/>
        <v>4</v>
      </c>
    </row>
    <row r="552" spans="1:9">
      <c r="A552" s="1">
        <v>42830.041666666664</v>
      </c>
      <c r="B552" s="19">
        <v>42452</v>
      </c>
      <c r="C552" s="21">
        <v>0.72638888888888886</v>
      </c>
      <c r="D552" s="20" t="s">
        <v>3044</v>
      </c>
      <c r="E552" t="s">
        <v>6</v>
      </c>
      <c r="F552" t="s">
        <v>12</v>
      </c>
      <c r="G552" t="s">
        <v>2728</v>
      </c>
      <c r="H552">
        <v>4</v>
      </c>
      <c r="I552">
        <f t="shared" si="10"/>
        <v>5</v>
      </c>
    </row>
    <row r="553" spans="1:9">
      <c r="A553" s="1">
        <v>42830.918055555558</v>
      </c>
      <c r="B553" s="19">
        <v>42452</v>
      </c>
      <c r="C553" s="21">
        <v>0.72569444444444442</v>
      </c>
      <c r="D553" s="20" t="s">
        <v>3044</v>
      </c>
      <c r="E553" t="s">
        <v>6</v>
      </c>
      <c r="F553" t="s">
        <v>46</v>
      </c>
      <c r="G553" t="s">
        <v>65</v>
      </c>
      <c r="H553">
        <v>7</v>
      </c>
      <c r="I553">
        <f t="shared" si="10"/>
        <v>9</v>
      </c>
    </row>
    <row r="554" spans="1:9">
      <c r="A554" s="1">
        <v>42830.918055555558</v>
      </c>
      <c r="B554" s="19">
        <v>42452</v>
      </c>
      <c r="C554" s="21">
        <v>0.6118055555555556</v>
      </c>
      <c r="D554" s="20" t="s">
        <v>3040</v>
      </c>
      <c r="E554" t="s">
        <v>6</v>
      </c>
      <c r="F554" t="s">
        <v>26</v>
      </c>
      <c r="G554" t="s">
        <v>453</v>
      </c>
      <c r="H554">
        <v>7</v>
      </c>
      <c r="I554">
        <f t="shared" si="10"/>
        <v>9</v>
      </c>
    </row>
    <row r="555" spans="1:9">
      <c r="A555" s="1">
        <v>42830.909722222219</v>
      </c>
      <c r="B555" s="19">
        <v>42452</v>
      </c>
      <c r="C555" s="21">
        <v>0.45902777777777776</v>
      </c>
      <c r="D555" s="20" t="s">
        <v>3037</v>
      </c>
      <c r="E555" t="s">
        <v>6</v>
      </c>
      <c r="F555" t="s">
        <v>15</v>
      </c>
      <c r="G555" t="s">
        <v>2733</v>
      </c>
      <c r="H555">
        <v>56</v>
      </c>
      <c r="I555">
        <f t="shared" si="10"/>
        <v>70</v>
      </c>
    </row>
    <row r="556" spans="1:9">
      <c r="A556" s="1">
        <v>42830.606249999997</v>
      </c>
      <c r="B556" s="19">
        <v>42452</v>
      </c>
      <c r="C556" s="21">
        <v>0.44861111111111113</v>
      </c>
      <c r="D556" s="20" t="s">
        <v>3036</v>
      </c>
      <c r="E556" t="s">
        <v>6</v>
      </c>
      <c r="F556" t="s">
        <v>15</v>
      </c>
      <c r="G556" t="s">
        <v>2733</v>
      </c>
      <c r="H556">
        <v>44</v>
      </c>
      <c r="I556">
        <f t="shared" si="10"/>
        <v>55</v>
      </c>
    </row>
    <row r="557" spans="1:9">
      <c r="A557" s="1">
        <v>42830.353472222225</v>
      </c>
      <c r="B557" s="19">
        <v>42452</v>
      </c>
      <c r="C557" s="21">
        <v>0.42152777777777778</v>
      </c>
      <c r="D557" s="20" t="s">
        <v>3036</v>
      </c>
      <c r="E557" t="s">
        <v>6</v>
      </c>
      <c r="F557" t="s">
        <v>26</v>
      </c>
      <c r="G557" t="s">
        <v>2734</v>
      </c>
      <c r="H557">
        <v>31</v>
      </c>
      <c r="I557">
        <f t="shared" si="10"/>
        <v>39</v>
      </c>
    </row>
    <row r="558" spans="1:9">
      <c r="A558" s="1">
        <v>42830.290277777778</v>
      </c>
      <c r="B558" s="19">
        <v>42452</v>
      </c>
      <c r="C558" s="21">
        <v>0.3972222222222222</v>
      </c>
      <c r="D558" s="20" t="s">
        <v>3035</v>
      </c>
      <c r="E558" t="s">
        <v>6</v>
      </c>
      <c r="F558" t="s">
        <v>26</v>
      </c>
      <c r="G558" t="s">
        <v>2735</v>
      </c>
      <c r="H558">
        <v>35</v>
      </c>
      <c r="I558">
        <f t="shared" si="10"/>
        <v>44</v>
      </c>
    </row>
    <row r="559" spans="1:9">
      <c r="A559" s="1">
        <v>42830.252083333333</v>
      </c>
      <c r="B559" s="19">
        <v>42452</v>
      </c>
      <c r="C559" s="21">
        <v>0.38194444444444442</v>
      </c>
      <c r="D559" s="20" t="s">
        <v>3035</v>
      </c>
      <c r="E559" t="s">
        <v>6</v>
      </c>
      <c r="F559" t="s">
        <v>15</v>
      </c>
      <c r="G559" t="s">
        <v>2736</v>
      </c>
      <c r="H559">
        <v>13</v>
      </c>
      <c r="I559">
        <f t="shared" si="10"/>
        <v>17</v>
      </c>
    </row>
    <row r="560" spans="1:9">
      <c r="A560" s="1">
        <v>42830.142361111109</v>
      </c>
      <c r="B560" s="19">
        <v>42452</v>
      </c>
      <c r="C560" s="21">
        <v>0.30277777777777776</v>
      </c>
      <c r="D560" s="20" t="s">
        <v>3033</v>
      </c>
      <c r="E560" t="s">
        <v>6</v>
      </c>
      <c r="F560" t="s">
        <v>26</v>
      </c>
      <c r="G560" t="s">
        <v>2738</v>
      </c>
      <c r="H560">
        <v>56</v>
      </c>
      <c r="I560">
        <f t="shared" si="10"/>
        <v>70</v>
      </c>
    </row>
    <row r="561" spans="1:9">
      <c r="A561" s="1">
        <v>42830.102777777778</v>
      </c>
      <c r="B561" s="19">
        <v>42452</v>
      </c>
      <c r="C561" s="21">
        <v>0.25486111111111109</v>
      </c>
      <c r="D561" s="20" t="s">
        <v>3031</v>
      </c>
      <c r="E561" t="s">
        <v>6</v>
      </c>
      <c r="F561" t="s">
        <v>15</v>
      </c>
      <c r="G561" t="s">
        <v>2740</v>
      </c>
      <c r="H561">
        <v>19</v>
      </c>
      <c r="I561">
        <f t="shared" si="10"/>
        <v>24</v>
      </c>
    </row>
    <row r="562" spans="1:9">
      <c r="A562" s="1">
        <v>42829.960416666669</v>
      </c>
      <c r="B562" s="19">
        <v>42453</v>
      </c>
      <c r="C562" s="21">
        <v>0.99930555555555556</v>
      </c>
      <c r="D562" s="20" t="s">
        <v>3063</v>
      </c>
      <c r="E562" t="s">
        <v>33</v>
      </c>
      <c r="F562" t="s">
        <v>44</v>
      </c>
      <c r="G562" t="s">
        <v>2703</v>
      </c>
      <c r="H562">
        <v>2</v>
      </c>
      <c r="I562">
        <f t="shared" si="10"/>
        <v>3</v>
      </c>
    </row>
    <row r="563" spans="1:9">
      <c r="A563" s="1">
        <v>42829.939583333333</v>
      </c>
      <c r="B563" s="19">
        <v>42453</v>
      </c>
      <c r="C563" s="21">
        <v>0.9868055555555556</v>
      </c>
      <c r="D563" s="20" t="s">
        <v>3063</v>
      </c>
      <c r="E563" t="s">
        <v>0</v>
      </c>
      <c r="F563" t="s">
        <v>313</v>
      </c>
      <c r="G563" t="s">
        <v>2672</v>
      </c>
      <c r="H563">
        <v>2</v>
      </c>
      <c r="I563">
        <f t="shared" si="10"/>
        <v>3</v>
      </c>
    </row>
    <row r="564" spans="1:9">
      <c r="A564" s="1">
        <v>42829.893750000003</v>
      </c>
      <c r="B564" s="19">
        <v>42453</v>
      </c>
      <c r="C564" s="21">
        <v>0.95694444444444449</v>
      </c>
      <c r="D564" s="20" t="s">
        <v>3049</v>
      </c>
      <c r="E564" t="s">
        <v>33</v>
      </c>
      <c r="F564" t="s">
        <v>44</v>
      </c>
      <c r="G564" t="s">
        <v>2704</v>
      </c>
      <c r="H564">
        <v>2</v>
      </c>
      <c r="I564">
        <f t="shared" si="10"/>
        <v>3</v>
      </c>
    </row>
    <row r="565" spans="1:9">
      <c r="A565" s="1">
        <v>42829.821527777778</v>
      </c>
      <c r="B565" s="19">
        <v>42453</v>
      </c>
      <c r="C565" s="21">
        <v>0.87986111111111109</v>
      </c>
      <c r="D565" s="20" t="s">
        <v>3048</v>
      </c>
      <c r="E565" t="s">
        <v>33</v>
      </c>
      <c r="F565" t="s">
        <v>44</v>
      </c>
      <c r="G565" t="s">
        <v>2705</v>
      </c>
      <c r="H565" t="e">
        <v>#VALUE!</v>
      </c>
      <c r="I565" t="e">
        <f t="shared" si="10"/>
        <v>#VALUE!</v>
      </c>
    </row>
    <row r="566" spans="1:9">
      <c r="A566" s="1">
        <v>42829.674305555556</v>
      </c>
      <c r="B566" s="19">
        <v>42453</v>
      </c>
      <c r="C566" s="21">
        <v>0.87361111111111112</v>
      </c>
      <c r="D566" s="20" t="s">
        <v>3047</v>
      </c>
      <c r="E566" t="s">
        <v>0</v>
      </c>
      <c r="F566" t="s">
        <v>313</v>
      </c>
      <c r="G566" t="s">
        <v>2691</v>
      </c>
      <c r="H566">
        <v>3</v>
      </c>
      <c r="I566">
        <f t="shared" si="10"/>
        <v>4</v>
      </c>
    </row>
    <row r="567" spans="1:9">
      <c r="A567" s="1">
        <v>42829.429166666669</v>
      </c>
      <c r="B567" s="19">
        <v>42453</v>
      </c>
      <c r="C567" s="21">
        <v>0.85972222222222228</v>
      </c>
      <c r="D567" s="20" t="s">
        <v>3047</v>
      </c>
      <c r="E567" t="s">
        <v>0</v>
      </c>
      <c r="F567" t="s">
        <v>313</v>
      </c>
      <c r="G567" t="s">
        <v>2688</v>
      </c>
      <c r="H567">
        <v>4</v>
      </c>
      <c r="I567">
        <f t="shared" si="10"/>
        <v>5</v>
      </c>
    </row>
    <row r="568" spans="1:9">
      <c r="A568" s="1">
        <v>42829.916666666664</v>
      </c>
      <c r="B568" s="19">
        <v>42453</v>
      </c>
      <c r="C568" s="21">
        <v>0.79861111111111116</v>
      </c>
      <c r="D568" s="20" t="s">
        <v>3046</v>
      </c>
      <c r="E568" t="s">
        <v>0</v>
      </c>
      <c r="F568" t="s">
        <v>313</v>
      </c>
      <c r="G568" t="s">
        <v>2691</v>
      </c>
      <c r="H568">
        <v>3</v>
      </c>
      <c r="I568">
        <f t="shared" si="10"/>
        <v>4</v>
      </c>
    </row>
    <row r="569" spans="1:9">
      <c r="A569" s="1">
        <v>42829.915277777778</v>
      </c>
      <c r="B569" s="19">
        <v>42453</v>
      </c>
      <c r="C569" s="21">
        <v>0.79791666666666672</v>
      </c>
      <c r="D569" s="20" t="s">
        <v>3046</v>
      </c>
      <c r="E569" t="s">
        <v>0</v>
      </c>
      <c r="F569" t="s">
        <v>313</v>
      </c>
      <c r="G569" t="s">
        <v>2688</v>
      </c>
      <c r="H569">
        <v>4</v>
      </c>
      <c r="I569">
        <f t="shared" si="10"/>
        <v>5</v>
      </c>
    </row>
    <row r="570" spans="1:9">
      <c r="A570" s="1">
        <v>42829.909722222219</v>
      </c>
      <c r="B570" s="19">
        <v>42453</v>
      </c>
      <c r="C570" s="21">
        <v>0.78680555555555554</v>
      </c>
      <c r="D570" s="20" t="s">
        <v>3045</v>
      </c>
      <c r="E570" t="s">
        <v>33</v>
      </c>
      <c r="F570" t="s">
        <v>155</v>
      </c>
      <c r="G570" t="s">
        <v>2709</v>
      </c>
      <c r="H570">
        <v>7</v>
      </c>
      <c r="I570">
        <f t="shared" si="10"/>
        <v>9</v>
      </c>
    </row>
    <row r="571" spans="1:9">
      <c r="A571" s="1">
        <v>42829.628472222219</v>
      </c>
      <c r="B571" s="19">
        <v>42453</v>
      </c>
      <c r="C571" s="21">
        <v>0.77708333333333335</v>
      </c>
      <c r="D571" s="20" t="s">
        <v>3045</v>
      </c>
      <c r="E571" t="s">
        <v>0</v>
      </c>
      <c r="F571" t="s">
        <v>75</v>
      </c>
      <c r="G571" t="s">
        <v>2607</v>
      </c>
      <c r="H571">
        <v>3</v>
      </c>
      <c r="I571">
        <f t="shared" si="10"/>
        <v>4</v>
      </c>
    </row>
    <row r="572" spans="1:9">
      <c r="A572" s="1">
        <v>42829.536111111112</v>
      </c>
      <c r="B572" s="19">
        <v>42453</v>
      </c>
      <c r="C572" s="21">
        <v>0.77430555555555558</v>
      </c>
      <c r="D572" s="20" t="s">
        <v>3045</v>
      </c>
      <c r="E572" t="s">
        <v>0</v>
      </c>
      <c r="F572" t="s">
        <v>313</v>
      </c>
      <c r="G572" t="s">
        <v>2691</v>
      </c>
      <c r="H572">
        <v>3</v>
      </c>
      <c r="I572">
        <f t="shared" si="10"/>
        <v>4</v>
      </c>
    </row>
    <row r="573" spans="1:9">
      <c r="A573" s="1">
        <v>42829.251388888886</v>
      </c>
      <c r="B573" s="19">
        <v>42453</v>
      </c>
      <c r="C573" s="21">
        <v>0.72152777777777777</v>
      </c>
      <c r="D573" s="20" t="s">
        <v>3044</v>
      </c>
      <c r="E573" t="s">
        <v>0</v>
      </c>
      <c r="F573" t="s">
        <v>313</v>
      </c>
      <c r="G573" t="s">
        <v>2691</v>
      </c>
      <c r="H573">
        <v>3</v>
      </c>
      <c r="I573">
        <f t="shared" si="10"/>
        <v>4</v>
      </c>
    </row>
    <row r="574" spans="1:9">
      <c r="A574" s="1">
        <v>42828.772916666669</v>
      </c>
      <c r="B574" s="19">
        <v>42453</v>
      </c>
      <c r="C574" s="21">
        <v>0.69513888888888886</v>
      </c>
      <c r="D574" s="20" t="s">
        <v>3043</v>
      </c>
      <c r="E574" t="s">
        <v>0</v>
      </c>
      <c r="F574" t="s">
        <v>313</v>
      </c>
      <c r="G574" t="s">
        <v>2688</v>
      </c>
      <c r="H574">
        <v>4</v>
      </c>
      <c r="I574">
        <f t="shared" si="10"/>
        <v>5</v>
      </c>
    </row>
    <row r="575" spans="1:9">
      <c r="A575" s="1">
        <v>42828.765972222223</v>
      </c>
      <c r="B575" s="19">
        <v>42453</v>
      </c>
      <c r="C575" s="21">
        <v>0.67500000000000004</v>
      </c>
      <c r="D575" s="20" t="s">
        <v>3043</v>
      </c>
      <c r="E575" t="s">
        <v>18</v>
      </c>
      <c r="F575" t="s">
        <v>71</v>
      </c>
      <c r="G575" t="s">
        <v>2711</v>
      </c>
      <c r="H575" t="e">
        <v>#VALUE!</v>
      </c>
      <c r="I575" t="e">
        <f t="shared" si="10"/>
        <v>#VALUE!</v>
      </c>
    </row>
    <row r="576" spans="1:9">
      <c r="A576" s="1">
        <v>42828.612500000003</v>
      </c>
      <c r="B576" s="19">
        <v>42453</v>
      </c>
      <c r="C576" s="21">
        <v>0.65555555555555556</v>
      </c>
      <c r="D576" s="20" t="s">
        <v>3042</v>
      </c>
      <c r="E576" t="s">
        <v>0</v>
      </c>
      <c r="F576" t="s">
        <v>313</v>
      </c>
      <c r="G576" t="s">
        <v>2691</v>
      </c>
      <c r="H576">
        <v>3</v>
      </c>
      <c r="I576">
        <f t="shared" si="10"/>
        <v>4</v>
      </c>
    </row>
    <row r="577" spans="1:9">
      <c r="A577" s="1">
        <v>42828.3</v>
      </c>
      <c r="B577" s="19">
        <v>42453</v>
      </c>
      <c r="C577" s="21">
        <v>0.62777777777777777</v>
      </c>
      <c r="D577" s="20" t="s">
        <v>3042</v>
      </c>
      <c r="E577" t="s">
        <v>77</v>
      </c>
      <c r="F577" t="s">
        <v>78</v>
      </c>
      <c r="G577" t="s">
        <v>2712</v>
      </c>
      <c r="H577">
        <v>4</v>
      </c>
      <c r="I577">
        <f t="shared" si="10"/>
        <v>5</v>
      </c>
    </row>
    <row r="578" spans="1:9">
      <c r="A578" s="1">
        <v>42828.28125</v>
      </c>
      <c r="B578" s="19">
        <v>42453</v>
      </c>
      <c r="C578" s="21">
        <v>0.61805555555555558</v>
      </c>
      <c r="D578" s="20" t="s">
        <v>3040</v>
      </c>
      <c r="E578" t="s">
        <v>0</v>
      </c>
      <c r="F578" t="s">
        <v>313</v>
      </c>
      <c r="G578" t="s">
        <v>2688</v>
      </c>
      <c r="H578">
        <v>4</v>
      </c>
      <c r="I578">
        <f t="shared" si="10"/>
        <v>5</v>
      </c>
    </row>
    <row r="579" spans="1:9">
      <c r="A579" s="1">
        <v>42828.982638888891</v>
      </c>
      <c r="B579" s="19">
        <v>42453</v>
      </c>
      <c r="C579" s="21">
        <v>0.60763888888888884</v>
      </c>
      <c r="D579" s="20" t="s">
        <v>3040</v>
      </c>
      <c r="E579" t="s">
        <v>18</v>
      </c>
      <c r="F579" t="s">
        <v>100</v>
      </c>
      <c r="G579" t="s">
        <v>2713</v>
      </c>
      <c r="H579" t="e">
        <v>#VALUE!</v>
      </c>
      <c r="I579" t="e">
        <f t="shared" ref="I579:I642" si="11">ROUNDUP((H579*1.24), 0)</f>
        <v>#VALUE!</v>
      </c>
    </row>
    <row r="580" spans="1:9">
      <c r="A580" s="1">
        <v>42828.918749999997</v>
      </c>
      <c r="B580" s="19">
        <v>42453</v>
      </c>
      <c r="C580" s="21">
        <v>0.5854166666666667</v>
      </c>
      <c r="D580" s="20" t="s">
        <v>3040</v>
      </c>
      <c r="E580" t="s">
        <v>0</v>
      </c>
      <c r="F580" t="s">
        <v>1</v>
      </c>
      <c r="G580" t="s">
        <v>2714</v>
      </c>
      <c r="H580">
        <v>5</v>
      </c>
      <c r="I580">
        <f t="shared" si="11"/>
        <v>7</v>
      </c>
    </row>
    <row r="581" spans="1:9">
      <c r="A581" s="1">
        <v>42828.917361111111</v>
      </c>
      <c r="B581" s="19">
        <v>42453</v>
      </c>
      <c r="C581" s="21">
        <v>0.53611111111111109</v>
      </c>
      <c r="D581" s="20" t="s">
        <v>3038</v>
      </c>
      <c r="E581" t="s">
        <v>18</v>
      </c>
      <c r="F581" t="s">
        <v>19</v>
      </c>
      <c r="H581">
        <v>7</v>
      </c>
      <c r="I581">
        <f t="shared" si="11"/>
        <v>9</v>
      </c>
    </row>
    <row r="582" spans="1:9">
      <c r="A582" s="1">
        <v>42828.909722222219</v>
      </c>
      <c r="B582" s="19">
        <v>42453</v>
      </c>
      <c r="C582" s="21">
        <v>0.23055555555555557</v>
      </c>
      <c r="D582" s="20" t="s">
        <v>3055</v>
      </c>
      <c r="E582" t="s">
        <v>0</v>
      </c>
      <c r="F582" t="s">
        <v>313</v>
      </c>
      <c r="G582" t="s">
        <v>2664</v>
      </c>
      <c r="H582">
        <v>7</v>
      </c>
      <c r="I582">
        <f t="shared" si="11"/>
        <v>9</v>
      </c>
    </row>
    <row r="583" spans="1:9">
      <c r="A583" s="1">
        <v>42828.462500000001</v>
      </c>
      <c r="B583" s="19">
        <v>42453</v>
      </c>
      <c r="C583" s="21">
        <v>0.1673611111111111</v>
      </c>
      <c r="D583" s="20" t="s">
        <v>3054</v>
      </c>
      <c r="E583" t="s">
        <v>0</v>
      </c>
      <c r="F583" t="s">
        <v>313</v>
      </c>
      <c r="G583" t="s">
        <v>2672</v>
      </c>
      <c r="H583">
        <v>2</v>
      </c>
      <c r="I583">
        <f t="shared" si="11"/>
        <v>3</v>
      </c>
    </row>
    <row r="584" spans="1:9">
      <c r="A584" s="1">
        <v>42828.375694444447</v>
      </c>
      <c r="B584" s="19">
        <v>42453</v>
      </c>
      <c r="C584" s="21">
        <v>0.14166666666666666</v>
      </c>
      <c r="D584" s="20" t="s">
        <v>3053</v>
      </c>
      <c r="E584" t="s">
        <v>149</v>
      </c>
      <c r="F584" t="s">
        <v>150</v>
      </c>
      <c r="G584" t="s">
        <v>2723</v>
      </c>
      <c r="H584">
        <v>7</v>
      </c>
      <c r="I584">
        <f t="shared" si="11"/>
        <v>9</v>
      </c>
    </row>
    <row r="585" spans="1:9">
      <c r="A585" s="1">
        <v>42828.291666666664</v>
      </c>
      <c r="B585" s="19">
        <v>42453</v>
      </c>
      <c r="C585" s="21">
        <v>0.12013888888888889</v>
      </c>
      <c r="D585" s="20" t="s">
        <v>3052</v>
      </c>
      <c r="E585" t="s">
        <v>0</v>
      </c>
      <c r="F585" t="s">
        <v>313</v>
      </c>
      <c r="G585" t="s">
        <v>2672</v>
      </c>
      <c r="H585">
        <v>3</v>
      </c>
      <c r="I585">
        <f t="shared" si="11"/>
        <v>4</v>
      </c>
    </row>
    <row r="586" spans="1:9">
      <c r="A586" s="1">
        <v>42828.26666666667</v>
      </c>
      <c r="B586" s="19">
        <v>42453</v>
      </c>
      <c r="C586" s="21">
        <v>5.7638888888888892E-2</v>
      </c>
      <c r="D586" s="20" t="s">
        <v>3051</v>
      </c>
      <c r="E586" t="s">
        <v>0</v>
      </c>
      <c r="F586" t="s">
        <v>313</v>
      </c>
      <c r="G586" t="s">
        <v>2682</v>
      </c>
      <c r="H586">
        <v>3</v>
      </c>
      <c r="I586">
        <f t="shared" si="11"/>
        <v>4</v>
      </c>
    </row>
    <row r="587" spans="1:9">
      <c r="A587" s="1">
        <v>42825.901388888888</v>
      </c>
      <c r="B587" s="19">
        <v>42453</v>
      </c>
      <c r="C587" s="21">
        <v>0.84652777777777777</v>
      </c>
      <c r="D587" s="20" t="s">
        <v>3047</v>
      </c>
      <c r="E587" t="s">
        <v>6</v>
      </c>
      <c r="F587" t="s">
        <v>26</v>
      </c>
      <c r="G587" t="s">
        <v>2706</v>
      </c>
      <c r="H587">
        <v>7</v>
      </c>
      <c r="I587">
        <f t="shared" si="11"/>
        <v>9</v>
      </c>
    </row>
    <row r="588" spans="1:9">
      <c r="A588" s="1">
        <v>42825.678472222222</v>
      </c>
      <c r="B588" s="19">
        <v>42453</v>
      </c>
      <c r="C588" s="21">
        <v>0.83125000000000004</v>
      </c>
      <c r="D588" s="20" t="s">
        <v>3046</v>
      </c>
      <c r="E588" t="s">
        <v>2</v>
      </c>
      <c r="F588" t="s">
        <v>56</v>
      </c>
      <c r="G588" t="s">
        <v>2707</v>
      </c>
      <c r="H588">
        <v>19</v>
      </c>
      <c r="I588">
        <f t="shared" si="11"/>
        <v>24</v>
      </c>
    </row>
    <row r="589" spans="1:9">
      <c r="A589" s="1">
        <v>42825.561111111114</v>
      </c>
      <c r="B589" s="19">
        <v>42453</v>
      </c>
      <c r="C589" s="21">
        <v>0.81874999999999998</v>
      </c>
      <c r="D589" s="20" t="s">
        <v>3046</v>
      </c>
      <c r="E589" t="s">
        <v>6</v>
      </c>
      <c r="F589" t="s">
        <v>21</v>
      </c>
      <c r="G589" t="s">
        <v>2708</v>
      </c>
      <c r="H589">
        <v>24</v>
      </c>
      <c r="I589">
        <f t="shared" si="11"/>
        <v>30</v>
      </c>
    </row>
    <row r="590" spans="1:9">
      <c r="A590" s="1">
        <v>42825.49722222222</v>
      </c>
      <c r="B590" s="19">
        <v>42453</v>
      </c>
      <c r="C590" s="21">
        <v>0.7055555555555556</v>
      </c>
      <c r="D590" s="20" t="s">
        <v>3043</v>
      </c>
      <c r="E590" t="s">
        <v>6</v>
      </c>
      <c r="F590" t="s">
        <v>273</v>
      </c>
      <c r="G590" t="s">
        <v>2710</v>
      </c>
      <c r="H590">
        <v>4</v>
      </c>
      <c r="I590">
        <f t="shared" si="11"/>
        <v>5</v>
      </c>
    </row>
    <row r="591" spans="1:9">
      <c r="A591" s="1">
        <v>42825.492361111108</v>
      </c>
      <c r="B591" s="19">
        <v>42453</v>
      </c>
      <c r="C591" s="21">
        <v>0.68819444444444444</v>
      </c>
      <c r="D591" s="20" t="s">
        <v>3043</v>
      </c>
      <c r="E591" t="s">
        <v>6</v>
      </c>
      <c r="F591" t="s">
        <v>26</v>
      </c>
      <c r="G591" t="s">
        <v>120</v>
      </c>
      <c r="H591">
        <v>3</v>
      </c>
      <c r="I591">
        <f t="shared" si="11"/>
        <v>4</v>
      </c>
    </row>
    <row r="592" spans="1:9">
      <c r="A592" s="1">
        <v>42825.48333333333</v>
      </c>
      <c r="B592" s="19">
        <v>42453</v>
      </c>
      <c r="C592" s="21">
        <v>0.51388888888888884</v>
      </c>
      <c r="D592" s="20" t="s">
        <v>3038</v>
      </c>
      <c r="E592" t="s">
        <v>2</v>
      </c>
      <c r="F592" t="s">
        <v>48</v>
      </c>
      <c r="G592" t="s">
        <v>2715</v>
      </c>
      <c r="H592">
        <v>31</v>
      </c>
      <c r="I592">
        <f t="shared" si="11"/>
        <v>39</v>
      </c>
    </row>
    <row r="593" spans="1:9">
      <c r="A593" s="1">
        <v>42825.443749999999</v>
      </c>
      <c r="B593" s="19">
        <v>42453</v>
      </c>
      <c r="C593" s="21">
        <v>0.49652777777777779</v>
      </c>
      <c r="D593" s="20" t="s">
        <v>3037</v>
      </c>
      <c r="E593" t="s">
        <v>6</v>
      </c>
      <c r="F593" t="s">
        <v>26</v>
      </c>
      <c r="G593" t="s">
        <v>2379</v>
      </c>
      <c r="H593">
        <v>7</v>
      </c>
      <c r="I593">
        <f t="shared" si="11"/>
        <v>9</v>
      </c>
    </row>
    <row r="594" spans="1:9">
      <c r="A594" s="1">
        <v>42825.415972222225</v>
      </c>
      <c r="B594" s="19">
        <v>42453</v>
      </c>
      <c r="C594" s="21">
        <v>0.34652777777777777</v>
      </c>
      <c r="D594" s="20" t="s">
        <v>3034</v>
      </c>
      <c r="E594" t="s">
        <v>6</v>
      </c>
      <c r="F594" t="s">
        <v>21</v>
      </c>
      <c r="G594" t="s">
        <v>2716</v>
      </c>
      <c r="H594">
        <v>38</v>
      </c>
      <c r="I594">
        <f t="shared" si="11"/>
        <v>48</v>
      </c>
    </row>
    <row r="595" spans="1:9">
      <c r="A595" s="1">
        <v>42825.388888888891</v>
      </c>
      <c r="B595" s="19">
        <v>42453</v>
      </c>
      <c r="C595" s="21">
        <v>0.32777777777777778</v>
      </c>
      <c r="D595" s="20" t="s">
        <v>3033</v>
      </c>
      <c r="E595" t="s">
        <v>6</v>
      </c>
      <c r="F595" t="s">
        <v>21</v>
      </c>
      <c r="G595" t="s">
        <v>2717</v>
      </c>
      <c r="H595">
        <v>13</v>
      </c>
      <c r="I595">
        <f t="shared" si="11"/>
        <v>17</v>
      </c>
    </row>
    <row r="596" spans="1:9">
      <c r="A596" s="1">
        <v>42825.175000000003</v>
      </c>
      <c r="B596" s="19">
        <v>42453</v>
      </c>
      <c r="C596" s="21">
        <v>0.32777777777777778</v>
      </c>
      <c r="D596" s="20" t="s">
        <v>3033</v>
      </c>
      <c r="E596" t="s">
        <v>6</v>
      </c>
      <c r="F596" t="s">
        <v>15</v>
      </c>
      <c r="G596" t="s">
        <v>2717</v>
      </c>
      <c r="H596">
        <v>13</v>
      </c>
      <c r="I596">
        <f t="shared" si="11"/>
        <v>17</v>
      </c>
    </row>
    <row r="597" spans="1:9">
      <c r="A597" s="1">
        <v>42825.155555555553</v>
      </c>
      <c r="B597" s="19">
        <v>42453</v>
      </c>
      <c r="C597" s="21">
        <v>0.30625000000000002</v>
      </c>
      <c r="D597" s="20" t="s">
        <v>3033</v>
      </c>
      <c r="E597" t="s">
        <v>6</v>
      </c>
      <c r="F597" t="s">
        <v>26</v>
      </c>
      <c r="G597" t="s">
        <v>2718</v>
      </c>
      <c r="H597">
        <v>56</v>
      </c>
      <c r="I597">
        <f t="shared" si="11"/>
        <v>70</v>
      </c>
    </row>
    <row r="598" spans="1:9">
      <c r="A598" s="1">
        <v>42825.138194444444</v>
      </c>
      <c r="B598" s="19">
        <v>42453</v>
      </c>
      <c r="C598" s="21">
        <v>0.29166666666666669</v>
      </c>
      <c r="D598" s="20" t="s">
        <v>3033</v>
      </c>
      <c r="E598" t="s">
        <v>6</v>
      </c>
      <c r="F598" t="s">
        <v>15</v>
      </c>
      <c r="G598" t="s">
        <v>2719</v>
      </c>
      <c r="H598">
        <v>13</v>
      </c>
      <c r="I598">
        <f t="shared" si="11"/>
        <v>17</v>
      </c>
    </row>
    <row r="599" spans="1:9">
      <c r="A599" s="1">
        <v>42825.92083333333</v>
      </c>
      <c r="B599" s="19">
        <v>42453</v>
      </c>
      <c r="C599" s="21">
        <v>0.28611111111111109</v>
      </c>
      <c r="D599" s="20" t="s">
        <v>3031</v>
      </c>
      <c r="E599" t="s">
        <v>6</v>
      </c>
      <c r="F599" t="s">
        <v>15</v>
      </c>
      <c r="G599" t="s">
        <v>2719</v>
      </c>
      <c r="H599">
        <v>13</v>
      </c>
      <c r="I599">
        <f t="shared" si="11"/>
        <v>17</v>
      </c>
    </row>
    <row r="600" spans="1:9">
      <c r="A600" s="1">
        <v>42825.585416666669</v>
      </c>
      <c r="B600" s="19">
        <v>42453</v>
      </c>
      <c r="C600" s="21">
        <v>0.25138888888888888</v>
      </c>
      <c r="D600" s="20" t="s">
        <v>3031</v>
      </c>
      <c r="E600" t="s">
        <v>6</v>
      </c>
      <c r="F600" t="s">
        <v>15</v>
      </c>
      <c r="G600" t="s">
        <v>2720</v>
      </c>
      <c r="H600">
        <v>25</v>
      </c>
      <c r="I600">
        <f t="shared" si="11"/>
        <v>31</v>
      </c>
    </row>
    <row r="601" spans="1:9">
      <c r="A601" s="1">
        <v>42825.584722222222</v>
      </c>
      <c r="B601" s="19">
        <v>42453</v>
      </c>
      <c r="C601" s="21">
        <v>0.2361111111111111</v>
      </c>
      <c r="D601" s="20" t="s">
        <v>3055</v>
      </c>
      <c r="E601" t="s">
        <v>6</v>
      </c>
      <c r="F601" t="s">
        <v>15</v>
      </c>
      <c r="G601" t="s">
        <v>2721</v>
      </c>
      <c r="H601">
        <v>25</v>
      </c>
      <c r="I601">
        <f t="shared" si="11"/>
        <v>31</v>
      </c>
    </row>
    <row r="602" spans="1:9">
      <c r="A602" s="1">
        <v>42825.461111111108</v>
      </c>
      <c r="B602" s="19">
        <v>42453</v>
      </c>
      <c r="C602" s="21">
        <v>0.22777777777777777</v>
      </c>
      <c r="D602" s="20" t="s">
        <v>3055</v>
      </c>
      <c r="E602" t="s">
        <v>2</v>
      </c>
      <c r="F602" t="s">
        <v>5</v>
      </c>
      <c r="H602">
        <v>13</v>
      </c>
      <c r="I602">
        <f t="shared" si="11"/>
        <v>17</v>
      </c>
    </row>
    <row r="603" spans="1:9">
      <c r="A603" s="1">
        <v>42825.443749999999</v>
      </c>
      <c r="B603" s="19">
        <v>42453</v>
      </c>
      <c r="C603" s="21">
        <v>0.21875</v>
      </c>
      <c r="D603" s="20" t="s">
        <v>3055</v>
      </c>
      <c r="E603" t="s">
        <v>6</v>
      </c>
      <c r="F603" t="s">
        <v>26</v>
      </c>
      <c r="G603" t="s">
        <v>2722</v>
      </c>
      <c r="H603">
        <v>7</v>
      </c>
      <c r="I603">
        <f t="shared" si="11"/>
        <v>9</v>
      </c>
    </row>
    <row r="604" spans="1:9">
      <c r="A604" s="1">
        <v>42825.374305555553</v>
      </c>
      <c r="B604" s="19">
        <v>42453</v>
      </c>
      <c r="C604" s="21">
        <v>0.125</v>
      </c>
      <c r="D604" s="20" t="s">
        <v>3053</v>
      </c>
      <c r="E604" t="s">
        <v>6</v>
      </c>
      <c r="F604" t="s">
        <v>12</v>
      </c>
      <c r="G604" t="s">
        <v>2724</v>
      </c>
      <c r="H604">
        <v>7</v>
      </c>
      <c r="I604">
        <f t="shared" si="11"/>
        <v>9</v>
      </c>
    </row>
    <row r="605" spans="1:9">
      <c r="A605" s="1">
        <v>42825.275000000001</v>
      </c>
      <c r="B605" s="19">
        <v>42453</v>
      </c>
      <c r="C605" s="21">
        <v>2.1527777777777778E-2</v>
      </c>
      <c r="D605" s="20" t="s">
        <v>3050</v>
      </c>
      <c r="E605" t="s">
        <v>6</v>
      </c>
      <c r="F605" t="s">
        <v>12</v>
      </c>
      <c r="G605" t="s">
        <v>2725</v>
      </c>
      <c r="H605">
        <v>7</v>
      </c>
      <c r="I605">
        <f t="shared" si="11"/>
        <v>9</v>
      </c>
    </row>
    <row r="606" spans="1:9">
      <c r="A606" s="1">
        <v>42825.254166666666</v>
      </c>
      <c r="B606" s="19">
        <v>42454</v>
      </c>
      <c r="C606" s="21">
        <v>0.98263888888888884</v>
      </c>
      <c r="D606" s="20" t="s">
        <v>3063</v>
      </c>
      <c r="E606" t="s">
        <v>0</v>
      </c>
      <c r="F606" t="s">
        <v>313</v>
      </c>
      <c r="G606" t="s">
        <v>2672</v>
      </c>
      <c r="H606">
        <v>2</v>
      </c>
      <c r="I606">
        <f t="shared" si="11"/>
        <v>3</v>
      </c>
    </row>
    <row r="607" spans="1:9">
      <c r="A607" s="1">
        <v>42825.253472222219</v>
      </c>
      <c r="B607" s="19">
        <v>42454</v>
      </c>
      <c r="C607" s="21">
        <v>0.90694444444444444</v>
      </c>
      <c r="D607" s="20" t="s">
        <v>3048</v>
      </c>
      <c r="E607" t="s">
        <v>33</v>
      </c>
      <c r="F607" t="s">
        <v>44</v>
      </c>
      <c r="G607" t="s">
        <v>2686</v>
      </c>
      <c r="H607" t="e">
        <v>#VALUE!</v>
      </c>
      <c r="I607" t="e">
        <f t="shared" si="11"/>
        <v>#VALUE!</v>
      </c>
    </row>
    <row r="608" spans="1:9">
      <c r="A608" s="1">
        <v>42825.220833333333</v>
      </c>
      <c r="B608" s="19">
        <v>42454</v>
      </c>
      <c r="C608" s="21">
        <v>0.86041666666666672</v>
      </c>
      <c r="D608" s="20" t="s">
        <v>3047</v>
      </c>
      <c r="E608" t="s">
        <v>0</v>
      </c>
      <c r="F608" t="s">
        <v>313</v>
      </c>
      <c r="G608" t="s">
        <v>2687</v>
      </c>
      <c r="H608">
        <v>3</v>
      </c>
      <c r="I608">
        <f t="shared" si="11"/>
        <v>4</v>
      </c>
    </row>
    <row r="609" spans="1:9">
      <c r="A609" s="1">
        <v>42824.899305555555</v>
      </c>
      <c r="B609" s="19">
        <v>42454</v>
      </c>
      <c r="C609" s="21">
        <v>0.84930555555555554</v>
      </c>
      <c r="D609" s="20" t="s">
        <v>3047</v>
      </c>
      <c r="E609" t="s">
        <v>0</v>
      </c>
      <c r="F609" t="s">
        <v>313</v>
      </c>
      <c r="G609" t="s">
        <v>2688</v>
      </c>
      <c r="H609">
        <v>4</v>
      </c>
      <c r="I609">
        <f t="shared" si="11"/>
        <v>5</v>
      </c>
    </row>
    <row r="610" spans="1:9">
      <c r="A610" s="1">
        <v>42824.886111111111</v>
      </c>
      <c r="B610" s="19">
        <v>42454</v>
      </c>
      <c r="C610" s="21">
        <v>0.69166666666666665</v>
      </c>
      <c r="D610" s="20" t="s">
        <v>3043</v>
      </c>
      <c r="E610" t="s">
        <v>0</v>
      </c>
      <c r="F610" t="s">
        <v>313</v>
      </c>
      <c r="G610" t="s">
        <v>2688</v>
      </c>
      <c r="H610">
        <v>4</v>
      </c>
      <c r="I610">
        <f t="shared" si="11"/>
        <v>5</v>
      </c>
    </row>
    <row r="611" spans="1:9">
      <c r="A611" s="1">
        <v>42824.716666666667</v>
      </c>
      <c r="B611" s="19">
        <v>42454</v>
      </c>
      <c r="C611" s="21">
        <v>0.67361111111111116</v>
      </c>
      <c r="D611" s="20" t="s">
        <v>3043</v>
      </c>
      <c r="E611" t="s">
        <v>0</v>
      </c>
      <c r="F611" t="s">
        <v>313</v>
      </c>
      <c r="G611" t="s">
        <v>2691</v>
      </c>
      <c r="H611">
        <v>3</v>
      </c>
      <c r="I611">
        <f t="shared" si="11"/>
        <v>4</v>
      </c>
    </row>
    <row r="612" spans="1:9">
      <c r="A612" s="1">
        <v>42824.529861111114</v>
      </c>
      <c r="B612" s="19">
        <v>42454</v>
      </c>
      <c r="C612" s="21">
        <v>0.65555555555555556</v>
      </c>
      <c r="D612" s="20" t="s">
        <v>3042</v>
      </c>
      <c r="E612" t="s">
        <v>0</v>
      </c>
      <c r="F612" t="s">
        <v>1</v>
      </c>
      <c r="G612" t="s">
        <v>2692</v>
      </c>
      <c r="H612">
        <v>7</v>
      </c>
      <c r="I612">
        <f t="shared" si="11"/>
        <v>9</v>
      </c>
    </row>
    <row r="613" spans="1:9">
      <c r="A613" s="1">
        <v>42824.386805555558</v>
      </c>
      <c r="B613" s="19">
        <v>42454</v>
      </c>
      <c r="C613" s="21">
        <v>0.63888888888888884</v>
      </c>
      <c r="D613" s="20" t="s">
        <v>3042</v>
      </c>
      <c r="E613" t="s">
        <v>0</v>
      </c>
      <c r="F613" t="s">
        <v>313</v>
      </c>
      <c r="G613" t="s">
        <v>2688</v>
      </c>
      <c r="H613">
        <v>4</v>
      </c>
      <c r="I613">
        <f t="shared" si="11"/>
        <v>5</v>
      </c>
    </row>
    <row r="614" spans="1:9">
      <c r="A614" s="1">
        <v>42824.298611111109</v>
      </c>
      <c r="B614" s="19">
        <v>42454</v>
      </c>
      <c r="C614" s="21">
        <v>0.6381944444444444</v>
      </c>
      <c r="D614" s="20" t="s">
        <v>3042</v>
      </c>
      <c r="E614" t="s">
        <v>0</v>
      </c>
      <c r="F614" t="s">
        <v>313</v>
      </c>
      <c r="G614" t="s">
        <v>2691</v>
      </c>
      <c r="H614">
        <v>3</v>
      </c>
      <c r="I614">
        <f t="shared" si="11"/>
        <v>4</v>
      </c>
    </row>
    <row r="615" spans="1:9">
      <c r="A615" s="1">
        <v>42824.265972222223</v>
      </c>
      <c r="B615" s="19">
        <v>42454</v>
      </c>
      <c r="C615" s="21">
        <v>0.57430555555555551</v>
      </c>
      <c r="D615" s="20" t="s">
        <v>3039</v>
      </c>
      <c r="E615" t="s">
        <v>0</v>
      </c>
      <c r="F615" t="s">
        <v>1</v>
      </c>
      <c r="G615" t="s">
        <v>2580</v>
      </c>
      <c r="H615">
        <v>62</v>
      </c>
      <c r="I615">
        <f t="shared" si="11"/>
        <v>77</v>
      </c>
    </row>
    <row r="616" spans="1:9">
      <c r="A616" s="1">
        <v>42824.107638888891</v>
      </c>
      <c r="B616" s="19">
        <v>42454</v>
      </c>
      <c r="C616" s="21">
        <v>0.51458333333333328</v>
      </c>
      <c r="D616" s="20" t="s">
        <v>3038</v>
      </c>
      <c r="E616" t="s">
        <v>0</v>
      </c>
      <c r="F616" t="s">
        <v>1</v>
      </c>
      <c r="G616" t="s">
        <v>2580</v>
      </c>
      <c r="H616">
        <v>25</v>
      </c>
      <c r="I616">
        <f t="shared" si="11"/>
        <v>31</v>
      </c>
    </row>
    <row r="617" spans="1:9">
      <c r="A617" s="1">
        <v>42824.018055555556</v>
      </c>
      <c r="B617" s="19">
        <v>42454</v>
      </c>
      <c r="C617" s="21">
        <v>0.45763888888888887</v>
      </c>
      <c r="D617" s="20" t="s">
        <v>3036</v>
      </c>
      <c r="E617" t="s">
        <v>0</v>
      </c>
      <c r="G617" t="s">
        <v>2698</v>
      </c>
      <c r="H617">
        <v>19</v>
      </c>
      <c r="I617">
        <f t="shared" si="11"/>
        <v>24</v>
      </c>
    </row>
    <row r="618" spans="1:9">
      <c r="A618" s="1">
        <v>42824.916666666664</v>
      </c>
      <c r="B618" s="19">
        <v>42454</v>
      </c>
      <c r="C618" s="21">
        <v>0.24166666666666667</v>
      </c>
      <c r="D618" s="20" t="s">
        <v>3055</v>
      </c>
      <c r="E618" t="s">
        <v>149</v>
      </c>
      <c r="F618" t="s">
        <v>150</v>
      </c>
      <c r="G618" t="s">
        <v>2699</v>
      </c>
      <c r="H618">
        <v>2</v>
      </c>
      <c r="I618">
        <f t="shared" si="11"/>
        <v>3</v>
      </c>
    </row>
    <row r="619" spans="1:9">
      <c r="A619" s="1">
        <v>42824.585416666669</v>
      </c>
      <c r="B619" s="19">
        <v>42454</v>
      </c>
      <c r="C619" s="21">
        <v>0.23472222222222222</v>
      </c>
      <c r="D619" s="20" t="s">
        <v>3055</v>
      </c>
      <c r="E619" t="s">
        <v>0</v>
      </c>
      <c r="F619" t="s">
        <v>313</v>
      </c>
      <c r="G619" t="s">
        <v>2664</v>
      </c>
      <c r="H619">
        <v>7</v>
      </c>
      <c r="I619">
        <f t="shared" si="11"/>
        <v>9</v>
      </c>
    </row>
    <row r="620" spans="1:9">
      <c r="A620" s="1">
        <v>42824.584027777775</v>
      </c>
      <c r="B620" s="19">
        <v>42454</v>
      </c>
      <c r="C620" s="21">
        <v>0.18611111111111112</v>
      </c>
      <c r="D620" s="20" t="s">
        <v>3054</v>
      </c>
      <c r="E620" t="s">
        <v>0</v>
      </c>
      <c r="F620" t="s">
        <v>313</v>
      </c>
      <c r="G620" t="s">
        <v>2672</v>
      </c>
      <c r="H620">
        <v>2</v>
      </c>
      <c r="I620">
        <f t="shared" si="11"/>
        <v>3</v>
      </c>
    </row>
    <row r="621" spans="1:9">
      <c r="A621" s="1">
        <v>42824.525000000001</v>
      </c>
      <c r="B621" s="19">
        <v>42454</v>
      </c>
      <c r="C621" s="21">
        <v>5.6944444444444443E-2</v>
      </c>
      <c r="D621" s="20" t="s">
        <v>3051</v>
      </c>
      <c r="E621" t="s">
        <v>0</v>
      </c>
      <c r="F621" t="s">
        <v>313</v>
      </c>
      <c r="G621" t="s">
        <v>2672</v>
      </c>
      <c r="H621">
        <v>2</v>
      </c>
      <c r="I621">
        <f t="shared" si="11"/>
        <v>3</v>
      </c>
    </row>
    <row r="622" spans="1:9">
      <c r="A622" s="1">
        <v>42824.48333333333</v>
      </c>
      <c r="B622" s="19">
        <v>42454</v>
      </c>
      <c r="C622" s="21">
        <v>3.4027777777777775E-2</v>
      </c>
      <c r="D622" s="20" t="s">
        <v>3050</v>
      </c>
      <c r="E622" t="s">
        <v>0</v>
      </c>
      <c r="F622" t="s">
        <v>313</v>
      </c>
      <c r="G622" t="s">
        <v>2682</v>
      </c>
      <c r="H622">
        <v>3</v>
      </c>
      <c r="I622">
        <f t="shared" si="11"/>
        <v>4</v>
      </c>
    </row>
    <row r="623" spans="1:9">
      <c r="A623" s="1">
        <v>42824.466666666667</v>
      </c>
      <c r="B623" s="19">
        <v>42454</v>
      </c>
      <c r="C623" s="21">
        <v>0.80208333333333337</v>
      </c>
      <c r="D623" s="20" t="s">
        <v>3046</v>
      </c>
      <c r="E623" t="s">
        <v>6</v>
      </c>
      <c r="F623" t="s">
        <v>12</v>
      </c>
      <c r="G623" t="s">
        <v>2689</v>
      </c>
      <c r="H623">
        <v>10</v>
      </c>
      <c r="I623">
        <f t="shared" si="11"/>
        <v>13</v>
      </c>
    </row>
    <row r="624" spans="1:9">
      <c r="A624" s="1">
        <v>42824.436111111114</v>
      </c>
      <c r="B624" s="19">
        <v>42454</v>
      </c>
      <c r="C624" s="21">
        <v>0.79791666666666672</v>
      </c>
      <c r="D624" s="20" t="s">
        <v>3046</v>
      </c>
      <c r="E624" t="s">
        <v>6</v>
      </c>
      <c r="F624" t="s">
        <v>21</v>
      </c>
      <c r="G624" t="s">
        <v>2690</v>
      </c>
      <c r="H624">
        <v>9</v>
      </c>
      <c r="I624">
        <f t="shared" si="11"/>
        <v>12</v>
      </c>
    </row>
    <row r="625" spans="1:9">
      <c r="A625" s="1">
        <v>42824.373611111114</v>
      </c>
      <c r="B625" s="19">
        <v>42454</v>
      </c>
      <c r="C625" s="21">
        <v>0.71944444444444444</v>
      </c>
      <c r="D625" s="20" t="s">
        <v>3044</v>
      </c>
      <c r="E625" t="s">
        <v>6</v>
      </c>
      <c r="F625" t="s">
        <v>12</v>
      </c>
      <c r="G625" t="s">
        <v>1675</v>
      </c>
      <c r="H625">
        <v>5</v>
      </c>
      <c r="I625">
        <f t="shared" si="11"/>
        <v>7</v>
      </c>
    </row>
    <row r="626" spans="1:9">
      <c r="A626" s="1">
        <v>42824.25277777778</v>
      </c>
      <c r="B626" s="19">
        <v>42454</v>
      </c>
      <c r="C626" s="21">
        <v>0.71319444444444446</v>
      </c>
      <c r="D626" s="20" t="s">
        <v>3044</v>
      </c>
      <c r="E626" t="s">
        <v>6</v>
      </c>
      <c r="F626" t="s">
        <v>26</v>
      </c>
      <c r="G626" t="s">
        <v>65</v>
      </c>
      <c r="H626">
        <v>17</v>
      </c>
      <c r="I626">
        <f t="shared" si="11"/>
        <v>22</v>
      </c>
    </row>
    <row r="627" spans="1:9">
      <c r="A627" s="1">
        <v>42824.25277777778</v>
      </c>
      <c r="B627" s="19">
        <v>42454</v>
      </c>
      <c r="C627" s="21">
        <v>0.54652777777777772</v>
      </c>
      <c r="D627" s="20" t="s">
        <v>3039</v>
      </c>
      <c r="E627" t="s">
        <v>2</v>
      </c>
      <c r="F627" t="s">
        <v>56</v>
      </c>
      <c r="G627" t="s">
        <v>2693</v>
      </c>
      <c r="H627">
        <v>56</v>
      </c>
      <c r="I627">
        <f t="shared" si="11"/>
        <v>70</v>
      </c>
    </row>
    <row r="628" spans="1:9">
      <c r="A628" s="1">
        <v>42824.097916666666</v>
      </c>
      <c r="B628" s="19">
        <v>42454</v>
      </c>
      <c r="C628" s="21">
        <v>0.53333333333333333</v>
      </c>
      <c r="D628" s="20" t="s">
        <v>3038</v>
      </c>
      <c r="E628" t="s">
        <v>2</v>
      </c>
      <c r="F628" t="s">
        <v>56</v>
      </c>
      <c r="G628" t="s">
        <v>2694</v>
      </c>
      <c r="H628">
        <v>15</v>
      </c>
      <c r="I628">
        <f t="shared" si="11"/>
        <v>19</v>
      </c>
    </row>
    <row r="629" spans="1:9">
      <c r="A629" s="1">
        <v>42823.947222222225</v>
      </c>
      <c r="B629" s="19">
        <v>42454</v>
      </c>
      <c r="C629" s="21">
        <v>0.52777777777777779</v>
      </c>
      <c r="D629" s="20" t="s">
        <v>3038</v>
      </c>
      <c r="E629" t="s">
        <v>6</v>
      </c>
      <c r="F629" t="s">
        <v>21</v>
      </c>
      <c r="G629" t="s">
        <v>2695</v>
      </c>
      <c r="H629">
        <v>27</v>
      </c>
      <c r="I629">
        <f t="shared" si="11"/>
        <v>34</v>
      </c>
    </row>
    <row r="630" spans="1:9">
      <c r="A630" s="1">
        <v>42823.897916666669</v>
      </c>
      <c r="B630" s="19">
        <v>42454</v>
      </c>
      <c r="C630" s="21">
        <v>0.51180555555555551</v>
      </c>
      <c r="D630" s="20" t="s">
        <v>3038</v>
      </c>
      <c r="E630" t="s">
        <v>6</v>
      </c>
      <c r="G630" t="s">
        <v>2696</v>
      </c>
      <c r="H630">
        <v>28</v>
      </c>
      <c r="I630">
        <f t="shared" si="11"/>
        <v>35</v>
      </c>
    </row>
    <row r="631" spans="1:9">
      <c r="A631" s="1">
        <v>42823.505555555559</v>
      </c>
      <c r="B631" s="19">
        <v>42454</v>
      </c>
      <c r="C631" s="21">
        <v>0.46666666666666667</v>
      </c>
      <c r="D631" s="20" t="s">
        <v>3037</v>
      </c>
      <c r="E631" t="s">
        <v>6</v>
      </c>
      <c r="F631" t="s">
        <v>12</v>
      </c>
      <c r="G631" t="s">
        <v>2697</v>
      </c>
      <c r="H631">
        <v>75</v>
      </c>
      <c r="I631">
        <f t="shared" si="11"/>
        <v>93</v>
      </c>
    </row>
    <row r="632" spans="1:9">
      <c r="A632" s="1">
        <v>42823.48541666667</v>
      </c>
      <c r="B632" s="19">
        <v>42454</v>
      </c>
      <c r="C632" s="21">
        <v>0.18541666666666667</v>
      </c>
      <c r="D632" s="20" t="s">
        <v>3054</v>
      </c>
      <c r="E632" t="s">
        <v>6</v>
      </c>
      <c r="F632" t="s">
        <v>46</v>
      </c>
      <c r="G632" t="s">
        <v>2700</v>
      </c>
      <c r="H632">
        <v>7</v>
      </c>
      <c r="I632">
        <f t="shared" si="11"/>
        <v>9</v>
      </c>
    </row>
    <row r="633" spans="1:9">
      <c r="A633" s="1">
        <v>42823.419444444444</v>
      </c>
      <c r="B633" s="19">
        <v>42454</v>
      </c>
      <c r="C633" s="21">
        <v>0.14444444444444443</v>
      </c>
      <c r="D633" s="20" t="s">
        <v>3053</v>
      </c>
      <c r="E633" t="s">
        <v>6</v>
      </c>
      <c r="F633" t="s">
        <v>12</v>
      </c>
      <c r="G633" t="s">
        <v>2701</v>
      </c>
      <c r="H633">
        <v>3</v>
      </c>
      <c r="I633">
        <f t="shared" si="11"/>
        <v>4</v>
      </c>
    </row>
    <row r="634" spans="1:9">
      <c r="A634" s="1">
        <v>42823.343055555553</v>
      </c>
      <c r="B634" s="19">
        <v>42454</v>
      </c>
      <c r="C634" s="21">
        <v>0.11805555555555555</v>
      </c>
      <c r="D634" s="20" t="s">
        <v>3052</v>
      </c>
      <c r="E634" t="s">
        <v>6</v>
      </c>
      <c r="F634" t="s">
        <v>46</v>
      </c>
      <c r="G634" t="s">
        <v>2702</v>
      </c>
      <c r="H634">
        <v>3</v>
      </c>
      <c r="I634">
        <f t="shared" si="11"/>
        <v>4</v>
      </c>
    </row>
    <row r="635" spans="1:9">
      <c r="A635" s="1">
        <v>42823.320833333331</v>
      </c>
      <c r="B635" s="19">
        <v>42454</v>
      </c>
      <c r="C635" s="21">
        <v>0.10486111111111111</v>
      </c>
      <c r="D635" s="20" t="s">
        <v>3052</v>
      </c>
      <c r="E635" t="s">
        <v>2</v>
      </c>
      <c r="F635" t="s">
        <v>3</v>
      </c>
      <c r="G635" t="s">
        <v>365</v>
      </c>
      <c r="H635">
        <v>13</v>
      </c>
      <c r="I635">
        <f t="shared" si="11"/>
        <v>17</v>
      </c>
    </row>
    <row r="636" spans="1:9">
      <c r="A636" s="1">
        <v>42823.584722222222</v>
      </c>
      <c r="B636" s="19">
        <v>42454</v>
      </c>
      <c r="C636" s="21">
        <v>4.7222222222222221E-2</v>
      </c>
      <c r="D636" s="20" t="s">
        <v>3051</v>
      </c>
      <c r="E636" t="s">
        <v>6</v>
      </c>
      <c r="F636" t="s">
        <v>46</v>
      </c>
      <c r="G636" t="s">
        <v>65</v>
      </c>
      <c r="H636">
        <v>2</v>
      </c>
      <c r="I636">
        <f t="shared" si="11"/>
        <v>3</v>
      </c>
    </row>
    <row r="637" spans="1:9">
      <c r="A637" s="1">
        <v>42823.542361111111</v>
      </c>
      <c r="B637" s="19">
        <v>42455</v>
      </c>
      <c r="C637" s="21">
        <v>0.23333333333333334</v>
      </c>
      <c r="D637" s="20" t="s">
        <v>3055</v>
      </c>
      <c r="E637" t="s">
        <v>0</v>
      </c>
      <c r="F637" t="s">
        <v>313</v>
      </c>
      <c r="G637" t="s">
        <v>2664</v>
      </c>
      <c r="H637">
        <v>7</v>
      </c>
      <c r="I637">
        <f t="shared" si="11"/>
        <v>9</v>
      </c>
    </row>
    <row r="638" spans="1:9">
      <c r="A638" s="1">
        <v>42823.505555555559</v>
      </c>
      <c r="B638" s="19">
        <v>42455</v>
      </c>
      <c r="C638" s="21">
        <v>0.14097222222222222</v>
      </c>
      <c r="D638" s="20" t="s">
        <v>3053</v>
      </c>
      <c r="E638" t="s">
        <v>0</v>
      </c>
      <c r="F638" t="s">
        <v>313</v>
      </c>
      <c r="G638" t="s">
        <v>2672</v>
      </c>
      <c r="H638">
        <v>3</v>
      </c>
      <c r="I638">
        <f t="shared" si="11"/>
        <v>4</v>
      </c>
    </row>
    <row r="639" spans="1:9">
      <c r="A639" s="1">
        <v>42823.46597222222</v>
      </c>
      <c r="B639" s="19">
        <v>42455</v>
      </c>
      <c r="C639" s="21">
        <v>0.10416666666666667</v>
      </c>
      <c r="D639" s="20" t="s">
        <v>3052</v>
      </c>
      <c r="E639" t="s">
        <v>0</v>
      </c>
      <c r="F639" t="s">
        <v>313</v>
      </c>
      <c r="G639" t="s">
        <v>2672</v>
      </c>
      <c r="H639">
        <v>2</v>
      </c>
      <c r="I639">
        <f t="shared" si="11"/>
        <v>3</v>
      </c>
    </row>
    <row r="640" spans="1:9">
      <c r="A640" s="1">
        <v>42823.419444444444</v>
      </c>
      <c r="B640" s="19">
        <v>42455</v>
      </c>
      <c r="C640" s="21">
        <v>5.4166666666666669E-2</v>
      </c>
      <c r="D640" s="20" t="s">
        <v>3051</v>
      </c>
      <c r="E640" t="s">
        <v>0</v>
      </c>
      <c r="F640" t="s">
        <v>313</v>
      </c>
      <c r="G640" t="s">
        <v>2682</v>
      </c>
      <c r="H640">
        <v>3</v>
      </c>
      <c r="I640">
        <f t="shared" si="11"/>
        <v>4</v>
      </c>
    </row>
    <row r="641" spans="1:9">
      <c r="A641" s="1">
        <v>42823.38958333333</v>
      </c>
      <c r="B641" s="19">
        <v>42455</v>
      </c>
      <c r="C641" s="21">
        <v>0.1111111111111111</v>
      </c>
      <c r="D641" s="20" t="s">
        <v>3052</v>
      </c>
      <c r="E641" t="s">
        <v>6</v>
      </c>
      <c r="F641" t="s">
        <v>46</v>
      </c>
      <c r="G641" t="s">
        <v>65</v>
      </c>
      <c r="H641">
        <v>13</v>
      </c>
      <c r="I641">
        <f t="shared" si="11"/>
        <v>17</v>
      </c>
    </row>
    <row r="642" spans="1:9">
      <c r="A642" s="1">
        <v>42823.366666666669</v>
      </c>
      <c r="B642" s="19">
        <v>42455</v>
      </c>
      <c r="C642" s="21">
        <v>4.8611111111111112E-2</v>
      </c>
      <c r="D642" s="20" t="s">
        <v>3051</v>
      </c>
      <c r="E642" t="s">
        <v>6</v>
      </c>
      <c r="F642" t="s">
        <v>46</v>
      </c>
      <c r="G642" t="s">
        <v>2684</v>
      </c>
      <c r="H642">
        <v>3</v>
      </c>
      <c r="I642">
        <f t="shared" si="11"/>
        <v>4</v>
      </c>
    </row>
    <row r="643" spans="1:9">
      <c r="A643" s="1">
        <v>42823.256249999999</v>
      </c>
      <c r="B643" s="19">
        <v>42455</v>
      </c>
      <c r="C643" s="21">
        <v>2.5694444444444443E-2</v>
      </c>
      <c r="D643" s="20" t="s">
        <v>3050</v>
      </c>
      <c r="E643" t="s">
        <v>6</v>
      </c>
      <c r="F643" t="s">
        <v>12</v>
      </c>
      <c r="G643" t="s">
        <v>2685</v>
      </c>
      <c r="H643">
        <v>3</v>
      </c>
      <c r="I643">
        <f t="shared" ref="I643:I706" si="12">ROUNDUP((H643*1.24), 0)</f>
        <v>4</v>
      </c>
    </row>
    <row r="644" spans="1:9">
      <c r="A644" s="1">
        <v>42823.253472222219</v>
      </c>
      <c r="B644" s="19">
        <v>42457</v>
      </c>
      <c r="C644" s="21">
        <v>0.89722222222222225</v>
      </c>
      <c r="D644" s="20" t="s">
        <v>3048</v>
      </c>
      <c r="E644" t="s">
        <v>0</v>
      </c>
      <c r="F644" t="s">
        <v>313</v>
      </c>
      <c r="G644" t="s">
        <v>2664</v>
      </c>
      <c r="H644">
        <v>7</v>
      </c>
      <c r="I644">
        <f t="shared" si="12"/>
        <v>9</v>
      </c>
    </row>
    <row r="645" spans="1:9">
      <c r="A645" s="1">
        <v>42822.901388888888</v>
      </c>
      <c r="B645" s="19">
        <v>42457</v>
      </c>
      <c r="C645" s="21">
        <v>0.85138888888888886</v>
      </c>
      <c r="D645" s="20" t="s">
        <v>3047</v>
      </c>
      <c r="E645" t="s">
        <v>0</v>
      </c>
      <c r="F645" t="s">
        <v>313</v>
      </c>
      <c r="G645" t="s">
        <v>2672</v>
      </c>
      <c r="H645">
        <v>2</v>
      </c>
      <c r="I645">
        <f t="shared" si="12"/>
        <v>3</v>
      </c>
    </row>
    <row r="646" spans="1:9">
      <c r="A646" s="1">
        <v>42822.888888888891</v>
      </c>
      <c r="B646" s="19">
        <v>42457</v>
      </c>
      <c r="C646" s="21">
        <v>0.80069444444444449</v>
      </c>
      <c r="D646" s="20" t="s">
        <v>3046</v>
      </c>
      <c r="E646" t="s">
        <v>0</v>
      </c>
      <c r="F646" t="s">
        <v>313</v>
      </c>
      <c r="G646" t="s">
        <v>2672</v>
      </c>
      <c r="H646">
        <v>2</v>
      </c>
      <c r="I646">
        <f t="shared" si="12"/>
        <v>3</v>
      </c>
    </row>
    <row r="647" spans="1:9">
      <c r="A647" s="1">
        <v>42822.868750000001</v>
      </c>
      <c r="B647" s="19">
        <v>42457</v>
      </c>
      <c r="C647" s="21">
        <v>0.71250000000000002</v>
      </c>
      <c r="D647" s="20" t="s">
        <v>3044</v>
      </c>
      <c r="E647" t="s">
        <v>0</v>
      </c>
      <c r="F647" t="s">
        <v>313</v>
      </c>
      <c r="G647" t="s">
        <v>2672</v>
      </c>
      <c r="H647">
        <v>2</v>
      </c>
      <c r="I647">
        <f t="shared" si="12"/>
        <v>3</v>
      </c>
    </row>
    <row r="648" spans="1:9">
      <c r="A648" s="1">
        <v>42822.852777777778</v>
      </c>
      <c r="B648" s="19">
        <v>42457</v>
      </c>
      <c r="C648" s="21">
        <v>0.69444444444444442</v>
      </c>
      <c r="D648" s="20" t="s">
        <v>3043</v>
      </c>
      <c r="E648" t="s">
        <v>0</v>
      </c>
      <c r="F648" t="s">
        <v>313</v>
      </c>
      <c r="G648" t="s">
        <v>2682</v>
      </c>
      <c r="H648">
        <v>5</v>
      </c>
      <c r="I648">
        <f t="shared" si="12"/>
        <v>7</v>
      </c>
    </row>
    <row r="649" spans="1:9">
      <c r="A649" s="1">
        <v>42822.70208333333</v>
      </c>
      <c r="B649" s="19">
        <v>42457</v>
      </c>
      <c r="C649" s="21">
        <v>0.65833333333333333</v>
      </c>
      <c r="D649" s="20" t="s">
        <v>3042</v>
      </c>
      <c r="E649" t="s">
        <v>0</v>
      </c>
      <c r="F649" t="s">
        <v>313</v>
      </c>
      <c r="G649" t="s">
        <v>2672</v>
      </c>
      <c r="H649">
        <v>2</v>
      </c>
      <c r="I649">
        <f t="shared" si="12"/>
        <v>3</v>
      </c>
    </row>
    <row r="650" spans="1:9">
      <c r="A650" s="1">
        <v>42822.652777777781</v>
      </c>
      <c r="B650" s="19">
        <v>42457</v>
      </c>
      <c r="C650" s="21">
        <v>0.62361111111111112</v>
      </c>
      <c r="D650" s="20" t="s">
        <v>3040</v>
      </c>
      <c r="E650" t="s">
        <v>0</v>
      </c>
      <c r="F650" t="s">
        <v>313</v>
      </c>
      <c r="G650" t="s">
        <v>2672</v>
      </c>
      <c r="H650">
        <v>2</v>
      </c>
      <c r="I650">
        <f t="shared" si="12"/>
        <v>3</v>
      </c>
    </row>
    <row r="651" spans="1:9">
      <c r="A651" s="1">
        <v>42822.51458333333</v>
      </c>
      <c r="B651" s="19">
        <v>42457</v>
      </c>
      <c r="C651" s="21">
        <v>0.52847222222222223</v>
      </c>
      <c r="D651" s="20" t="s">
        <v>3038</v>
      </c>
      <c r="E651" t="s">
        <v>0</v>
      </c>
      <c r="F651" t="s">
        <v>313</v>
      </c>
      <c r="G651" t="s">
        <v>2647</v>
      </c>
      <c r="H651">
        <v>3</v>
      </c>
      <c r="I651">
        <f t="shared" si="12"/>
        <v>4</v>
      </c>
    </row>
    <row r="652" spans="1:9">
      <c r="A652" s="1">
        <v>42822.467361111114</v>
      </c>
      <c r="B652" s="19">
        <v>42457</v>
      </c>
      <c r="C652" s="21">
        <v>0.52638888888888891</v>
      </c>
      <c r="D652" s="20" t="s">
        <v>3038</v>
      </c>
      <c r="E652" t="s">
        <v>0</v>
      </c>
      <c r="F652" t="s">
        <v>313</v>
      </c>
      <c r="G652" t="s">
        <v>2621</v>
      </c>
      <c r="H652">
        <v>3</v>
      </c>
      <c r="I652">
        <f t="shared" si="12"/>
        <v>4</v>
      </c>
    </row>
    <row r="653" spans="1:9">
      <c r="A653" s="1">
        <v>42822.466666666667</v>
      </c>
      <c r="B653" s="19">
        <v>42457</v>
      </c>
      <c r="C653" s="21">
        <v>0.52638888888888891</v>
      </c>
      <c r="D653" s="20" t="s">
        <v>3038</v>
      </c>
      <c r="E653" t="s">
        <v>0</v>
      </c>
      <c r="F653" t="s">
        <v>313</v>
      </c>
      <c r="G653" t="s">
        <v>2608</v>
      </c>
      <c r="H653">
        <v>4</v>
      </c>
      <c r="I653">
        <f t="shared" si="12"/>
        <v>5</v>
      </c>
    </row>
    <row r="654" spans="1:9">
      <c r="A654" s="1">
        <v>42822.434027777781</v>
      </c>
      <c r="B654" s="19">
        <v>42457</v>
      </c>
      <c r="C654" s="21">
        <v>0.48958333333333331</v>
      </c>
      <c r="D654" s="20" t="s">
        <v>3037</v>
      </c>
      <c r="E654" t="s">
        <v>0</v>
      </c>
      <c r="F654" t="s">
        <v>313</v>
      </c>
      <c r="G654" t="s">
        <v>2608</v>
      </c>
      <c r="H654">
        <v>4</v>
      </c>
      <c r="I654">
        <f t="shared" si="12"/>
        <v>5</v>
      </c>
    </row>
    <row r="655" spans="1:9">
      <c r="A655" s="1">
        <v>42822.359027777777</v>
      </c>
      <c r="B655" s="19">
        <v>42457</v>
      </c>
      <c r="C655" s="21">
        <v>0.46597222222222223</v>
      </c>
      <c r="D655" s="20" t="s">
        <v>3037</v>
      </c>
      <c r="E655" t="s">
        <v>0</v>
      </c>
      <c r="F655" t="s">
        <v>313</v>
      </c>
      <c r="G655" t="s">
        <v>2621</v>
      </c>
      <c r="H655">
        <v>3</v>
      </c>
      <c r="I655">
        <f t="shared" si="12"/>
        <v>4</v>
      </c>
    </row>
    <row r="656" spans="1:9">
      <c r="A656" s="1">
        <v>42822.919444444444</v>
      </c>
      <c r="B656" s="19">
        <v>42457</v>
      </c>
      <c r="C656" s="21">
        <v>0.4</v>
      </c>
      <c r="D656" s="20" t="s">
        <v>3035</v>
      </c>
      <c r="E656" t="s">
        <v>0</v>
      </c>
      <c r="F656" t="s">
        <v>313</v>
      </c>
      <c r="G656" t="s">
        <v>2608</v>
      </c>
      <c r="H656">
        <v>4</v>
      </c>
      <c r="I656">
        <f t="shared" si="12"/>
        <v>5</v>
      </c>
    </row>
    <row r="657" spans="1:9">
      <c r="A657" s="1">
        <v>42822.916666666664</v>
      </c>
      <c r="B657" s="19">
        <v>42457</v>
      </c>
      <c r="C657" s="21">
        <v>0.4</v>
      </c>
      <c r="D657" s="20" t="s">
        <v>3035</v>
      </c>
      <c r="E657" t="s">
        <v>0</v>
      </c>
      <c r="F657" t="s">
        <v>313</v>
      </c>
      <c r="G657" t="s">
        <v>2621</v>
      </c>
      <c r="H657">
        <v>3</v>
      </c>
      <c r="I657">
        <f t="shared" si="12"/>
        <v>4</v>
      </c>
    </row>
    <row r="658" spans="1:9">
      <c r="A658" s="1">
        <v>42822.586111111108</v>
      </c>
      <c r="B658" s="19">
        <v>42457</v>
      </c>
      <c r="C658" s="21">
        <v>0.37361111111111112</v>
      </c>
      <c r="D658" s="20" t="s">
        <v>3034</v>
      </c>
      <c r="E658" t="s">
        <v>0</v>
      </c>
      <c r="F658" t="s">
        <v>313</v>
      </c>
      <c r="G658" t="s">
        <v>2621</v>
      </c>
      <c r="H658">
        <v>3</v>
      </c>
      <c r="I658">
        <f t="shared" si="12"/>
        <v>4</v>
      </c>
    </row>
    <row r="659" spans="1:9">
      <c r="A659" s="1">
        <v>42822.580555555556</v>
      </c>
      <c r="B659" s="19">
        <v>42457</v>
      </c>
      <c r="C659" s="21">
        <v>0.31666666666666665</v>
      </c>
      <c r="D659" s="20" t="s">
        <v>3033</v>
      </c>
      <c r="E659" t="s">
        <v>0</v>
      </c>
      <c r="F659" t="s">
        <v>313</v>
      </c>
      <c r="G659" t="s">
        <v>2608</v>
      </c>
      <c r="H659">
        <v>4</v>
      </c>
      <c r="I659">
        <f t="shared" si="12"/>
        <v>5</v>
      </c>
    </row>
    <row r="660" spans="1:9">
      <c r="A660" s="1">
        <v>42822.501388888886</v>
      </c>
      <c r="B660" s="19">
        <v>42457</v>
      </c>
      <c r="C660" s="21">
        <v>0.31597222222222221</v>
      </c>
      <c r="D660" s="20" t="s">
        <v>3033</v>
      </c>
      <c r="E660" t="s">
        <v>0</v>
      </c>
      <c r="F660" t="s">
        <v>313</v>
      </c>
      <c r="G660" t="s">
        <v>2621</v>
      </c>
      <c r="H660">
        <v>3</v>
      </c>
      <c r="I660">
        <f t="shared" si="12"/>
        <v>4</v>
      </c>
    </row>
    <row r="661" spans="1:9">
      <c r="A661" s="1">
        <v>42822.462500000001</v>
      </c>
      <c r="B661" s="19">
        <v>42457</v>
      </c>
      <c r="C661" s="21">
        <v>0.25763888888888886</v>
      </c>
      <c r="D661" s="20" t="s">
        <v>3031</v>
      </c>
      <c r="E661" t="s">
        <v>0</v>
      </c>
      <c r="G661" t="s">
        <v>1844</v>
      </c>
      <c r="H661">
        <v>7</v>
      </c>
      <c r="I661">
        <f t="shared" si="12"/>
        <v>9</v>
      </c>
    </row>
    <row r="662" spans="1:9">
      <c r="A662" s="1">
        <v>42822.427777777775</v>
      </c>
      <c r="B662" s="19">
        <v>42457</v>
      </c>
      <c r="C662" s="21">
        <v>0.25555555555555554</v>
      </c>
      <c r="D662" s="20" t="s">
        <v>3031</v>
      </c>
      <c r="E662" t="s">
        <v>0</v>
      </c>
      <c r="G662" t="s">
        <v>2683</v>
      </c>
      <c r="H662">
        <v>13</v>
      </c>
      <c r="I662">
        <f t="shared" si="12"/>
        <v>17</v>
      </c>
    </row>
    <row r="663" spans="1:9">
      <c r="A663" s="1">
        <v>42822.397916666669</v>
      </c>
      <c r="B663" s="19">
        <v>42457</v>
      </c>
      <c r="C663" s="21">
        <v>0.97916666666666663</v>
      </c>
      <c r="D663" s="20" t="s">
        <v>3063</v>
      </c>
      <c r="E663" t="s">
        <v>6</v>
      </c>
      <c r="F663" t="s">
        <v>26</v>
      </c>
      <c r="G663" t="s">
        <v>2681</v>
      </c>
      <c r="H663">
        <v>75</v>
      </c>
      <c r="I663">
        <f t="shared" si="12"/>
        <v>93</v>
      </c>
    </row>
    <row r="664" spans="1:9">
      <c r="A664" s="1">
        <v>42822.345138888886</v>
      </c>
      <c r="B664" s="19">
        <v>42457</v>
      </c>
      <c r="C664" s="21">
        <v>0.94305555555555554</v>
      </c>
      <c r="D664" s="20" t="s">
        <v>3049</v>
      </c>
      <c r="E664" t="s">
        <v>6</v>
      </c>
      <c r="F664" t="s">
        <v>26</v>
      </c>
      <c r="G664" t="s">
        <v>2379</v>
      </c>
      <c r="H664">
        <v>25</v>
      </c>
      <c r="I664">
        <f t="shared" si="12"/>
        <v>31</v>
      </c>
    </row>
    <row r="665" spans="1:9">
      <c r="A665" s="1">
        <v>42822.344444444447</v>
      </c>
      <c r="B665" s="19">
        <v>42457</v>
      </c>
      <c r="C665" s="21">
        <v>0.88541666666666663</v>
      </c>
      <c r="D665" s="20" t="s">
        <v>3048</v>
      </c>
      <c r="E665" t="s">
        <v>6</v>
      </c>
      <c r="F665" t="s">
        <v>12</v>
      </c>
      <c r="G665" t="s">
        <v>1053</v>
      </c>
      <c r="H665">
        <v>4</v>
      </c>
      <c r="I665">
        <f t="shared" si="12"/>
        <v>5</v>
      </c>
    </row>
    <row r="666" spans="1:9">
      <c r="A666" s="1">
        <v>42822.302083333336</v>
      </c>
      <c r="B666" s="19">
        <v>42457</v>
      </c>
      <c r="C666" s="21">
        <v>0.88263888888888886</v>
      </c>
      <c r="D666" s="20" t="s">
        <v>3048</v>
      </c>
      <c r="E666" t="s">
        <v>6</v>
      </c>
      <c r="F666" t="s">
        <v>167</v>
      </c>
      <c r="G666" t="s">
        <v>2576</v>
      </c>
      <c r="H666">
        <v>3</v>
      </c>
      <c r="I666">
        <f t="shared" si="12"/>
        <v>4</v>
      </c>
    </row>
    <row r="667" spans="1:9">
      <c r="A667" s="1">
        <v>42822.268750000003</v>
      </c>
      <c r="B667" s="19">
        <v>42458</v>
      </c>
      <c r="C667" s="21">
        <v>0.99513888888888891</v>
      </c>
      <c r="D667" s="20" t="s">
        <v>3063</v>
      </c>
      <c r="E667" t="s">
        <v>33</v>
      </c>
      <c r="F667" t="s">
        <v>44</v>
      </c>
      <c r="G667" t="s">
        <v>2633</v>
      </c>
      <c r="H667">
        <v>13</v>
      </c>
      <c r="I667">
        <f t="shared" si="12"/>
        <v>17</v>
      </c>
    </row>
    <row r="668" spans="1:9">
      <c r="A668" s="1">
        <v>42822.25277777778</v>
      </c>
      <c r="B668" s="19">
        <v>42458</v>
      </c>
      <c r="C668" s="21">
        <v>0.97222222222222221</v>
      </c>
      <c r="D668" s="20" t="s">
        <v>3063</v>
      </c>
      <c r="E668" t="s">
        <v>0</v>
      </c>
      <c r="F668" t="s">
        <v>75</v>
      </c>
      <c r="G668" t="s">
        <v>75</v>
      </c>
      <c r="H668">
        <v>4</v>
      </c>
      <c r="I668">
        <f t="shared" si="12"/>
        <v>5</v>
      </c>
    </row>
    <row r="669" spans="1:9">
      <c r="A669" s="1">
        <v>42822.25277777778</v>
      </c>
      <c r="B669" s="19">
        <v>42458</v>
      </c>
      <c r="C669" s="21">
        <v>0.90902777777777777</v>
      </c>
      <c r="D669" s="20" t="s">
        <v>3048</v>
      </c>
      <c r="E669" t="s">
        <v>0</v>
      </c>
      <c r="F669" t="s">
        <v>10</v>
      </c>
      <c r="G669" t="s">
        <v>2663</v>
      </c>
      <c r="H669">
        <v>13</v>
      </c>
      <c r="I669">
        <f t="shared" si="12"/>
        <v>17</v>
      </c>
    </row>
    <row r="670" spans="1:9">
      <c r="A670" s="1">
        <v>42821.762499999997</v>
      </c>
      <c r="B670" s="19">
        <v>42458</v>
      </c>
      <c r="C670" s="21">
        <v>0.8833333333333333</v>
      </c>
      <c r="D670" s="20" t="s">
        <v>3048</v>
      </c>
      <c r="E670" t="s">
        <v>0</v>
      </c>
      <c r="F670" t="s">
        <v>313</v>
      </c>
      <c r="G670" t="s">
        <v>2664</v>
      </c>
      <c r="H670">
        <v>7</v>
      </c>
      <c r="I670">
        <f t="shared" si="12"/>
        <v>9</v>
      </c>
    </row>
    <row r="671" spans="1:9">
      <c r="A671" s="1">
        <v>42821.430555555555</v>
      </c>
      <c r="B671" s="19">
        <v>42458</v>
      </c>
      <c r="C671" s="21">
        <v>0.83194444444444449</v>
      </c>
      <c r="D671" s="20" t="s">
        <v>3046</v>
      </c>
      <c r="E671" t="s">
        <v>33</v>
      </c>
      <c r="F671" t="s">
        <v>44</v>
      </c>
      <c r="G671" t="s">
        <v>2666</v>
      </c>
      <c r="H671">
        <v>19</v>
      </c>
      <c r="I671">
        <f t="shared" si="12"/>
        <v>24</v>
      </c>
    </row>
    <row r="672" spans="1:9">
      <c r="A672" s="1">
        <v>42821.917361111111</v>
      </c>
      <c r="B672" s="19">
        <v>42458</v>
      </c>
      <c r="C672" s="21">
        <v>0.71458333333333335</v>
      </c>
      <c r="D672" s="20" t="s">
        <v>3044</v>
      </c>
      <c r="E672" t="s">
        <v>33</v>
      </c>
      <c r="F672" t="s">
        <v>44</v>
      </c>
      <c r="G672" t="s">
        <v>2669</v>
      </c>
      <c r="H672">
        <v>13</v>
      </c>
      <c r="I672">
        <f t="shared" si="12"/>
        <v>17</v>
      </c>
    </row>
    <row r="673" spans="1:9">
      <c r="A673" s="1">
        <v>42821.917361111111</v>
      </c>
      <c r="B673" s="19">
        <v>42458</v>
      </c>
      <c r="C673" s="21">
        <v>0.66736111111111107</v>
      </c>
      <c r="D673" s="20" t="s">
        <v>3043</v>
      </c>
      <c r="E673" t="s">
        <v>0</v>
      </c>
      <c r="F673" t="s">
        <v>75</v>
      </c>
      <c r="G673" t="s">
        <v>2671</v>
      </c>
      <c r="H673">
        <v>7</v>
      </c>
      <c r="I673">
        <f t="shared" si="12"/>
        <v>9</v>
      </c>
    </row>
    <row r="674" spans="1:9">
      <c r="A674" s="1">
        <v>42821.906944444447</v>
      </c>
      <c r="B674" s="19">
        <v>42458</v>
      </c>
      <c r="C674" s="21">
        <v>0.62986111111111109</v>
      </c>
      <c r="D674" s="20" t="s">
        <v>3042</v>
      </c>
      <c r="E674" t="s">
        <v>0</v>
      </c>
      <c r="F674" t="s">
        <v>313</v>
      </c>
      <c r="G674" t="s">
        <v>2672</v>
      </c>
      <c r="H674">
        <v>2</v>
      </c>
      <c r="I674">
        <f t="shared" si="12"/>
        <v>3</v>
      </c>
    </row>
    <row r="675" spans="1:9">
      <c r="A675" s="1">
        <v>42821.65</v>
      </c>
      <c r="B675" s="19">
        <v>42458</v>
      </c>
      <c r="C675" s="21">
        <v>0.39652777777777776</v>
      </c>
      <c r="D675" s="20" t="s">
        <v>3035</v>
      </c>
      <c r="E675" t="s">
        <v>0</v>
      </c>
      <c r="F675" t="s">
        <v>313</v>
      </c>
      <c r="G675" t="s">
        <v>2676</v>
      </c>
      <c r="H675">
        <v>13</v>
      </c>
      <c r="I675">
        <f t="shared" si="12"/>
        <v>17</v>
      </c>
    </row>
    <row r="676" spans="1:9">
      <c r="A676" s="1">
        <v>42821.583333333336</v>
      </c>
      <c r="B676" s="19">
        <v>42458</v>
      </c>
      <c r="C676" s="21">
        <v>0.98958333333333337</v>
      </c>
      <c r="D676" s="20" t="s">
        <v>3063</v>
      </c>
      <c r="E676" t="s">
        <v>6</v>
      </c>
      <c r="F676" t="s">
        <v>7</v>
      </c>
      <c r="G676" t="s">
        <v>2661</v>
      </c>
      <c r="H676">
        <v>3</v>
      </c>
      <c r="I676">
        <f t="shared" si="12"/>
        <v>4</v>
      </c>
    </row>
    <row r="677" spans="1:9">
      <c r="A677" s="1">
        <v>42821.577777777777</v>
      </c>
      <c r="B677" s="19">
        <v>42458</v>
      </c>
      <c r="C677" s="21">
        <v>0.94722222222222219</v>
      </c>
      <c r="D677" s="20" t="s">
        <v>3049</v>
      </c>
      <c r="E677" t="s">
        <v>6</v>
      </c>
      <c r="F677" t="s">
        <v>26</v>
      </c>
      <c r="G677" t="s">
        <v>2662</v>
      </c>
      <c r="H677">
        <v>19</v>
      </c>
      <c r="I677">
        <f t="shared" si="12"/>
        <v>24</v>
      </c>
    </row>
    <row r="678" spans="1:9">
      <c r="A678" s="1">
        <v>42821.251388888886</v>
      </c>
      <c r="B678" s="19">
        <v>42458</v>
      </c>
      <c r="C678" s="21">
        <v>0.87708333333333333</v>
      </c>
      <c r="D678" s="20" t="s">
        <v>3048</v>
      </c>
      <c r="E678" t="s">
        <v>2</v>
      </c>
      <c r="F678" t="s">
        <v>3</v>
      </c>
      <c r="G678" t="s">
        <v>202</v>
      </c>
      <c r="H678">
        <v>13</v>
      </c>
      <c r="I678">
        <f t="shared" si="12"/>
        <v>17</v>
      </c>
    </row>
    <row r="679" spans="1:9">
      <c r="A679" s="1">
        <v>42817.98333333333</v>
      </c>
      <c r="B679" s="19">
        <v>42458</v>
      </c>
      <c r="C679" s="21">
        <v>0.83472222222222225</v>
      </c>
      <c r="D679" s="20" t="s">
        <v>3047</v>
      </c>
      <c r="E679" t="s">
        <v>6</v>
      </c>
      <c r="F679" t="s">
        <v>21</v>
      </c>
      <c r="G679" t="s">
        <v>2665</v>
      </c>
      <c r="H679">
        <v>38</v>
      </c>
      <c r="I679">
        <f t="shared" si="12"/>
        <v>48</v>
      </c>
    </row>
    <row r="680" spans="1:9">
      <c r="A680" s="1">
        <v>42817.544444444444</v>
      </c>
      <c r="B680" s="19">
        <v>42458</v>
      </c>
      <c r="C680" s="21">
        <v>0.79305555555555551</v>
      </c>
      <c r="D680" s="20" t="s">
        <v>3046</v>
      </c>
      <c r="E680" t="s">
        <v>6</v>
      </c>
      <c r="F680" t="s">
        <v>21</v>
      </c>
      <c r="G680" t="s">
        <v>2667</v>
      </c>
      <c r="H680">
        <v>75</v>
      </c>
      <c r="I680">
        <f t="shared" si="12"/>
        <v>93</v>
      </c>
    </row>
    <row r="681" spans="1:9">
      <c r="A681" s="1">
        <v>42817.495833333334</v>
      </c>
      <c r="B681" s="19">
        <v>42458</v>
      </c>
      <c r="C681" s="21">
        <v>0.75486111111111109</v>
      </c>
      <c r="D681" s="20" t="s">
        <v>3045</v>
      </c>
      <c r="E681" t="s">
        <v>6</v>
      </c>
      <c r="F681" t="s">
        <v>21</v>
      </c>
      <c r="G681" t="s">
        <v>2667</v>
      </c>
      <c r="H681">
        <v>75</v>
      </c>
      <c r="I681">
        <f t="shared" si="12"/>
        <v>93</v>
      </c>
    </row>
    <row r="682" spans="1:9">
      <c r="A682" s="1">
        <v>42817.429166666669</v>
      </c>
      <c r="B682" s="19">
        <v>42458</v>
      </c>
      <c r="C682" s="21">
        <v>0.72916666666666663</v>
      </c>
      <c r="D682" s="20" t="s">
        <v>3044</v>
      </c>
      <c r="E682" t="s">
        <v>6</v>
      </c>
      <c r="F682" t="s">
        <v>26</v>
      </c>
      <c r="G682" t="s">
        <v>2668</v>
      </c>
      <c r="H682">
        <v>7</v>
      </c>
      <c r="I682">
        <f t="shared" si="12"/>
        <v>9</v>
      </c>
    </row>
    <row r="683" spans="1:9">
      <c r="A683" s="1">
        <v>42817.364583333336</v>
      </c>
      <c r="B683" s="19">
        <v>42458</v>
      </c>
      <c r="C683" s="21">
        <v>0.71458333333333335</v>
      </c>
      <c r="D683" s="20" t="s">
        <v>3044</v>
      </c>
      <c r="E683" t="s">
        <v>6</v>
      </c>
      <c r="F683" t="s">
        <v>21</v>
      </c>
      <c r="G683" t="s">
        <v>2670</v>
      </c>
      <c r="H683">
        <v>75</v>
      </c>
      <c r="I683">
        <f t="shared" si="12"/>
        <v>93</v>
      </c>
    </row>
    <row r="684" spans="1:9">
      <c r="A684" s="1">
        <v>42817.239583333336</v>
      </c>
      <c r="B684" s="19">
        <v>42458</v>
      </c>
      <c r="C684" s="21">
        <v>0.68055555555555558</v>
      </c>
      <c r="D684" s="20" t="s">
        <v>3043</v>
      </c>
      <c r="E684" t="s">
        <v>6</v>
      </c>
      <c r="F684" t="s">
        <v>21</v>
      </c>
      <c r="G684" t="s">
        <v>2670</v>
      </c>
      <c r="H684">
        <v>50</v>
      </c>
      <c r="I684">
        <f t="shared" si="12"/>
        <v>62</v>
      </c>
    </row>
    <row r="685" spans="1:9">
      <c r="A685" s="1">
        <v>42817.053472222222</v>
      </c>
      <c r="B685" s="19">
        <v>42458</v>
      </c>
      <c r="C685" s="21">
        <v>0.62708333333333333</v>
      </c>
      <c r="D685" s="20" t="s">
        <v>3042</v>
      </c>
      <c r="E685" t="s">
        <v>6</v>
      </c>
      <c r="F685" t="s">
        <v>12</v>
      </c>
      <c r="G685" t="s">
        <v>2673</v>
      </c>
      <c r="H685">
        <v>3</v>
      </c>
      <c r="I685">
        <f t="shared" si="12"/>
        <v>4</v>
      </c>
    </row>
    <row r="686" spans="1:9">
      <c r="A686" s="1">
        <v>42817.911111111112</v>
      </c>
      <c r="B686" s="19">
        <v>42458</v>
      </c>
      <c r="C686" s="21">
        <v>0.62083333333333335</v>
      </c>
      <c r="D686" s="20" t="s">
        <v>3040</v>
      </c>
      <c r="E686" t="s">
        <v>2</v>
      </c>
      <c r="F686" t="s">
        <v>48</v>
      </c>
      <c r="G686" t="s">
        <v>2674</v>
      </c>
      <c r="H686">
        <v>25</v>
      </c>
      <c r="I686">
        <f t="shared" si="12"/>
        <v>31</v>
      </c>
    </row>
    <row r="687" spans="1:9">
      <c r="A687" s="1">
        <v>42817.835416666669</v>
      </c>
      <c r="B687" s="19">
        <v>42458</v>
      </c>
      <c r="C687" s="21">
        <v>0.56111111111111112</v>
      </c>
      <c r="D687" s="20" t="s">
        <v>3039</v>
      </c>
      <c r="E687" t="s">
        <v>2</v>
      </c>
      <c r="F687" t="s">
        <v>48</v>
      </c>
      <c r="G687" t="s">
        <v>2675</v>
      </c>
      <c r="H687" t="e">
        <v>#VALUE!</v>
      </c>
      <c r="I687" t="e">
        <f t="shared" si="12"/>
        <v>#VALUE!</v>
      </c>
    </row>
    <row r="688" spans="1:9">
      <c r="A688" s="1">
        <v>42817.791666666664</v>
      </c>
      <c r="B688" s="19">
        <v>42458</v>
      </c>
      <c r="C688" s="21">
        <v>0.35902777777777778</v>
      </c>
      <c r="D688" s="20" t="s">
        <v>3034</v>
      </c>
      <c r="E688" t="s">
        <v>6</v>
      </c>
      <c r="F688" t="s">
        <v>26</v>
      </c>
      <c r="G688" t="s">
        <v>2677</v>
      </c>
      <c r="H688">
        <v>25</v>
      </c>
      <c r="I688">
        <f t="shared" si="12"/>
        <v>31</v>
      </c>
    </row>
    <row r="689" spans="1:9">
      <c r="A689" s="1">
        <v>42817.788888888892</v>
      </c>
      <c r="B689" s="19">
        <v>42458</v>
      </c>
      <c r="C689" s="21">
        <v>0.2590277777777778</v>
      </c>
      <c r="D689" s="20" t="s">
        <v>3031</v>
      </c>
      <c r="E689" t="s">
        <v>6</v>
      </c>
      <c r="F689" t="s">
        <v>26</v>
      </c>
      <c r="G689" t="s">
        <v>2678</v>
      </c>
      <c r="H689" t="e">
        <v>#VALUE!</v>
      </c>
      <c r="I689" t="e">
        <f t="shared" si="12"/>
        <v>#VALUE!</v>
      </c>
    </row>
    <row r="690" spans="1:9">
      <c r="A690" s="1">
        <v>42817.709722222222</v>
      </c>
      <c r="B690" s="19">
        <v>42458</v>
      </c>
      <c r="C690" s="21">
        <v>6.3888888888888884E-2</v>
      </c>
      <c r="D690" s="20" t="s">
        <v>3051</v>
      </c>
      <c r="E690" t="s">
        <v>6</v>
      </c>
      <c r="F690" t="s">
        <v>26</v>
      </c>
      <c r="G690" t="s">
        <v>2679</v>
      </c>
      <c r="H690">
        <v>298</v>
      </c>
      <c r="I690">
        <f t="shared" si="12"/>
        <v>370</v>
      </c>
    </row>
    <row r="691" spans="1:9">
      <c r="A691" s="1">
        <v>42817.679166666669</v>
      </c>
      <c r="B691" s="19">
        <v>42458</v>
      </c>
      <c r="C691" s="21">
        <v>1.8749999999999999E-2</v>
      </c>
      <c r="D691" s="20" t="s">
        <v>3050</v>
      </c>
      <c r="E691" t="s">
        <v>6</v>
      </c>
      <c r="F691" t="s">
        <v>26</v>
      </c>
      <c r="G691" t="s">
        <v>2680</v>
      </c>
      <c r="H691">
        <v>75</v>
      </c>
      <c r="I691">
        <f t="shared" si="12"/>
        <v>93</v>
      </c>
    </row>
    <row r="692" spans="1:9">
      <c r="A692" s="1">
        <v>42817.625694444447</v>
      </c>
      <c r="B692" s="19">
        <v>42458</v>
      </c>
      <c r="C692" s="21">
        <v>9.0277777777777769E-3</v>
      </c>
      <c r="D692" s="20" t="s">
        <v>3050</v>
      </c>
      <c r="E692" t="s">
        <v>6</v>
      </c>
      <c r="F692" t="s">
        <v>26</v>
      </c>
      <c r="G692" t="s">
        <v>2379</v>
      </c>
      <c r="H692">
        <v>75</v>
      </c>
      <c r="I692">
        <f t="shared" si="12"/>
        <v>93</v>
      </c>
    </row>
    <row r="693" spans="1:9">
      <c r="A693" s="1">
        <v>42817.602083333331</v>
      </c>
      <c r="B693" s="19">
        <v>42459</v>
      </c>
      <c r="C693" s="21">
        <v>0.90833333333333333</v>
      </c>
      <c r="D693" s="20" t="s">
        <v>3048</v>
      </c>
      <c r="E693" t="s">
        <v>0</v>
      </c>
      <c r="F693" t="s">
        <v>313</v>
      </c>
      <c r="G693" t="s">
        <v>2612</v>
      </c>
      <c r="H693">
        <v>7</v>
      </c>
      <c r="I693">
        <f t="shared" si="12"/>
        <v>9</v>
      </c>
    </row>
    <row r="694" spans="1:9">
      <c r="A694" s="1">
        <v>42817.591666666667</v>
      </c>
      <c r="B694" s="19">
        <v>42459</v>
      </c>
      <c r="C694" s="21">
        <v>0.78888888888888886</v>
      </c>
      <c r="D694" s="20" t="s">
        <v>3045</v>
      </c>
      <c r="E694" t="s">
        <v>0</v>
      </c>
      <c r="F694" t="s">
        <v>313</v>
      </c>
      <c r="G694" t="s">
        <v>2614</v>
      </c>
      <c r="H694">
        <v>2</v>
      </c>
      <c r="I694">
        <f t="shared" si="12"/>
        <v>3</v>
      </c>
    </row>
    <row r="695" spans="1:9">
      <c r="A695" s="1">
        <v>42817.586111111108</v>
      </c>
      <c r="B695" s="19">
        <v>42459</v>
      </c>
      <c r="C695" s="21">
        <v>0.7104166666666667</v>
      </c>
      <c r="D695" s="20" t="s">
        <v>3044</v>
      </c>
      <c r="E695" t="s">
        <v>0</v>
      </c>
      <c r="F695" t="s">
        <v>313</v>
      </c>
      <c r="G695" t="s">
        <v>2615</v>
      </c>
      <c r="H695">
        <v>3</v>
      </c>
      <c r="I695">
        <f t="shared" si="12"/>
        <v>4</v>
      </c>
    </row>
    <row r="696" spans="1:9">
      <c r="A696" s="1">
        <v>42817.541666666664</v>
      </c>
      <c r="B696" s="19">
        <v>42459</v>
      </c>
      <c r="C696" s="21">
        <v>0.66666666666666663</v>
      </c>
      <c r="D696" s="20" t="s">
        <v>3043</v>
      </c>
      <c r="E696" t="s">
        <v>0</v>
      </c>
      <c r="F696" t="s">
        <v>313</v>
      </c>
      <c r="G696" t="s">
        <v>2614</v>
      </c>
      <c r="H696">
        <v>2</v>
      </c>
      <c r="I696">
        <f t="shared" si="12"/>
        <v>3</v>
      </c>
    </row>
    <row r="697" spans="1:9">
      <c r="A697" s="1">
        <v>42817.268055555556</v>
      </c>
      <c r="B697" s="19">
        <v>42459</v>
      </c>
      <c r="C697" s="21">
        <v>0.62986111111111109</v>
      </c>
      <c r="D697" s="20" t="s">
        <v>3042</v>
      </c>
      <c r="E697" t="s">
        <v>0</v>
      </c>
      <c r="F697" t="s">
        <v>313</v>
      </c>
      <c r="G697" t="s">
        <v>2614</v>
      </c>
      <c r="H697">
        <v>2</v>
      </c>
      <c r="I697">
        <f t="shared" si="12"/>
        <v>3</v>
      </c>
    </row>
    <row r="698" spans="1:9">
      <c r="A698" s="1">
        <v>42817.250694444447</v>
      </c>
      <c r="B698" s="19">
        <v>42459</v>
      </c>
      <c r="C698" s="21">
        <v>0.54027777777777775</v>
      </c>
      <c r="D698" s="20" t="s">
        <v>3038</v>
      </c>
      <c r="E698" t="s">
        <v>0</v>
      </c>
      <c r="F698" t="s">
        <v>313</v>
      </c>
      <c r="G698" t="s">
        <v>2608</v>
      </c>
      <c r="H698">
        <v>4</v>
      </c>
      <c r="I698">
        <f t="shared" si="12"/>
        <v>5</v>
      </c>
    </row>
    <row r="699" spans="1:9">
      <c r="A699" s="1">
        <v>42817.228472222225</v>
      </c>
      <c r="B699" s="19">
        <v>42459</v>
      </c>
      <c r="C699" s="21">
        <v>0.54027777777777775</v>
      </c>
      <c r="D699" s="20" t="s">
        <v>3038</v>
      </c>
      <c r="E699" t="s">
        <v>0</v>
      </c>
      <c r="F699" t="s">
        <v>313</v>
      </c>
      <c r="G699" t="s">
        <v>2604</v>
      </c>
      <c r="H699">
        <v>3</v>
      </c>
      <c r="I699">
        <f t="shared" si="12"/>
        <v>4</v>
      </c>
    </row>
    <row r="700" spans="1:9">
      <c r="A700" s="1">
        <v>42817.025000000001</v>
      </c>
      <c r="B700" s="19">
        <v>42459</v>
      </c>
      <c r="C700" s="21">
        <v>0.49583333333333335</v>
      </c>
      <c r="D700" s="20" t="s">
        <v>3037</v>
      </c>
      <c r="E700" t="s">
        <v>0</v>
      </c>
      <c r="F700" t="s">
        <v>313</v>
      </c>
      <c r="G700" t="s">
        <v>2647</v>
      </c>
      <c r="H700">
        <v>4</v>
      </c>
      <c r="I700">
        <f t="shared" si="12"/>
        <v>5</v>
      </c>
    </row>
    <row r="701" spans="1:9">
      <c r="A701" s="1">
        <v>42816.953472222223</v>
      </c>
      <c r="B701" s="19">
        <v>42459</v>
      </c>
      <c r="C701" s="21">
        <v>0.43194444444444446</v>
      </c>
      <c r="D701" s="20" t="s">
        <v>3036</v>
      </c>
      <c r="E701" t="s">
        <v>0</v>
      </c>
      <c r="F701" t="s">
        <v>313</v>
      </c>
      <c r="G701" t="s">
        <v>2604</v>
      </c>
      <c r="H701">
        <v>3</v>
      </c>
      <c r="I701">
        <f t="shared" si="12"/>
        <v>4</v>
      </c>
    </row>
    <row r="702" spans="1:9">
      <c r="A702" s="1">
        <v>42816.939583333333</v>
      </c>
      <c r="B702" s="19">
        <v>42459</v>
      </c>
      <c r="C702" s="21">
        <v>0.42708333333333331</v>
      </c>
      <c r="D702" s="20" t="s">
        <v>3036</v>
      </c>
      <c r="E702" t="s">
        <v>18</v>
      </c>
      <c r="F702" t="s">
        <v>71</v>
      </c>
      <c r="G702" t="s">
        <v>2651</v>
      </c>
      <c r="H702" t="e">
        <v>#VALUE!</v>
      </c>
      <c r="I702" t="e">
        <f t="shared" si="12"/>
        <v>#VALUE!</v>
      </c>
    </row>
    <row r="703" spans="1:9">
      <c r="A703" s="1">
        <v>42816.87777777778</v>
      </c>
      <c r="B703" s="19">
        <v>42459</v>
      </c>
      <c r="C703" s="21">
        <v>0.40902777777777777</v>
      </c>
      <c r="D703" s="20" t="s">
        <v>3035</v>
      </c>
      <c r="E703" t="s">
        <v>0</v>
      </c>
      <c r="G703" t="s">
        <v>2652</v>
      </c>
      <c r="H703" t="e">
        <v>#VALUE!</v>
      </c>
      <c r="I703" t="e">
        <f t="shared" si="12"/>
        <v>#VALUE!</v>
      </c>
    </row>
    <row r="704" spans="1:9">
      <c r="A704" s="1">
        <v>42816.822222222225</v>
      </c>
      <c r="B704" s="19">
        <v>42459</v>
      </c>
      <c r="C704" s="21">
        <v>0.37569444444444444</v>
      </c>
      <c r="D704" s="20" t="s">
        <v>3035</v>
      </c>
      <c r="E704" t="s">
        <v>0</v>
      </c>
      <c r="F704" t="s">
        <v>313</v>
      </c>
      <c r="G704" t="s">
        <v>2604</v>
      </c>
      <c r="H704">
        <v>3</v>
      </c>
      <c r="I704">
        <f t="shared" si="12"/>
        <v>4</v>
      </c>
    </row>
    <row r="705" spans="1:9">
      <c r="A705" s="1">
        <v>42816.750694444447</v>
      </c>
      <c r="B705" s="19">
        <v>42459</v>
      </c>
      <c r="C705" s="21">
        <v>0.37569444444444444</v>
      </c>
      <c r="D705" s="20" t="s">
        <v>3035</v>
      </c>
      <c r="E705" t="s">
        <v>0</v>
      </c>
      <c r="F705" t="s">
        <v>313</v>
      </c>
      <c r="G705" t="s">
        <v>2608</v>
      </c>
      <c r="H705">
        <v>4</v>
      </c>
      <c r="I705">
        <f t="shared" si="12"/>
        <v>5</v>
      </c>
    </row>
    <row r="706" spans="1:9">
      <c r="A706" s="1">
        <v>42816.693055555559</v>
      </c>
      <c r="B706" s="19">
        <v>42459</v>
      </c>
      <c r="C706" s="21">
        <v>0.34305555555555556</v>
      </c>
      <c r="D706" s="20" t="s">
        <v>3034</v>
      </c>
      <c r="E706" t="s">
        <v>149</v>
      </c>
      <c r="F706" t="s">
        <v>150</v>
      </c>
      <c r="G706" t="s">
        <v>2654</v>
      </c>
      <c r="H706">
        <v>3</v>
      </c>
      <c r="I706">
        <f t="shared" si="12"/>
        <v>4</v>
      </c>
    </row>
    <row r="707" spans="1:9">
      <c r="A707" s="1">
        <v>42816.490972222222</v>
      </c>
      <c r="B707" s="19">
        <v>42459</v>
      </c>
      <c r="C707" s="21">
        <v>0.33541666666666664</v>
      </c>
      <c r="D707" s="20" t="s">
        <v>3034</v>
      </c>
      <c r="E707" t="s">
        <v>0</v>
      </c>
      <c r="F707" t="s">
        <v>313</v>
      </c>
      <c r="G707" t="s">
        <v>2608</v>
      </c>
      <c r="H707">
        <v>4</v>
      </c>
      <c r="I707">
        <f t="shared" ref="I707:I770" si="13">ROUNDUP((H707*1.24), 0)</f>
        <v>5</v>
      </c>
    </row>
    <row r="708" spans="1:9">
      <c r="A708" s="1">
        <v>42816.381249999999</v>
      </c>
      <c r="B708" s="19">
        <v>42459</v>
      </c>
      <c r="C708" s="21">
        <v>0.32916666666666666</v>
      </c>
      <c r="D708" s="20" t="s">
        <v>3033</v>
      </c>
      <c r="E708" t="s">
        <v>0</v>
      </c>
      <c r="F708" t="s">
        <v>313</v>
      </c>
      <c r="G708" t="s">
        <v>2604</v>
      </c>
      <c r="H708">
        <v>3</v>
      </c>
      <c r="I708">
        <f t="shared" si="13"/>
        <v>4</v>
      </c>
    </row>
    <row r="709" spans="1:9">
      <c r="A709" s="1">
        <v>42816.243750000001</v>
      </c>
      <c r="B709" s="19">
        <v>42459</v>
      </c>
      <c r="C709" s="21">
        <v>0.1076388888888889</v>
      </c>
      <c r="D709" s="20" t="s">
        <v>3052</v>
      </c>
      <c r="E709" t="s">
        <v>33</v>
      </c>
      <c r="F709" t="s">
        <v>44</v>
      </c>
      <c r="G709" t="s">
        <v>2633</v>
      </c>
      <c r="H709">
        <v>3</v>
      </c>
      <c r="I709">
        <f t="shared" si="13"/>
        <v>4</v>
      </c>
    </row>
    <row r="710" spans="1:9">
      <c r="A710" s="1">
        <v>42816.15</v>
      </c>
      <c r="B710" s="19">
        <v>42459</v>
      </c>
      <c r="C710" s="21">
        <v>4.583333333333333E-2</v>
      </c>
      <c r="D710" s="20" t="s">
        <v>3051</v>
      </c>
      <c r="E710" t="s">
        <v>33</v>
      </c>
      <c r="F710" t="s">
        <v>44</v>
      </c>
      <c r="G710" t="s">
        <v>2633</v>
      </c>
      <c r="H710">
        <v>7</v>
      </c>
      <c r="I710">
        <f t="shared" si="13"/>
        <v>9</v>
      </c>
    </row>
    <row r="711" spans="1:9">
      <c r="A711" s="1">
        <v>42816.121527777781</v>
      </c>
      <c r="B711" s="19">
        <v>42459</v>
      </c>
      <c r="C711" s="21">
        <v>1.3888888888888888E-2</v>
      </c>
      <c r="D711" s="20" t="s">
        <v>3050</v>
      </c>
      <c r="E711" t="s">
        <v>33</v>
      </c>
      <c r="F711" t="s">
        <v>44</v>
      </c>
      <c r="G711" t="s">
        <v>2633</v>
      </c>
      <c r="H711">
        <v>13</v>
      </c>
      <c r="I711">
        <f t="shared" si="13"/>
        <v>17</v>
      </c>
    </row>
    <row r="712" spans="1:9">
      <c r="A712" s="1">
        <v>42816.92083333333</v>
      </c>
      <c r="B712" s="19">
        <v>42459</v>
      </c>
      <c r="C712" s="21">
        <v>0.95833333333333337</v>
      </c>
      <c r="D712" s="20" t="s">
        <v>3063</v>
      </c>
      <c r="E712" t="s">
        <v>6</v>
      </c>
      <c r="F712" t="s">
        <v>26</v>
      </c>
      <c r="G712" t="s">
        <v>2641</v>
      </c>
      <c r="H712" t="e">
        <v>#VALUE!</v>
      </c>
      <c r="I712" t="e">
        <f t="shared" si="13"/>
        <v>#VALUE!</v>
      </c>
    </row>
    <row r="713" spans="1:9">
      <c r="A713" s="1">
        <v>42816.624305555553</v>
      </c>
      <c r="B713" s="19">
        <v>42459</v>
      </c>
      <c r="C713" s="21">
        <v>0.91666666666666663</v>
      </c>
      <c r="D713" s="20" t="s">
        <v>3049</v>
      </c>
      <c r="E713" t="s">
        <v>6</v>
      </c>
      <c r="F713" t="s">
        <v>26</v>
      </c>
      <c r="G713" t="s">
        <v>2642</v>
      </c>
      <c r="H713">
        <v>18</v>
      </c>
      <c r="I713">
        <f t="shared" si="13"/>
        <v>23</v>
      </c>
    </row>
    <row r="714" spans="1:9">
      <c r="A714" s="1">
        <v>42816.59375</v>
      </c>
      <c r="B714" s="19">
        <v>42459</v>
      </c>
      <c r="C714" s="21">
        <v>0.90555555555555556</v>
      </c>
      <c r="D714" s="20" t="s">
        <v>3048</v>
      </c>
      <c r="E714" t="s">
        <v>6</v>
      </c>
      <c r="F714" t="s">
        <v>26</v>
      </c>
      <c r="G714" t="s">
        <v>962</v>
      </c>
      <c r="H714">
        <v>19</v>
      </c>
      <c r="I714">
        <f t="shared" si="13"/>
        <v>24</v>
      </c>
    </row>
    <row r="715" spans="1:9">
      <c r="A715" s="1">
        <v>42816.581944444442</v>
      </c>
      <c r="B715" s="19">
        <v>42459</v>
      </c>
      <c r="C715" s="21">
        <v>0.88055555555555554</v>
      </c>
      <c r="D715" s="20" t="s">
        <v>3048</v>
      </c>
      <c r="E715" t="s">
        <v>2</v>
      </c>
      <c r="F715" t="s">
        <v>5</v>
      </c>
      <c r="H715">
        <v>19</v>
      </c>
      <c r="I715">
        <f t="shared" si="13"/>
        <v>24</v>
      </c>
    </row>
    <row r="716" spans="1:9">
      <c r="A716" s="1">
        <v>42816.573611111111</v>
      </c>
      <c r="B716" s="19">
        <v>42459</v>
      </c>
      <c r="C716" s="21">
        <v>0.85486111111111107</v>
      </c>
      <c r="D716" s="20" t="s">
        <v>3047</v>
      </c>
      <c r="E716" t="s">
        <v>2</v>
      </c>
      <c r="F716" t="s">
        <v>5</v>
      </c>
      <c r="G716" t="s">
        <v>2643</v>
      </c>
      <c r="H716">
        <v>25</v>
      </c>
      <c r="I716">
        <f t="shared" si="13"/>
        <v>31</v>
      </c>
    </row>
    <row r="717" spans="1:9">
      <c r="A717" s="1">
        <v>42816.573611111111</v>
      </c>
      <c r="B717" s="19">
        <v>42459</v>
      </c>
      <c r="C717" s="21">
        <v>0.84513888888888888</v>
      </c>
      <c r="D717" s="20" t="s">
        <v>3047</v>
      </c>
      <c r="E717" t="s">
        <v>6</v>
      </c>
      <c r="F717" t="s">
        <v>26</v>
      </c>
      <c r="G717" t="s">
        <v>2644</v>
      </c>
      <c r="H717">
        <v>50</v>
      </c>
      <c r="I717">
        <f t="shared" si="13"/>
        <v>62</v>
      </c>
    </row>
    <row r="718" spans="1:9">
      <c r="A718" s="1">
        <v>42816.25277777778</v>
      </c>
      <c r="B718" s="19">
        <v>42459</v>
      </c>
      <c r="C718" s="21">
        <v>0.59652777777777777</v>
      </c>
      <c r="D718" s="20" t="s">
        <v>3040</v>
      </c>
      <c r="E718" t="s">
        <v>2</v>
      </c>
      <c r="F718" t="s">
        <v>56</v>
      </c>
      <c r="G718" t="s">
        <v>57</v>
      </c>
      <c r="H718">
        <v>13</v>
      </c>
      <c r="I718">
        <f t="shared" si="13"/>
        <v>17</v>
      </c>
    </row>
    <row r="719" spans="1:9">
      <c r="A719" s="1">
        <v>42816.157638888886</v>
      </c>
      <c r="B719" s="19">
        <v>42459</v>
      </c>
      <c r="C719" s="21">
        <v>0.55347222222222225</v>
      </c>
      <c r="D719" s="20" t="s">
        <v>3039</v>
      </c>
      <c r="E719" t="s">
        <v>6</v>
      </c>
      <c r="F719" t="s">
        <v>26</v>
      </c>
      <c r="G719" t="s">
        <v>2645</v>
      </c>
      <c r="H719">
        <v>3</v>
      </c>
      <c r="I719">
        <f t="shared" si="13"/>
        <v>4</v>
      </c>
    </row>
    <row r="720" spans="1:9">
      <c r="A720" s="1">
        <v>42816.052083333336</v>
      </c>
      <c r="B720" s="19">
        <v>42459</v>
      </c>
      <c r="C720" s="21">
        <v>0.49722222222222223</v>
      </c>
      <c r="D720" s="20" t="s">
        <v>3037</v>
      </c>
      <c r="E720" t="s">
        <v>2</v>
      </c>
      <c r="F720" t="s">
        <v>48</v>
      </c>
      <c r="G720" t="s">
        <v>2646</v>
      </c>
      <c r="H720">
        <v>15</v>
      </c>
      <c r="I720">
        <f t="shared" si="13"/>
        <v>19</v>
      </c>
    </row>
    <row r="721" spans="1:9">
      <c r="A721" s="1">
        <v>42815.722916666666</v>
      </c>
      <c r="B721" s="19">
        <v>42459</v>
      </c>
      <c r="C721" s="21">
        <v>0.4826388888888889</v>
      </c>
      <c r="D721" s="20" t="s">
        <v>3037</v>
      </c>
      <c r="E721" t="s">
        <v>6</v>
      </c>
      <c r="F721" t="s">
        <v>26</v>
      </c>
      <c r="G721" t="s">
        <v>2648</v>
      </c>
      <c r="H721">
        <v>25</v>
      </c>
      <c r="I721">
        <f t="shared" si="13"/>
        <v>31</v>
      </c>
    </row>
    <row r="722" spans="1:9">
      <c r="A722" s="1">
        <v>42815.56527777778</v>
      </c>
      <c r="B722" s="19">
        <v>42459</v>
      </c>
      <c r="C722" s="21">
        <v>0.46875</v>
      </c>
      <c r="D722" s="20" t="s">
        <v>3037</v>
      </c>
      <c r="E722" t="s">
        <v>6</v>
      </c>
      <c r="F722" t="s">
        <v>26</v>
      </c>
      <c r="G722" t="s">
        <v>2649</v>
      </c>
      <c r="H722">
        <v>19</v>
      </c>
      <c r="I722">
        <f t="shared" si="13"/>
        <v>24</v>
      </c>
    </row>
    <row r="723" spans="1:9">
      <c r="A723" s="1">
        <v>42815.916666666664</v>
      </c>
      <c r="B723" s="19">
        <v>42459</v>
      </c>
      <c r="C723" s="21">
        <v>0.44583333333333336</v>
      </c>
      <c r="D723" s="20" t="s">
        <v>3036</v>
      </c>
      <c r="E723" t="s">
        <v>6</v>
      </c>
      <c r="F723" t="s">
        <v>46</v>
      </c>
      <c r="G723" t="s">
        <v>2650</v>
      </c>
      <c r="H723">
        <v>4</v>
      </c>
      <c r="I723">
        <f t="shared" si="13"/>
        <v>5</v>
      </c>
    </row>
    <row r="724" spans="1:9">
      <c r="A724" s="1">
        <v>42815.588194444441</v>
      </c>
      <c r="B724" s="19">
        <v>42459</v>
      </c>
      <c r="C724" s="21">
        <v>0.38055555555555554</v>
      </c>
      <c r="D724" s="20" t="s">
        <v>3035</v>
      </c>
      <c r="E724" t="s">
        <v>6</v>
      </c>
      <c r="F724" t="s">
        <v>167</v>
      </c>
      <c r="G724" t="s">
        <v>2653</v>
      </c>
      <c r="H724" t="e">
        <v>#VALUE!</v>
      </c>
      <c r="I724" t="e">
        <f t="shared" si="13"/>
        <v>#VALUE!</v>
      </c>
    </row>
    <row r="725" spans="1:9">
      <c r="A725" s="1">
        <v>42815.566666666666</v>
      </c>
      <c r="B725" s="19">
        <v>42459</v>
      </c>
      <c r="C725" s="21">
        <v>0.32291666666666669</v>
      </c>
      <c r="D725" s="20" t="s">
        <v>3033</v>
      </c>
      <c r="E725" t="s">
        <v>6</v>
      </c>
      <c r="F725" t="s">
        <v>7</v>
      </c>
      <c r="G725" t="s">
        <v>2655</v>
      </c>
      <c r="H725">
        <v>7</v>
      </c>
      <c r="I725">
        <f t="shared" si="13"/>
        <v>9</v>
      </c>
    </row>
    <row r="726" spans="1:9">
      <c r="A726" s="1">
        <v>42815.555555555555</v>
      </c>
      <c r="B726" s="19">
        <v>42459</v>
      </c>
      <c r="C726" s="21">
        <v>0.28333333333333333</v>
      </c>
      <c r="D726" s="20" t="s">
        <v>3031</v>
      </c>
      <c r="E726" t="s">
        <v>2</v>
      </c>
      <c r="F726" t="s">
        <v>56</v>
      </c>
      <c r="G726" t="s">
        <v>2656</v>
      </c>
      <c r="H726">
        <v>13</v>
      </c>
      <c r="I726">
        <f t="shared" si="13"/>
        <v>17</v>
      </c>
    </row>
    <row r="727" spans="1:9">
      <c r="A727" s="1">
        <v>42815.395833333336</v>
      </c>
      <c r="B727" s="19">
        <v>42459</v>
      </c>
      <c r="C727" s="21">
        <v>0.27500000000000002</v>
      </c>
      <c r="D727" s="20" t="s">
        <v>3031</v>
      </c>
      <c r="E727" t="s">
        <v>6</v>
      </c>
      <c r="F727" t="s">
        <v>21</v>
      </c>
      <c r="G727" t="s">
        <v>2657</v>
      </c>
      <c r="H727">
        <v>12</v>
      </c>
      <c r="I727">
        <f t="shared" si="13"/>
        <v>15</v>
      </c>
    </row>
    <row r="728" spans="1:9">
      <c r="A728" s="1">
        <v>42815.251388888886</v>
      </c>
      <c r="B728" s="19">
        <v>42459</v>
      </c>
      <c r="C728" s="21">
        <v>0.25138888888888888</v>
      </c>
      <c r="D728" s="20" t="s">
        <v>3031</v>
      </c>
      <c r="E728" t="s">
        <v>2</v>
      </c>
      <c r="F728" t="s">
        <v>56</v>
      </c>
      <c r="G728" t="s">
        <v>2658</v>
      </c>
      <c r="H728">
        <v>35</v>
      </c>
      <c r="I728">
        <f t="shared" si="13"/>
        <v>44</v>
      </c>
    </row>
    <row r="729" spans="1:9">
      <c r="A729" s="1">
        <v>42814.820833333331</v>
      </c>
      <c r="B729" s="19">
        <v>42459</v>
      </c>
      <c r="C729" s="21">
        <v>0.2326388888888889</v>
      </c>
      <c r="D729" s="20" t="s">
        <v>3055</v>
      </c>
      <c r="E729" t="s">
        <v>2</v>
      </c>
      <c r="F729" t="s">
        <v>56</v>
      </c>
      <c r="G729" t="s">
        <v>2659</v>
      </c>
      <c r="H729">
        <v>31</v>
      </c>
      <c r="I729">
        <f t="shared" si="13"/>
        <v>39</v>
      </c>
    </row>
    <row r="730" spans="1:9">
      <c r="A730" s="1">
        <v>42814.618055555555</v>
      </c>
      <c r="B730" s="19">
        <v>42459</v>
      </c>
      <c r="C730" s="21">
        <v>1.5277777777777777E-2</v>
      </c>
      <c r="D730" s="20" t="s">
        <v>3050</v>
      </c>
      <c r="E730" t="s">
        <v>6</v>
      </c>
      <c r="F730" t="s">
        <v>26</v>
      </c>
      <c r="G730" t="s">
        <v>2660</v>
      </c>
      <c r="H730">
        <v>9</v>
      </c>
      <c r="I730">
        <f t="shared" si="13"/>
        <v>12</v>
      </c>
    </row>
    <row r="731" spans="1:9">
      <c r="A731" s="1">
        <v>42814.347916666666</v>
      </c>
      <c r="B731" s="19">
        <v>42460</v>
      </c>
      <c r="C731" s="21">
        <v>0.96736111111111112</v>
      </c>
      <c r="D731" s="20" t="s">
        <v>3063</v>
      </c>
      <c r="E731" t="s">
        <v>33</v>
      </c>
      <c r="F731" t="s">
        <v>44</v>
      </c>
      <c r="G731" t="s">
        <v>2633</v>
      </c>
      <c r="H731">
        <v>3</v>
      </c>
      <c r="I731">
        <f t="shared" si="13"/>
        <v>4</v>
      </c>
    </row>
    <row r="732" spans="1:9">
      <c r="A732" s="1">
        <v>42814.34097222222</v>
      </c>
      <c r="B732" s="19">
        <v>42460</v>
      </c>
      <c r="C732" s="21">
        <v>0.95486111111111116</v>
      </c>
      <c r="D732" s="20" t="s">
        <v>3049</v>
      </c>
      <c r="E732" t="s">
        <v>33</v>
      </c>
      <c r="F732" t="s">
        <v>44</v>
      </c>
      <c r="G732" t="s">
        <v>2633</v>
      </c>
      <c r="H732">
        <v>7</v>
      </c>
      <c r="I732">
        <f t="shared" si="13"/>
        <v>9</v>
      </c>
    </row>
    <row r="733" spans="1:9">
      <c r="A733" s="1">
        <v>42814.311805555553</v>
      </c>
      <c r="B733" s="19">
        <v>42460</v>
      </c>
      <c r="C733" s="21">
        <v>0.90763888888888888</v>
      </c>
      <c r="D733" s="20" t="s">
        <v>3048</v>
      </c>
      <c r="E733" t="s">
        <v>0</v>
      </c>
      <c r="F733" t="s">
        <v>313</v>
      </c>
      <c r="G733" t="s">
        <v>2612</v>
      </c>
      <c r="H733">
        <v>7</v>
      </c>
      <c r="I733">
        <f t="shared" si="13"/>
        <v>9</v>
      </c>
    </row>
    <row r="734" spans="1:9">
      <c r="A734" s="1">
        <v>42814.293055555558</v>
      </c>
      <c r="B734" s="19">
        <v>42460</v>
      </c>
      <c r="C734" s="21">
        <v>0.72222222222222221</v>
      </c>
      <c r="D734" s="20" t="s">
        <v>3044</v>
      </c>
      <c r="E734" t="s">
        <v>33</v>
      </c>
      <c r="F734" t="s">
        <v>44</v>
      </c>
      <c r="G734" t="s">
        <v>2636</v>
      </c>
      <c r="H734">
        <v>13</v>
      </c>
      <c r="I734">
        <f t="shared" si="13"/>
        <v>17</v>
      </c>
    </row>
    <row r="735" spans="1:9">
      <c r="A735" s="1">
        <v>42814.267361111109</v>
      </c>
      <c r="B735" s="19">
        <v>42460</v>
      </c>
      <c r="C735" s="21">
        <v>0.71458333333333335</v>
      </c>
      <c r="D735" s="20" t="s">
        <v>3044</v>
      </c>
      <c r="E735" t="s">
        <v>0</v>
      </c>
      <c r="F735" t="s">
        <v>313</v>
      </c>
      <c r="G735" t="s">
        <v>2615</v>
      </c>
      <c r="H735">
        <v>4</v>
      </c>
      <c r="I735">
        <f t="shared" si="13"/>
        <v>5</v>
      </c>
    </row>
    <row r="736" spans="1:9">
      <c r="A736" s="1">
        <v>42814.94027777778</v>
      </c>
      <c r="B736" s="19">
        <v>42460</v>
      </c>
      <c r="C736" s="21">
        <v>0.67361111111111116</v>
      </c>
      <c r="D736" s="20" t="s">
        <v>3043</v>
      </c>
      <c r="E736" t="s">
        <v>0</v>
      </c>
      <c r="F736" t="s">
        <v>313</v>
      </c>
      <c r="G736" t="s">
        <v>2614</v>
      </c>
      <c r="H736">
        <v>2</v>
      </c>
      <c r="I736">
        <f t="shared" si="13"/>
        <v>3</v>
      </c>
    </row>
    <row r="737" spans="1:9">
      <c r="A737" s="1">
        <v>42814.917361111111</v>
      </c>
      <c r="B737" s="19">
        <v>42460</v>
      </c>
      <c r="C737" s="21">
        <v>0.65138888888888891</v>
      </c>
      <c r="D737" s="20" t="s">
        <v>3042</v>
      </c>
      <c r="E737" t="s">
        <v>0</v>
      </c>
      <c r="F737" t="s">
        <v>313</v>
      </c>
      <c r="G737" t="s">
        <v>2614</v>
      </c>
      <c r="H737">
        <v>2</v>
      </c>
      <c r="I737">
        <f t="shared" si="13"/>
        <v>3</v>
      </c>
    </row>
    <row r="738" spans="1:9">
      <c r="A738" s="1">
        <v>42814.586111111108</v>
      </c>
      <c r="B738" s="19">
        <v>42460</v>
      </c>
      <c r="C738" s="21">
        <v>0.61250000000000004</v>
      </c>
      <c r="D738" s="20" t="s">
        <v>3040</v>
      </c>
      <c r="E738" t="s">
        <v>0</v>
      </c>
      <c r="F738" t="s">
        <v>313</v>
      </c>
      <c r="G738" t="s">
        <v>2614</v>
      </c>
      <c r="H738">
        <v>2</v>
      </c>
      <c r="I738">
        <f t="shared" si="13"/>
        <v>3</v>
      </c>
    </row>
    <row r="739" spans="1:9">
      <c r="A739" s="1">
        <v>42814.5625</v>
      </c>
      <c r="B739" s="19">
        <v>42460</v>
      </c>
      <c r="C739" s="21">
        <v>0.54374999999999996</v>
      </c>
      <c r="D739" s="20" t="s">
        <v>3039</v>
      </c>
      <c r="E739" t="s">
        <v>0</v>
      </c>
      <c r="F739" t="s">
        <v>313</v>
      </c>
      <c r="G739" t="s">
        <v>2604</v>
      </c>
      <c r="H739">
        <v>3</v>
      </c>
      <c r="I739">
        <f t="shared" si="13"/>
        <v>4</v>
      </c>
    </row>
    <row r="740" spans="1:9">
      <c r="A740" s="1">
        <v>42814.253472222219</v>
      </c>
      <c r="B740" s="19">
        <v>42460</v>
      </c>
      <c r="C740" s="21">
        <v>0.54374999999999996</v>
      </c>
      <c r="D740" s="20" t="s">
        <v>3039</v>
      </c>
      <c r="E740" t="s">
        <v>0</v>
      </c>
      <c r="F740" t="s">
        <v>313</v>
      </c>
      <c r="G740" t="s">
        <v>2608</v>
      </c>
      <c r="H740">
        <v>4</v>
      </c>
      <c r="I740">
        <f t="shared" si="13"/>
        <v>5</v>
      </c>
    </row>
    <row r="741" spans="1:9">
      <c r="A741" s="1">
        <v>42814.253472222219</v>
      </c>
      <c r="B741" s="19">
        <v>42460</v>
      </c>
      <c r="C741" s="21">
        <v>0.52777777777777779</v>
      </c>
      <c r="D741" s="20" t="s">
        <v>3038</v>
      </c>
      <c r="E741" t="s">
        <v>0</v>
      </c>
      <c r="G741" t="s">
        <v>1551</v>
      </c>
      <c r="H741">
        <v>7</v>
      </c>
      <c r="I741">
        <f t="shared" si="13"/>
        <v>9</v>
      </c>
    </row>
    <row r="742" spans="1:9">
      <c r="A742" s="1">
        <v>42812.229861111111</v>
      </c>
      <c r="B742" s="19">
        <v>42460</v>
      </c>
      <c r="C742" s="21">
        <v>0.43402777777777779</v>
      </c>
      <c r="D742" s="20" t="s">
        <v>3036</v>
      </c>
      <c r="E742" t="s">
        <v>33</v>
      </c>
      <c r="F742" t="s">
        <v>44</v>
      </c>
      <c r="G742" t="s">
        <v>2639</v>
      </c>
      <c r="H742" t="e">
        <v>#VALUE!</v>
      </c>
      <c r="I742" t="e">
        <f t="shared" si="13"/>
        <v>#VALUE!</v>
      </c>
    </row>
    <row r="743" spans="1:9">
      <c r="A743" s="1">
        <v>42812.209722222222</v>
      </c>
      <c r="B743" s="19">
        <v>42460</v>
      </c>
      <c r="C743" s="21">
        <v>0.32013888888888886</v>
      </c>
      <c r="D743" s="20" t="s">
        <v>3033</v>
      </c>
      <c r="E743" t="s">
        <v>0</v>
      </c>
      <c r="F743" t="s">
        <v>313</v>
      </c>
      <c r="G743" t="s">
        <v>2621</v>
      </c>
      <c r="H743">
        <v>3</v>
      </c>
      <c r="I743">
        <f t="shared" si="13"/>
        <v>4</v>
      </c>
    </row>
    <row r="744" spans="1:9">
      <c r="A744" s="1">
        <v>42811.945833333331</v>
      </c>
      <c r="B744" s="19">
        <v>42460</v>
      </c>
      <c r="C744" s="21">
        <v>0.32013888888888886</v>
      </c>
      <c r="D744" s="20" t="s">
        <v>3033</v>
      </c>
      <c r="E744" t="s">
        <v>0</v>
      </c>
      <c r="F744" t="s">
        <v>313</v>
      </c>
      <c r="G744" t="s">
        <v>2608</v>
      </c>
      <c r="H744">
        <v>4</v>
      </c>
      <c r="I744">
        <f t="shared" si="13"/>
        <v>5</v>
      </c>
    </row>
    <row r="745" spans="1:9">
      <c r="A745" s="1">
        <v>42811.875694444447</v>
      </c>
      <c r="B745" s="19">
        <v>42460</v>
      </c>
      <c r="C745" s="21">
        <v>1.3194444444444444E-2</v>
      </c>
      <c r="D745" s="20" t="s">
        <v>3050</v>
      </c>
      <c r="E745" t="s">
        <v>33</v>
      </c>
      <c r="F745" t="s">
        <v>44</v>
      </c>
      <c r="G745" t="s">
        <v>2633</v>
      </c>
      <c r="H745">
        <v>4</v>
      </c>
      <c r="I745">
        <f t="shared" si="13"/>
        <v>5</v>
      </c>
    </row>
    <row r="746" spans="1:9">
      <c r="A746" s="1">
        <v>42811.527777777781</v>
      </c>
      <c r="B746" s="19">
        <v>42460</v>
      </c>
      <c r="C746" s="21">
        <v>0.84027777777777779</v>
      </c>
      <c r="D746" s="20" t="s">
        <v>3047</v>
      </c>
      <c r="E746" t="s">
        <v>2</v>
      </c>
      <c r="F746" t="s">
        <v>5</v>
      </c>
      <c r="G746" t="s">
        <v>2634</v>
      </c>
      <c r="H746">
        <v>38</v>
      </c>
      <c r="I746">
        <f t="shared" si="13"/>
        <v>48</v>
      </c>
    </row>
    <row r="747" spans="1:9">
      <c r="A747" s="1">
        <v>42811.511805555558</v>
      </c>
      <c r="B747" s="19">
        <v>42460</v>
      </c>
      <c r="C747" s="21">
        <v>0.79236111111111107</v>
      </c>
      <c r="D747" s="20" t="s">
        <v>3046</v>
      </c>
      <c r="E747" t="s">
        <v>2</v>
      </c>
      <c r="F747" t="s">
        <v>5</v>
      </c>
      <c r="G747" t="s">
        <v>23</v>
      </c>
      <c r="H747">
        <v>75</v>
      </c>
      <c r="I747">
        <f t="shared" si="13"/>
        <v>93</v>
      </c>
    </row>
    <row r="748" spans="1:9">
      <c r="A748" s="1">
        <v>42811.42083333333</v>
      </c>
      <c r="B748" s="19">
        <v>42460</v>
      </c>
      <c r="C748" s="21">
        <v>0.76527777777777772</v>
      </c>
      <c r="D748" s="20" t="s">
        <v>3045</v>
      </c>
      <c r="E748" t="s">
        <v>6</v>
      </c>
      <c r="F748" t="s">
        <v>7</v>
      </c>
      <c r="G748" t="s">
        <v>2635</v>
      </c>
      <c r="H748">
        <v>75</v>
      </c>
      <c r="I748">
        <f t="shared" si="13"/>
        <v>93</v>
      </c>
    </row>
    <row r="749" spans="1:9">
      <c r="A749" s="1">
        <v>42811.377083333333</v>
      </c>
      <c r="B749" s="19">
        <v>42460</v>
      </c>
      <c r="C749" s="21">
        <v>0.52222222222222225</v>
      </c>
      <c r="D749" s="20" t="s">
        <v>3038</v>
      </c>
      <c r="E749" t="s">
        <v>6</v>
      </c>
      <c r="F749" t="s">
        <v>15</v>
      </c>
      <c r="G749" t="s">
        <v>2637</v>
      </c>
      <c r="H749">
        <v>38</v>
      </c>
      <c r="I749">
        <f t="shared" si="13"/>
        <v>48</v>
      </c>
    </row>
    <row r="750" spans="1:9">
      <c r="A750" s="1">
        <v>42811.919444444444</v>
      </c>
      <c r="B750" s="19">
        <v>42460</v>
      </c>
      <c r="C750" s="21">
        <v>0.44861111111111113</v>
      </c>
      <c r="D750" s="20" t="s">
        <v>3036</v>
      </c>
      <c r="E750" t="s">
        <v>6</v>
      </c>
      <c r="F750" t="s">
        <v>273</v>
      </c>
      <c r="G750" t="s">
        <v>2638</v>
      </c>
      <c r="H750" t="e">
        <v>#VALUE!</v>
      </c>
      <c r="I750" t="e">
        <f t="shared" si="13"/>
        <v>#VALUE!</v>
      </c>
    </row>
    <row r="751" spans="1:9">
      <c r="A751" s="1">
        <v>42811.250694444447</v>
      </c>
      <c r="B751" s="19">
        <v>42460</v>
      </c>
      <c r="C751" s="21">
        <v>0.17708333333333334</v>
      </c>
      <c r="D751" s="20" t="s">
        <v>3054</v>
      </c>
      <c r="E751" t="s">
        <v>2</v>
      </c>
      <c r="F751" t="s">
        <v>5</v>
      </c>
      <c r="G751" t="s">
        <v>2640</v>
      </c>
      <c r="H751">
        <v>13</v>
      </c>
      <c r="I751">
        <f t="shared" si="13"/>
        <v>17</v>
      </c>
    </row>
    <row r="752" spans="1:9">
      <c r="A752" s="1">
        <v>42811.085416666669</v>
      </c>
      <c r="B752" s="19">
        <v>42461</v>
      </c>
      <c r="C752" s="21">
        <v>0.97083333333333333</v>
      </c>
      <c r="D752" s="20" t="s">
        <v>3063</v>
      </c>
      <c r="E752" t="s">
        <v>33</v>
      </c>
      <c r="F752" t="s">
        <v>44</v>
      </c>
      <c r="G752" t="s">
        <v>2611</v>
      </c>
      <c r="H752">
        <v>3</v>
      </c>
      <c r="I752">
        <f t="shared" si="13"/>
        <v>4</v>
      </c>
    </row>
    <row r="753" spans="1:9">
      <c r="A753" s="1">
        <v>42810.997916666667</v>
      </c>
      <c r="B753" s="19">
        <v>42461</v>
      </c>
      <c r="C753" s="21">
        <v>0.91388888888888886</v>
      </c>
      <c r="D753" s="20" t="s">
        <v>3048</v>
      </c>
      <c r="E753" t="s">
        <v>0</v>
      </c>
      <c r="F753" t="s">
        <v>313</v>
      </c>
      <c r="G753" t="s">
        <v>2612</v>
      </c>
      <c r="H753">
        <v>7</v>
      </c>
      <c r="I753">
        <f t="shared" si="13"/>
        <v>9</v>
      </c>
    </row>
    <row r="754" spans="1:9">
      <c r="A754" s="1">
        <v>42810.984722222223</v>
      </c>
      <c r="B754" s="19">
        <v>42461</v>
      </c>
      <c r="C754" s="21">
        <v>0.83333333333333337</v>
      </c>
      <c r="D754" s="20" t="s">
        <v>3047</v>
      </c>
      <c r="E754" t="s">
        <v>149</v>
      </c>
      <c r="F754" t="s">
        <v>150</v>
      </c>
      <c r="G754" t="s">
        <v>2613</v>
      </c>
      <c r="H754">
        <v>43</v>
      </c>
      <c r="I754">
        <f t="shared" si="13"/>
        <v>54</v>
      </c>
    </row>
    <row r="755" spans="1:9">
      <c r="A755" s="1">
        <v>42810.52847222222</v>
      </c>
      <c r="B755" s="19">
        <v>42461</v>
      </c>
      <c r="C755" s="21">
        <v>0.82499999999999996</v>
      </c>
      <c r="D755" s="20" t="s">
        <v>3046</v>
      </c>
      <c r="E755" t="s">
        <v>0</v>
      </c>
      <c r="F755" t="s">
        <v>313</v>
      </c>
      <c r="G755" t="s">
        <v>2614</v>
      </c>
      <c r="H755">
        <v>2</v>
      </c>
      <c r="I755">
        <f t="shared" si="13"/>
        <v>3</v>
      </c>
    </row>
    <row r="756" spans="1:9">
      <c r="A756" s="1">
        <v>42810.482638888891</v>
      </c>
      <c r="B756" s="19">
        <v>42461</v>
      </c>
      <c r="C756" s="21">
        <v>0.80069444444444449</v>
      </c>
      <c r="D756" s="20" t="s">
        <v>3046</v>
      </c>
      <c r="E756" t="s">
        <v>0</v>
      </c>
      <c r="F756" t="s">
        <v>313</v>
      </c>
      <c r="G756" t="s">
        <v>1415</v>
      </c>
      <c r="H756">
        <v>4</v>
      </c>
      <c r="I756">
        <f t="shared" si="13"/>
        <v>5</v>
      </c>
    </row>
    <row r="757" spans="1:9">
      <c r="A757" s="1">
        <v>42810.449305555558</v>
      </c>
      <c r="B757" s="19">
        <v>42461</v>
      </c>
      <c r="C757" s="21">
        <v>0.70972222222222225</v>
      </c>
      <c r="D757" s="20" t="s">
        <v>3044</v>
      </c>
      <c r="E757" t="s">
        <v>0</v>
      </c>
      <c r="F757" t="s">
        <v>313</v>
      </c>
      <c r="G757" t="s">
        <v>2615</v>
      </c>
      <c r="H757">
        <v>3</v>
      </c>
      <c r="I757">
        <f t="shared" si="13"/>
        <v>4</v>
      </c>
    </row>
    <row r="758" spans="1:9">
      <c r="A758" s="1">
        <v>42810.959722222222</v>
      </c>
      <c r="B758" s="19">
        <v>42461</v>
      </c>
      <c r="C758" s="21">
        <v>0.63611111111111107</v>
      </c>
      <c r="D758" s="20" t="s">
        <v>3042</v>
      </c>
      <c r="E758" t="s">
        <v>0</v>
      </c>
      <c r="F758" t="s">
        <v>313</v>
      </c>
      <c r="G758" t="s">
        <v>2614</v>
      </c>
      <c r="H758">
        <v>2</v>
      </c>
      <c r="I758">
        <f t="shared" si="13"/>
        <v>3</v>
      </c>
    </row>
    <row r="759" spans="1:9">
      <c r="A759" s="1">
        <v>42810.941666666666</v>
      </c>
      <c r="B759" s="19">
        <v>42461</v>
      </c>
      <c r="C759" s="21">
        <v>0.52013888888888893</v>
      </c>
      <c r="D759" s="20" t="s">
        <v>3038</v>
      </c>
      <c r="E759" t="s">
        <v>0</v>
      </c>
      <c r="F759" t="s">
        <v>313</v>
      </c>
      <c r="G759" t="s">
        <v>2608</v>
      </c>
      <c r="H759">
        <v>4</v>
      </c>
      <c r="I759">
        <f t="shared" si="13"/>
        <v>5</v>
      </c>
    </row>
    <row r="760" spans="1:9">
      <c r="A760" s="1">
        <v>42810.918749999997</v>
      </c>
      <c r="B760" s="19">
        <v>42461</v>
      </c>
      <c r="C760" s="21">
        <v>0.51944444444444449</v>
      </c>
      <c r="D760" s="20" t="s">
        <v>3038</v>
      </c>
      <c r="E760" t="s">
        <v>0</v>
      </c>
      <c r="F760" t="s">
        <v>313</v>
      </c>
      <c r="G760" t="s">
        <v>2621</v>
      </c>
      <c r="H760">
        <v>3</v>
      </c>
      <c r="I760">
        <f t="shared" si="13"/>
        <v>4</v>
      </c>
    </row>
    <row r="761" spans="1:9">
      <c r="A761" s="1">
        <v>42810.25277777778</v>
      </c>
      <c r="B761" s="19">
        <v>42461</v>
      </c>
      <c r="C761" s="21">
        <v>0.5180555555555556</v>
      </c>
      <c r="D761" s="20" t="s">
        <v>3038</v>
      </c>
      <c r="E761" t="s">
        <v>33</v>
      </c>
      <c r="F761" t="s">
        <v>44</v>
      </c>
      <c r="G761" t="s">
        <v>2622</v>
      </c>
      <c r="H761">
        <v>0</v>
      </c>
      <c r="I761">
        <f t="shared" si="13"/>
        <v>0</v>
      </c>
    </row>
    <row r="762" spans="1:9">
      <c r="A762" s="1">
        <v>42810.25277777778</v>
      </c>
      <c r="B762" s="19">
        <v>42461</v>
      </c>
      <c r="C762" s="21">
        <v>0.49513888888888891</v>
      </c>
      <c r="D762" s="20" t="s">
        <v>3037</v>
      </c>
      <c r="E762" t="s">
        <v>0</v>
      </c>
      <c r="G762" t="s">
        <v>2623</v>
      </c>
      <c r="H762">
        <v>13</v>
      </c>
      <c r="I762">
        <f t="shared" si="13"/>
        <v>17</v>
      </c>
    </row>
    <row r="763" spans="1:9">
      <c r="A763" s="1">
        <v>42810.087500000001</v>
      </c>
      <c r="B763" s="19">
        <v>42461</v>
      </c>
      <c r="C763" s="21">
        <v>0.46180555555555558</v>
      </c>
      <c r="D763" s="20" t="s">
        <v>3037</v>
      </c>
      <c r="E763" t="s">
        <v>18</v>
      </c>
      <c r="F763" t="s">
        <v>19</v>
      </c>
      <c r="G763" t="s">
        <v>2624</v>
      </c>
      <c r="H763">
        <v>4</v>
      </c>
      <c r="I763">
        <f t="shared" si="13"/>
        <v>5</v>
      </c>
    </row>
    <row r="764" spans="1:9">
      <c r="A764" s="1">
        <v>42810.049305555556</v>
      </c>
      <c r="B764" s="19">
        <v>42461</v>
      </c>
      <c r="C764" s="21">
        <v>0.44236111111111109</v>
      </c>
      <c r="D764" s="20" t="s">
        <v>3036</v>
      </c>
      <c r="E764" t="s">
        <v>77</v>
      </c>
      <c r="F764" t="s">
        <v>78</v>
      </c>
      <c r="G764" t="s">
        <v>2625</v>
      </c>
      <c r="H764">
        <v>7</v>
      </c>
      <c r="I764">
        <f t="shared" si="13"/>
        <v>9</v>
      </c>
    </row>
    <row r="765" spans="1:9">
      <c r="A765" s="1">
        <v>42810.047222222223</v>
      </c>
      <c r="B765" s="19">
        <v>42461</v>
      </c>
      <c r="C765" s="21">
        <v>0.44027777777777777</v>
      </c>
      <c r="D765" s="20" t="s">
        <v>3036</v>
      </c>
      <c r="E765" t="s">
        <v>0</v>
      </c>
      <c r="F765" t="s">
        <v>313</v>
      </c>
      <c r="G765" t="s">
        <v>2608</v>
      </c>
      <c r="H765">
        <v>4</v>
      </c>
      <c r="I765">
        <f t="shared" si="13"/>
        <v>5</v>
      </c>
    </row>
    <row r="766" spans="1:9">
      <c r="A766" s="1">
        <v>42809.935416666667</v>
      </c>
      <c r="B766" s="19">
        <v>42461</v>
      </c>
      <c r="C766" s="21">
        <v>0.1736111111111111</v>
      </c>
      <c r="D766" s="20" t="s">
        <v>3054</v>
      </c>
      <c r="E766" t="s">
        <v>33</v>
      </c>
      <c r="F766" t="s">
        <v>44</v>
      </c>
      <c r="G766" t="s">
        <v>2630</v>
      </c>
      <c r="H766">
        <v>13</v>
      </c>
      <c r="I766">
        <f t="shared" si="13"/>
        <v>17</v>
      </c>
    </row>
    <row r="767" spans="1:9">
      <c r="A767" s="1">
        <v>42809.306250000001</v>
      </c>
      <c r="B767" s="19">
        <v>42461</v>
      </c>
      <c r="C767" s="21">
        <v>0.8569444444444444</v>
      </c>
      <c r="D767" s="20" t="s">
        <v>3047</v>
      </c>
      <c r="E767" t="s">
        <v>2</v>
      </c>
      <c r="F767" t="s">
        <v>3</v>
      </c>
      <c r="G767" t="s">
        <v>365</v>
      </c>
      <c r="H767">
        <v>9</v>
      </c>
      <c r="I767">
        <f t="shared" si="13"/>
        <v>12</v>
      </c>
    </row>
    <row r="768" spans="1:9">
      <c r="A768" s="1">
        <v>42809.138194444444</v>
      </c>
      <c r="B768" s="19">
        <v>42461</v>
      </c>
      <c r="C768" s="21">
        <v>0.68263888888888891</v>
      </c>
      <c r="D768" s="20" t="s">
        <v>3043</v>
      </c>
      <c r="E768" t="s">
        <v>6</v>
      </c>
      <c r="F768" t="s">
        <v>12</v>
      </c>
      <c r="G768" t="s">
        <v>2616</v>
      </c>
      <c r="H768">
        <v>3</v>
      </c>
      <c r="I768">
        <f t="shared" si="13"/>
        <v>4</v>
      </c>
    </row>
    <row r="769" spans="1:9">
      <c r="A769" s="1">
        <v>42809.017361111109</v>
      </c>
      <c r="B769" s="19">
        <v>42461</v>
      </c>
      <c r="C769" s="21">
        <v>0.57430555555555551</v>
      </c>
      <c r="D769" s="20" t="s">
        <v>3039</v>
      </c>
      <c r="E769" t="s">
        <v>6</v>
      </c>
      <c r="F769" t="s">
        <v>7</v>
      </c>
      <c r="G769" t="s">
        <v>2617</v>
      </c>
      <c r="H769">
        <v>0</v>
      </c>
      <c r="I769">
        <f t="shared" si="13"/>
        <v>0</v>
      </c>
    </row>
    <row r="770" spans="1:9">
      <c r="A770" s="1">
        <v>42809.011111111111</v>
      </c>
      <c r="B770" s="19">
        <v>42461</v>
      </c>
      <c r="C770" s="21">
        <v>0.56458333333333333</v>
      </c>
      <c r="D770" s="20" t="s">
        <v>3039</v>
      </c>
      <c r="E770" t="s">
        <v>2</v>
      </c>
      <c r="F770" t="s">
        <v>5</v>
      </c>
      <c r="G770" t="s">
        <v>2618</v>
      </c>
      <c r="H770">
        <v>17</v>
      </c>
      <c r="I770">
        <f t="shared" si="13"/>
        <v>22</v>
      </c>
    </row>
    <row r="771" spans="1:9">
      <c r="A771" s="1">
        <v>42809.959722222222</v>
      </c>
      <c r="B771" s="19">
        <v>42461</v>
      </c>
      <c r="C771" s="21">
        <v>0.52847222222222223</v>
      </c>
      <c r="D771" s="20" t="s">
        <v>3038</v>
      </c>
      <c r="E771" t="s">
        <v>6</v>
      </c>
      <c r="F771" t="s">
        <v>26</v>
      </c>
      <c r="G771" t="s">
        <v>2619</v>
      </c>
      <c r="H771">
        <v>54</v>
      </c>
      <c r="I771">
        <f t="shared" ref="I771:I834" si="14">ROUNDUP((H771*1.24), 0)</f>
        <v>67</v>
      </c>
    </row>
    <row r="772" spans="1:9">
      <c r="A772" s="1">
        <v>42809.918055555558</v>
      </c>
      <c r="B772" s="19">
        <v>42461</v>
      </c>
      <c r="C772" s="21">
        <v>0.52430555555555558</v>
      </c>
      <c r="D772" s="20" t="s">
        <v>3038</v>
      </c>
      <c r="E772" t="s">
        <v>6</v>
      </c>
      <c r="F772" t="s">
        <v>26</v>
      </c>
      <c r="G772" t="s">
        <v>2620</v>
      </c>
      <c r="H772">
        <v>17</v>
      </c>
      <c r="I772">
        <f t="shared" si="14"/>
        <v>22</v>
      </c>
    </row>
    <row r="773" spans="1:9">
      <c r="A773" s="1">
        <v>42809.909722222219</v>
      </c>
      <c r="B773" s="19">
        <v>42461</v>
      </c>
      <c r="C773" s="21">
        <v>0.44166666666666665</v>
      </c>
      <c r="D773" s="20" t="s">
        <v>3036</v>
      </c>
      <c r="E773" t="s">
        <v>6</v>
      </c>
      <c r="F773" t="s">
        <v>26</v>
      </c>
      <c r="G773" t="s">
        <v>2626</v>
      </c>
      <c r="H773">
        <v>24</v>
      </c>
      <c r="I773">
        <f t="shared" si="14"/>
        <v>30</v>
      </c>
    </row>
    <row r="774" spans="1:9">
      <c r="A774" s="1">
        <v>42809.251388888886</v>
      </c>
      <c r="B774" s="19">
        <v>42461</v>
      </c>
      <c r="C774" s="21">
        <v>0.25555555555555554</v>
      </c>
      <c r="D774" s="20" t="s">
        <v>3031</v>
      </c>
      <c r="E774" t="s">
        <v>6</v>
      </c>
      <c r="F774" t="s">
        <v>26</v>
      </c>
      <c r="G774" t="s">
        <v>2627</v>
      </c>
      <c r="H774" t="e">
        <v>#VALUE!</v>
      </c>
      <c r="I774" t="e">
        <f t="shared" si="14"/>
        <v>#VALUE!</v>
      </c>
    </row>
    <row r="775" spans="1:9">
      <c r="A775" s="1">
        <v>42809.251388888886</v>
      </c>
      <c r="B775" s="19">
        <v>42461</v>
      </c>
      <c r="C775" s="21">
        <v>0.1875</v>
      </c>
      <c r="D775" s="20" t="s">
        <v>3054</v>
      </c>
      <c r="E775" t="s">
        <v>6</v>
      </c>
      <c r="F775" t="s">
        <v>26</v>
      </c>
      <c r="G775" t="s">
        <v>2628</v>
      </c>
      <c r="H775">
        <v>112</v>
      </c>
      <c r="I775">
        <f t="shared" si="14"/>
        <v>139</v>
      </c>
    </row>
    <row r="776" spans="1:9">
      <c r="A776" s="1">
        <v>42809.006249999999</v>
      </c>
      <c r="B776" s="19">
        <v>42461</v>
      </c>
      <c r="C776" s="21">
        <v>0.18055555555555555</v>
      </c>
      <c r="D776" s="20" t="s">
        <v>3054</v>
      </c>
      <c r="E776" t="s">
        <v>6</v>
      </c>
      <c r="F776" t="s">
        <v>26</v>
      </c>
      <c r="G776" t="s">
        <v>2629</v>
      </c>
      <c r="H776">
        <v>13</v>
      </c>
      <c r="I776">
        <f t="shared" si="14"/>
        <v>17</v>
      </c>
    </row>
    <row r="777" spans="1:9">
      <c r="A777" s="1">
        <v>42808.970833333333</v>
      </c>
      <c r="B777" s="19">
        <v>42461</v>
      </c>
      <c r="C777" s="21">
        <v>0.16527777777777777</v>
      </c>
      <c r="D777" s="20" t="s">
        <v>3053</v>
      </c>
      <c r="E777" t="s">
        <v>2</v>
      </c>
      <c r="F777" t="s">
        <v>5</v>
      </c>
      <c r="G777" t="s">
        <v>661</v>
      </c>
      <c r="H777">
        <v>15</v>
      </c>
      <c r="I777">
        <f t="shared" si="14"/>
        <v>19</v>
      </c>
    </row>
    <row r="778" spans="1:9">
      <c r="A778" s="1">
        <v>42808.841666666667</v>
      </c>
      <c r="B778" s="19">
        <v>42461</v>
      </c>
      <c r="C778" s="21">
        <v>0.14861111111111111</v>
      </c>
      <c r="D778" s="20" t="s">
        <v>3053</v>
      </c>
      <c r="E778" t="s">
        <v>6</v>
      </c>
      <c r="F778" t="s">
        <v>26</v>
      </c>
      <c r="G778" t="s">
        <v>2631</v>
      </c>
      <c r="H778">
        <v>25</v>
      </c>
      <c r="I778">
        <f t="shared" si="14"/>
        <v>31</v>
      </c>
    </row>
    <row r="779" spans="1:9">
      <c r="A779" s="1">
        <v>42808.834722222222</v>
      </c>
      <c r="B779" s="19">
        <v>42461</v>
      </c>
      <c r="C779" s="21">
        <v>0.1361111111111111</v>
      </c>
      <c r="D779" s="20" t="s">
        <v>3053</v>
      </c>
      <c r="E779" t="s">
        <v>6</v>
      </c>
      <c r="F779" t="s">
        <v>26</v>
      </c>
      <c r="G779" t="s">
        <v>2632</v>
      </c>
      <c r="H779">
        <v>13</v>
      </c>
      <c r="I779">
        <f t="shared" si="14"/>
        <v>17</v>
      </c>
    </row>
    <row r="780" spans="1:9">
      <c r="A780" s="1">
        <v>42808.717361111114</v>
      </c>
      <c r="B780" s="19">
        <v>42461</v>
      </c>
      <c r="C780" s="21">
        <v>0.12291666666666666</v>
      </c>
      <c r="D780" s="20" t="s">
        <v>3052</v>
      </c>
      <c r="E780" t="s">
        <v>6</v>
      </c>
      <c r="F780" t="s">
        <v>26</v>
      </c>
      <c r="G780" t="s">
        <v>2632</v>
      </c>
      <c r="H780">
        <v>13</v>
      </c>
      <c r="I780">
        <f t="shared" si="14"/>
        <v>17</v>
      </c>
    </row>
    <row r="781" spans="1:9">
      <c r="A781" s="1">
        <v>42808.544444444444</v>
      </c>
      <c r="B781" s="19">
        <v>42461</v>
      </c>
      <c r="C781" s="21">
        <v>9.8611111111111108E-2</v>
      </c>
      <c r="D781" s="20" t="s">
        <v>3052</v>
      </c>
      <c r="E781" t="s">
        <v>6</v>
      </c>
      <c r="F781" t="s">
        <v>26</v>
      </c>
      <c r="G781" t="s">
        <v>2379</v>
      </c>
      <c r="H781">
        <v>7</v>
      </c>
      <c r="I781">
        <f t="shared" si="14"/>
        <v>9</v>
      </c>
    </row>
    <row r="782" spans="1:9">
      <c r="A782" s="1">
        <v>42808.183333333334</v>
      </c>
      <c r="B782" s="19">
        <v>42462</v>
      </c>
      <c r="C782" s="21">
        <v>4.1666666666666664E-2</v>
      </c>
      <c r="D782" s="20" t="s">
        <v>3051</v>
      </c>
      <c r="H782">
        <v>0</v>
      </c>
      <c r="I782">
        <f t="shared" si="14"/>
        <v>0</v>
      </c>
    </row>
    <row r="783" spans="1:9">
      <c r="A783" s="1">
        <v>42808.924305555556</v>
      </c>
      <c r="B783" s="19">
        <v>42463</v>
      </c>
      <c r="C783" s="21">
        <v>0.99444444444444446</v>
      </c>
      <c r="D783" s="20" t="s">
        <v>3063</v>
      </c>
      <c r="E783" t="s">
        <v>149</v>
      </c>
      <c r="F783" t="s">
        <v>150</v>
      </c>
      <c r="G783" t="s">
        <v>2605</v>
      </c>
      <c r="H783">
        <v>7</v>
      </c>
      <c r="I783">
        <f t="shared" si="14"/>
        <v>9</v>
      </c>
    </row>
    <row r="784" spans="1:9">
      <c r="A784" s="1">
        <v>42808.25</v>
      </c>
      <c r="B784" s="19">
        <v>42463</v>
      </c>
      <c r="C784" s="21">
        <v>0.95416666666666672</v>
      </c>
      <c r="D784" s="20" t="s">
        <v>3049</v>
      </c>
      <c r="E784" t="s">
        <v>0</v>
      </c>
      <c r="F784" t="s">
        <v>1</v>
      </c>
      <c r="G784" t="s">
        <v>2607</v>
      </c>
      <c r="H784">
        <v>4</v>
      </c>
      <c r="I784">
        <f t="shared" si="14"/>
        <v>5</v>
      </c>
    </row>
    <row r="785" spans="1:9">
      <c r="A785" s="1">
        <v>42808.249305555553</v>
      </c>
      <c r="B785" s="19">
        <v>42463</v>
      </c>
      <c r="C785" s="21">
        <v>0.9375</v>
      </c>
      <c r="D785" s="20" t="s">
        <v>3049</v>
      </c>
      <c r="E785" t="s">
        <v>18</v>
      </c>
      <c r="F785" t="s">
        <v>71</v>
      </c>
      <c r="G785" t="s">
        <v>1659</v>
      </c>
      <c r="H785" t="e">
        <v>#VALUE!</v>
      </c>
      <c r="I785" t="e">
        <f t="shared" si="14"/>
        <v>#VALUE!</v>
      </c>
    </row>
    <row r="786" spans="1:9">
      <c r="A786" s="1">
        <v>42807.629861111112</v>
      </c>
      <c r="B786" s="19">
        <v>42463</v>
      </c>
      <c r="C786" s="21">
        <v>0.93611111111111112</v>
      </c>
      <c r="D786" s="20" t="s">
        <v>3049</v>
      </c>
      <c r="E786" t="s">
        <v>0</v>
      </c>
      <c r="F786" t="s">
        <v>313</v>
      </c>
      <c r="G786" t="s">
        <v>2608</v>
      </c>
      <c r="H786">
        <v>4</v>
      </c>
      <c r="I786">
        <f t="shared" si="14"/>
        <v>5</v>
      </c>
    </row>
    <row r="787" spans="1:9">
      <c r="A787" s="1">
        <v>42807.273611111108</v>
      </c>
      <c r="B787" s="19">
        <v>42463</v>
      </c>
      <c r="C787" s="21">
        <v>0.92847222222222225</v>
      </c>
      <c r="D787" s="20" t="s">
        <v>3049</v>
      </c>
      <c r="E787" t="s">
        <v>18</v>
      </c>
      <c r="F787" t="s">
        <v>19</v>
      </c>
      <c r="G787" t="s">
        <v>2609</v>
      </c>
      <c r="H787">
        <v>17</v>
      </c>
      <c r="I787">
        <f t="shared" si="14"/>
        <v>22</v>
      </c>
    </row>
    <row r="788" spans="1:9">
      <c r="A788" s="1">
        <v>42807.918055555558</v>
      </c>
      <c r="B788" s="19">
        <v>42463</v>
      </c>
      <c r="C788" s="21">
        <v>0.92569444444444449</v>
      </c>
      <c r="D788" s="20" t="s">
        <v>3049</v>
      </c>
      <c r="E788" t="s">
        <v>0</v>
      </c>
      <c r="G788" t="s">
        <v>1844</v>
      </c>
      <c r="H788">
        <v>9</v>
      </c>
      <c r="I788">
        <f t="shared" si="14"/>
        <v>12</v>
      </c>
    </row>
    <row r="789" spans="1:9">
      <c r="A789" s="1">
        <v>42807.469444444447</v>
      </c>
      <c r="B789" s="19">
        <v>42463</v>
      </c>
      <c r="C789" s="21">
        <v>0.91874999999999996</v>
      </c>
      <c r="D789" s="20" t="s">
        <v>3049</v>
      </c>
      <c r="E789" t="s">
        <v>0</v>
      </c>
      <c r="G789" t="s">
        <v>2610</v>
      </c>
      <c r="H789">
        <v>17</v>
      </c>
      <c r="I789">
        <f t="shared" si="14"/>
        <v>22</v>
      </c>
    </row>
    <row r="790" spans="1:9">
      <c r="A790" s="1">
        <v>42807.367361111108</v>
      </c>
      <c r="B790" s="19">
        <v>42463</v>
      </c>
      <c r="C790" s="21">
        <v>0.9868055555555556</v>
      </c>
      <c r="D790" s="20" t="s">
        <v>3063</v>
      </c>
      <c r="E790" t="s">
        <v>6</v>
      </c>
      <c r="F790" t="s">
        <v>12</v>
      </c>
      <c r="G790" t="s">
        <v>2606</v>
      </c>
      <c r="H790">
        <v>7</v>
      </c>
      <c r="I790">
        <f t="shared" si="14"/>
        <v>9</v>
      </c>
    </row>
    <row r="791" spans="1:9">
      <c r="A791" s="1">
        <v>42807.274305555555</v>
      </c>
      <c r="B791" s="19">
        <v>42464</v>
      </c>
      <c r="C791" s="21">
        <v>0.92013888888888884</v>
      </c>
      <c r="D791" s="20" t="s">
        <v>3049</v>
      </c>
      <c r="E791" t="s">
        <v>18</v>
      </c>
      <c r="F791" t="s">
        <v>71</v>
      </c>
      <c r="G791" t="s">
        <v>1657</v>
      </c>
      <c r="H791" t="e">
        <v>#VALUE!</v>
      </c>
      <c r="I791" t="e">
        <f t="shared" si="14"/>
        <v>#VALUE!</v>
      </c>
    </row>
    <row r="792" spans="1:9">
      <c r="A792" s="1">
        <v>42807.273611111108</v>
      </c>
      <c r="B792" s="19">
        <v>42464</v>
      </c>
      <c r="C792" s="21">
        <v>0.62708333333333333</v>
      </c>
      <c r="D792" s="20" t="s">
        <v>3042</v>
      </c>
      <c r="H792">
        <v>0</v>
      </c>
      <c r="I792">
        <f t="shared" si="14"/>
        <v>0</v>
      </c>
    </row>
    <row r="793" spans="1:9">
      <c r="A793" s="1">
        <v>42797.651388888888</v>
      </c>
      <c r="B793" s="19">
        <v>42464</v>
      </c>
      <c r="C793" s="21">
        <v>0.62708333333333333</v>
      </c>
      <c r="D793" s="20" t="s">
        <v>3042</v>
      </c>
      <c r="H793">
        <v>0</v>
      </c>
      <c r="I793">
        <f t="shared" si="14"/>
        <v>0</v>
      </c>
    </row>
    <row r="794" spans="1:9">
      <c r="A794" s="1">
        <v>42797.647916666669</v>
      </c>
      <c r="B794" s="19">
        <v>42464</v>
      </c>
      <c r="C794" s="21">
        <v>0.17499999999999999</v>
      </c>
      <c r="D794" s="20" t="s">
        <v>3054</v>
      </c>
      <c r="E794" t="s">
        <v>0</v>
      </c>
      <c r="G794" t="s">
        <v>2597</v>
      </c>
      <c r="H794">
        <v>14</v>
      </c>
      <c r="I794">
        <f t="shared" si="14"/>
        <v>18</v>
      </c>
    </row>
    <row r="795" spans="1:9">
      <c r="A795" s="1">
        <v>42797.64166666667</v>
      </c>
      <c r="B795" s="19">
        <v>42464</v>
      </c>
      <c r="C795" s="21">
        <v>1.9444444444444445E-2</v>
      </c>
      <c r="D795" s="20" t="s">
        <v>3050</v>
      </c>
      <c r="E795" t="s">
        <v>0</v>
      </c>
      <c r="F795" t="s">
        <v>313</v>
      </c>
      <c r="G795" t="s">
        <v>2604</v>
      </c>
      <c r="H795">
        <v>3</v>
      </c>
      <c r="I795">
        <f t="shared" si="14"/>
        <v>4</v>
      </c>
    </row>
    <row r="796" spans="1:9">
      <c r="A796" s="1">
        <v>42797.623611111114</v>
      </c>
      <c r="B796" s="19">
        <v>42464</v>
      </c>
      <c r="C796" s="21">
        <v>0.95416666666666672</v>
      </c>
      <c r="D796" s="20" t="s">
        <v>3049</v>
      </c>
      <c r="E796" t="s">
        <v>6</v>
      </c>
      <c r="F796" t="s">
        <v>26</v>
      </c>
      <c r="G796" t="s">
        <v>2596</v>
      </c>
      <c r="H796">
        <v>12</v>
      </c>
      <c r="I796">
        <f t="shared" si="14"/>
        <v>15</v>
      </c>
    </row>
    <row r="797" spans="1:9">
      <c r="A797" s="1">
        <v>42797.601388888892</v>
      </c>
      <c r="B797" s="19">
        <v>42464</v>
      </c>
      <c r="C797" s="21">
        <v>0.17499999999999999</v>
      </c>
      <c r="D797" s="20" t="s">
        <v>3054</v>
      </c>
      <c r="E797" t="s">
        <v>6</v>
      </c>
      <c r="F797" t="s">
        <v>15</v>
      </c>
      <c r="G797" t="s">
        <v>2598</v>
      </c>
      <c r="H797">
        <v>7</v>
      </c>
      <c r="I797">
        <f t="shared" si="14"/>
        <v>9</v>
      </c>
    </row>
    <row r="798" spans="1:9">
      <c r="A798" s="1">
        <v>42797.529166666667</v>
      </c>
      <c r="B798" s="19">
        <v>42464</v>
      </c>
      <c r="C798" s="21">
        <v>0.16666666666666666</v>
      </c>
      <c r="D798" s="20" t="s">
        <v>3054</v>
      </c>
      <c r="E798" t="s">
        <v>6</v>
      </c>
      <c r="F798" t="s">
        <v>15</v>
      </c>
      <c r="G798" t="s">
        <v>2598</v>
      </c>
      <c r="H798">
        <v>7</v>
      </c>
      <c r="I798">
        <f t="shared" si="14"/>
        <v>9</v>
      </c>
    </row>
    <row r="799" spans="1:9">
      <c r="A799" s="1">
        <v>42797.331250000003</v>
      </c>
      <c r="B799" s="19">
        <v>42464</v>
      </c>
      <c r="C799" s="21">
        <v>0.15972222222222221</v>
      </c>
      <c r="D799" s="20" t="s">
        <v>3053</v>
      </c>
      <c r="E799" t="s">
        <v>6</v>
      </c>
      <c r="F799" t="s">
        <v>7</v>
      </c>
      <c r="G799" t="s">
        <v>2599</v>
      </c>
      <c r="H799">
        <v>4</v>
      </c>
      <c r="I799">
        <f t="shared" si="14"/>
        <v>5</v>
      </c>
    </row>
    <row r="800" spans="1:9">
      <c r="A800" s="1">
        <v>42797.258333333331</v>
      </c>
      <c r="B800" s="19">
        <v>42464</v>
      </c>
      <c r="C800" s="21">
        <v>0.15625</v>
      </c>
      <c r="D800" s="20" t="s">
        <v>3053</v>
      </c>
      <c r="E800" t="s">
        <v>6</v>
      </c>
      <c r="F800" t="s">
        <v>15</v>
      </c>
      <c r="G800" t="s">
        <v>2600</v>
      </c>
      <c r="H800">
        <v>7</v>
      </c>
      <c r="I800">
        <f t="shared" si="14"/>
        <v>9</v>
      </c>
    </row>
    <row r="801" spans="1:9">
      <c r="A801" s="1">
        <v>42797.04583333333</v>
      </c>
      <c r="B801" s="19">
        <v>42464</v>
      </c>
      <c r="C801" s="21">
        <v>0.15486111111111112</v>
      </c>
      <c r="D801" s="20" t="s">
        <v>3053</v>
      </c>
      <c r="E801" t="s">
        <v>6</v>
      </c>
      <c r="F801" t="s">
        <v>21</v>
      </c>
      <c r="G801" t="s">
        <v>2601</v>
      </c>
      <c r="H801" t="e">
        <v>#VALUE!</v>
      </c>
      <c r="I801" t="e">
        <f t="shared" si="14"/>
        <v>#VALUE!</v>
      </c>
    </row>
    <row r="802" spans="1:9">
      <c r="A802" s="1">
        <v>42797.029166666667</v>
      </c>
      <c r="B802" s="19">
        <v>42464</v>
      </c>
      <c r="C802" s="21">
        <v>0.14027777777777778</v>
      </c>
      <c r="D802" s="20" t="s">
        <v>3053</v>
      </c>
      <c r="E802" t="s">
        <v>6</v>
      </c>
      <c r="F802" t="s">
        <v>89</v>
      </c>
      <c r="G802" t="s">
        <v>2602</v>
      </c>
      <c r="H802">
        <v>9</v>
      </c>
      <c r="I802">
        <f t="shared" si="14"/>
        <v>12</v>
      </c>
    </row>
    <row r="803" spans="1:9">
      <c r="A803" s="1">
        <v>42797.592361111114</v>
      </c>
      <c r="B803" s="19">
        <v>42464</v>
      </c>
      <c r="C803" s="21">
        <v>3.125E-2</v>
      </c>
      <c r="D803" s="20" t="s">
        <v>3050</v>
      </c>
      <c r="E803" t="s">
        <v>6</v>
      </c>
      <c r="F803" t="s">
        <v>21</v>
      </c>
      <c r="G803" t="s">
        <v>2603</v>
      </c>
      <c r="H803">
        <v>13</v>
      </c>
      <c r="I803">
        <f t="shared" si="14"/>
        <v>17</v>
      </c>
    </row>
    <row r="804" spans="1:9">
      <c r="A804" s="1">
        <v>42797.584027777775</v>
      </c>
      <c r="B804" s="19">
        <v>42464</v>
      </c>
      <c r="C804" s="21">
        <v>8.3333333333333332E-3</v>
      </c>
      <c r="D804" s="20" t="s">
        <v>3050</v>
      </c>
      <c r="E804" t="s">
        <v>2</v>
      </c>
      <c r="F804" t="s">
        <v>56</v>
      </c>
      <c r="G804" t="s">
        <v>513</v>
      </c>
      <c r="H804">
        <v>20</v>
      </c>
      <c r="I804">
        <f t="shared" si="14"/>
        <v>25</v>
      </c>
    </row>
    <row r="805" spans="1:9">
      <c r="A805" s="1">
        <v>42797.583333333336</v>
      </c>
      <c r="B805" s="19">
        <v>42465</v>
      </c>
      <c r="C805" s="21">
        <v>0.92569444444444449</v>
      </c>
      <c r="D805" s="20" t="s">
        <v>3049</v>
      </c>
      <c r="E805" t="s">
        <v>18</v>
      </c>
      <c r="F805" t="s">
        <v>71</v>
      </c>
      <c r="G805" t="s">
        <v>1614</v>
      </c>
      <c r="H805" t="e">
        <v>#VALUE!</v>
      </c>
      <c r="I805" t="e">
        <f t="shared" si="14"/>
        <v>#VALUE!</v>
      </c>
    </row>
    <row r="806" spans="1:9">
      <c r="A806" s="1">
        <v>42797.255555555559</v>
      </c>
      <c r="B806" s="19">
        <v>42465</v>
      </c>
      <c r="C806" s="21">
        <v>0.91666666666666663</v>
      </c>
      <c r="D806" s="20" t="s">
        <v>3049</v>
      </c>
      <c r="E806" t="s">
        <v>0</v>
      </c>
      <c r="F806" t="s">
        <v>10</v>
      </c>
      <c r="G806" t="s">
        <v>2579</v>
      </c>
      <c r="H806">
        <v>13</v>
      </c>
      <c r="I806">
        <f t="shared" si="14"/>
        <v>17</v>
      </c>
    </row>
    <row r="807" spans="1:9">
      <c r="A807" s="1">
        <v>42797.143055555556</v>
      </c>
      <c r="B807" s="19">
        <v>42465</v>
      </c>
      <c r="C807" s="21">
        <v>0.68125000000000002</v>
      </c>
      <c r="D807" s="20" t="s">
        <v>3043</v>
      </c>
      <c r="E807" t="s">
        <v>0</v>
      </c>
      <c r="F807" t="s">
        <v>1</v>
      </c>
      <c r="G807" t="s">
        <v>2580</v>
      </c>
      <c r="H807">
        <v>15</v>
      </c>
      <c r="I807">
        <f t="shared" si="14"/>
        <v>19</v>
      </c>
    </row>
    <row r="808" spans="1:9">
      <c r="A808" s="1">
        <v>42796.980555555558</v>
      </c>
      <c r="B808" s="19">
        <v>42465</v>
      </c>
      <c r="C808" s="21">
        <v>0.625</v>
      </c>
      <c r="D808" s="20" t="s">
        <v>3042</v>
      </c>
      <c r="E808" t="s">
        <v>18</v>
      </c>
      <c r="G808" t="s">
        <v>2582</v>
      </c>
      <c r="H808">
        <v>19</v>
      </c>
      <c r="I808">
        <f t="shared" si="14"/>
        <v>24</v>
      </c>
    </row>
    <row r="809" spans="1:9">
      <c r="A809" s="1">
        <v>42796.9375</v>
      </c>
      <c r="B809" s="19">
        <v>42465</v>
      </c>
      <c r="C809" s="21">
        <v>0.57499999999999996</v>
      </c>
      <c r="D809" s="20" t="s">
        <v>3039</v>
      </c>
      <c r="E809" t="s">
        <v>0</v>
      </c>
      <c r="F809" t="s">
        <v>10</v>
      </c>
      <c r="G809" t="s">
        <v>2583</v>
      </c>
      <c r="H809">
        <v>13</v>
      </c>
      <c r="I809">
        <f t="shared" si="14"/>
        <v>17</v>
      </c>
    </row>
    <row r="810" spans="1:9">
      <c r="A810" s="1">
        <v>42796.831250000003</v>
      </c>
      <c r="B810" s="19">
        <v>42465</v>
      </c>
      <c r="C810" s="21">
        <v>0.43402777777777779</v>
      </c>
      <c r="D810" s="20" t="s">
        <v>3036</v>
      </c>
      <c r="E810" t="s">
        <v>18</v>
      </c>
      <c r="F810" t="s">
        <v>19</v>
      </c>
      <c r="G810" t="s">
        <v>2586</v>
      </c>
      <c r="H810">
        <v>31</v>
      </c>
      <c r="I810">
        <f t="shared" si="14"/>
        <v>39</v>
      </c>
    </row>
    <row r="811" spans="1:9">
      <c r="A811" s="1">
        <v>42796.711111111108</v>
      </c>
      <c r="B811" s="19">
        <v>42465</v>
      </c>
      <c r="C811" s="21">
        <v>0.25486111111111109</v>
      </c>
      <c r="D811" s="20" t="s">
        <v>3031</v>
      </c>
      <c r="E811" t="s">
        <v>0</v>
      </c>
      <c r="F811" t="s">
        <v>313</v>
      </c>
      <c r="G811" t="s">
        <v>2590</v>
      </c>
      <c r="H811">
        <v>3</v>
      </c>
      <c r="I811">
        <f t="shared" si="14"/>
        <v>4</v>
      </c>
    </row>
    <row r="812" spans="1:9">
      <c r="A812" s="1">
        <v>42796.675000000003</v>
      </c>
      <c r="B812" s="19">
        <v>42465</v>
      </c>
      <c r="C812" s="21">
        <v>9.2361111111111116E-2</v>
      </c>
      <c r="D812" s="20" t="s">
        <v>3052</v>
      </c>
      <c r="E812" t="s">
        <v>0</v>
      </c>
      <c r="G812" t="s">
        <v>2593</v>
      </c>
      <c r="H812">
        <v>24</v>
      </c>
      <c r="I812">
        <f t="shared" si="14"/>
        <v>30</v>
      </c>
    </row>
    <row r="813" spans="1:9">
      <c r="A813" s="1">
        <v>42796.620833333334</v>
      </c>
      <c r="B813" s="19">
        <v>42465</v>
      </c>
      <c r="C813" s="21">
        <v>0.95</v>
      </c>
      <c r="D813" s="20" t="s">
        <v>3049</v>
      </c>
      <c r="E813" t="s">
        <v>6</v>
      </c>
      <c r="F813" t="s">
        <v>12</v>
      </c>
      <c r="G813" t="s">
        <v>1675</v>
      </c>
      <c r="H813">
        <v>3</v>
      </c>
      <c r="I813">
        <f t="shared" si="14"/>
        <v>4</v>
      </c>
    </row>
    <row r="814" spans="1:9">
      <c r="A814" s="1">
        <v>42796.6</v>
      </c>
      <c r="B814" s="19">
        <v>42465</v>
      </c>
      <c r="C814" s="21">
        <v>0.67291666666666672</v>
      </c>
      <c r="D814" s="20" t="s">
        <v>3043</v>
      </c>
      <c r="E814" t="s">
        <v>2</v>
      </c>
      <c r="F814" t="s">
        <v>48</v>
      </c>
      <c r="G814" t="s">
        <v>2581</v>
      </c>
      <c r="H814">
        <v>13</v>
      </c>
      <c r="I814">
        <f t="shared" si="14"/>
        <v>17</v>
      </c>
    </row>
    <row r="815" spans="1:9">
      <c r="A815" s="1">
        <v>42796.589583333334</v>
      </c>
      <c r="B815" s="19">
        <v>42465</v>
      </c>
      <c r="C815" s="21">
        <v>0.625</v>
      </c>
      <c r="D815" s="20" t="s">
        <v>3042</v>
      </c>
      <c r="E815" t="s">
        <v>2</v>
      </c>
      <c r="F815" t="s">
        <v>48</v>
      </c>
      <c r="G815" t="s">
        <v>2581</v>
      </c>
      <c r="H815">
        <v>75</v>
      </c>
      <c r="I815">
        <f t="shared" si="14"/>
        <v>93</v>
      </c>
    </row>
    <row r="816" spans="1:9">
      <c r="A816" s="1">
        <v>42796.522222222222</v>
      </c>
      <c r="B816" s="19">
        <v>42465</v>
      </c>
      <c r="C816" s="21">
        <v>0.60069444444444442</v>
      </c>
      <c r="D816" s="20" t="s">
        <v>3040</v>
      </c>
      <c r="E816" t="s">
        <v>2</v>
      </c>
      <c r="F816" t="s">
        <v>48</v>
      </c>
      <c r="G816" t="s">
        <v>2581</v>
      </c>
      <c r="H816">
        <v>56</v>
      </c>
      <c r="I816">
        <f t="shared" si="14"/>
        <v>70</v>
      </c>
    </row>
    <row r="817" spans="1:9">
      <c r="A817" s="1">
        <v>42796.372916666667</v>
      </c>
      <c r="B817" s="19">
        <v>42465</v>
      </c>
      <c r="C817" s="21">
        <v>0.56736111111111109</v>
      </c>
      <c r="D817" s="20" t="s">
        <v>3039</v>
      </c>
      <c r="E817" t="s">
        <v>6</v>
      </c>
      <c r="F817" t="s">
        <v>7</v>
      </c>
      <c r="G817" t="s">
        <v>2584</v>
      </c>
      <c r="H817">
        <v>4</v>
      </c>
      <c r="I817">
        <f t="shared" si="14"/>
        <v>5</v>
      </c>
    </row>
    <row r="818" spans="1:9">
      <c r="A818" s="1">
        <v>42796.262499999997</v>
      </c>
      <c r="B818" s="19">
        <v>42465</v>
      </c>
      <c r="C818" s="21">
        <v>0.52916666666666667</v>
      </c>
      <c r="D818" s="20" t="s">
        <v>3038</v>
      </c>
      <c r="E818" t="s">
        <v>6</v>
      </c>
      <c r="F818" t="s">
        <v>7</v>
      </c>
      <c r="G818" t="s">
        <v>2584</v>
      </c>
      <c r="H818">
        <v>4</v>
      </c>
      <c r="I818">
        <f t="shared" si="14"/>
        <v>5</v>
      </c>
    </row>
    <row r="819" spans="1:9">
      <c r="A819" s="1">
        <v>42796.042361111111</v>
      </c>
      <c r="B819" s="19">
        <v>42465</v>
      </c>
      <c r="C819" s="21">
        <v>0.49930555555555556</v>
      </c>
      <c r="D819" s="20" t="s">
        <v>3037</v>
      </c>
      <c r="E819" t="s">
        <v>6</v>
      </c>
      <c r="F819" t="s">
        <v>7</v>
      </c>
      <c r="G819" t="s">
        <v>2585</v>
      </c>
      <c r="H819">
        <v>8</v>
      </c>
      <c r="I819">
        <f t="shared" si="14"/>
        <v>10</v>
      </c>
    </row>
    <row r="820" spans="1:9">
      <c r="A820" s="1">
        <v>42796.929861111108</v>
      </c>
      <c r="B820" s="19">
        <v>42465</v>
      </c>
      <c r="C820" s="21">
        <v>0.44097222222222221</v>
      </c>
      <c r="D820" s="20" t="s">
        <v>3036</v>
      </c>
      <c r="E820" t="s">
        <v>2</v>
      </c>
      <c r="F820" t="s">
        <v>48</v>
      </c>
      <c r="H820">
        <v>15</v>
      </c>
      <c r="I820">
        <f t="shared" si="14"/>
        <v>19</v>
      </c>
    </row>
    <row r="821" spans="1:9">
      <c r="A821" s="1">
        <v>42796.916666666664</v>
      </c>
      <c r="B821" s="19">
        <v>42465</v>
      </c>
      <c r="C821" s="21">
        <v>0.36527777777777776</v>
      </c>
      <c r="D821" s="20" t="s">
        <v>3034</v>
      </c>
      <c r="E821" t="s">
        <v>6</v>
      </c>
      <c r="F821" t="s">
        <v>167</v>
      </c>
      <c r="G821" t="s">
        <v>2587</v>
      </c>
      <c r="H821">
        <v>7</v>
      </c>
      <c r="I821">
        <f t="shared" si="14"/>
        <v>9</v>
      </c>
    </row>
    <row r="822" spans="1:9">
      <c r="A822" s="1">
        <v>42796.916666666664</v>
      </c>
      <c r="B822" s="19">
        <v>42465</v>
      </c>
      <c r="C822" s="21">
        <v>0.31319444444444444</v>
      </c>
      <c r="D822" s="20" t="s">
        <v>3033</v>
      </c>
      <c r="E822" t="s">
        <v>6</v>
      </c>
      <c r="F822" t="s">
        <v>12</v>
      </c>
      <c r="G822" t="s">
        <v>2588</v>
      </c>
      <c r="H822">
        <v>15</v>
      </c>
      <c r="I822">
        <f t="shared" si="14"/>
        <v>19</v>
      </c>
    </row>
    <row r="823" spans="1:9">
      <c r="A823" s="1">
        <v>42796.902777777781</v>
      </c>
      <c r="B823" s="19">
        <v>42465</v>
      </c>
      <c r="C823" s="21">
        <v>0.27916666666666667</v>
      </c>
      <c r="D823" s="20" t="s">
        <v>3031</v>
      </c>
      <c r="E823" t="s">
        <v>6</v>
      </c>
      <c r="F823" t="s">
        <v>12</v>
      </c>
      <c r="G823" t="s">
        <v>2589</v>
      </c>
      <c r="H823">
        <v>4</v>
      </c>
      <c r="I823">
        <f t="shared" si="14"/>
        <v>5</v>
      </c>
    </row>
    <row r="824" spans="1:9">
      <c r="A824" s="1">
        <v>42796.589583333334</v>
      </c>
      <c r="B824" s="19">
        <v>42465</v>
      </c>
      <c r="C824" s="21">
        <v>0.2013888888888889</v>
      </c>
      <c r="D824" s="20" t="s">
        <v>3054</v>
      </c>
      <c r="E824" t="s">
        <v>6</v>
      </c>
      <c r="F824" t="s">
        <v>12</v>
      </c>
      <c r="G824" t="s">
        <v>1675</v>
      </c>
      <c r="H824">
        <v>4</v>
      </c>
      <c r="I824">
        <f t="shared" si="14"/>
        <v>5</v>
      </c>
    </row>
    <row r="825" spans="1:9">
      <c r="A825" s="1">
        <v>42795.956944444442</v>
      </c>
      <c r="B825" s="19">
        <v>42465</v>
      </c>
      <c r="C825" s="21">
        <v>0.10625</v>
      </c>
      <c r="D825" s="20" t="s">
        <v>3052</v>
      </c>
      <c r="E825" t="s">
        <v>6</v>
      </c>
      <c r="F825" t="s">
        <v>15</v>
      </c>
      <c r="G825" t="s">
        <v>2591</v>
      </c>
      <c r="H825">
        <v>39</v>
      </c>
      <c r="I825">
        <f t="shared" si="14"/>
        <v>49</v>
      </c>
    </row>
    <row r="826" spans="1:9">
      <c r="A826" s="1">
        <v>42795.681944444441</v>
      </c>
      <c r="B826" s="19">
        <v>42465</v>
      </c>
      <c r="C826" s="21">
        <v>0.10138888888888889</v>
      </c>
      <c r="D826" s="20" t="s">
        <v>3052</v>
      </c>
      <c r="E826" t="s">
        <v>6</v>
      </c>
      <c r="F826" t="s">
        <v>21</v>
      </c>
      <c r="G826" t="s">
        <v>2592</v>
      </c>
      <c r="H826">
        <v>7</v>
      </c>
      <c r="I826">
        <f t="shared" si="14"/>
        <v>9</v>
      </c>
    </row>
    <row r="827" spans="1:9">
      <c r="A827" s="1">
        <v>42795.445833333331</v>
      </c>
      <c r="B827" s="19">
        <v>42465</v>
      </c>
      <c r="C827" s="21">
        <v>5.6250000000000001E-2</v>
      </c>
      <c r="D827" s="20" t="s">
        <v>3051</v>
      </c>
      <c r="E827" t="s">
        <v>6</v>
      </c>
      <c r="F827" t="s">
        <v>15</v>
      </c>
      <c r="G827" t="s">
        <v>2594</v>
      </c>
      <c r="H827" t="e">
        <v>#VALUE!</v>
      </c>
      <c r="I827" t="e">
        <f t="shared" si="14"/>
        <v>#VALUE!</v>
      </c>
    </row>
    <row r="828" spans="1:9">
      <c r="A828" s="1">
        <v>42795.379166666666</v>
      </c>
      <c r="B828" s="19">
        <v>42465</v>
      </c>
      <c r="C828" s="21">
        <v>5.2083333333333336E-2</v>
      </c>
      <c r="D828" s="20" t="s">
        <v>3051</v>
      </c>
      <c r="E828" t="s">
        <v>6</v>
      </c>
      <c r="F828" t="s">
        <v>21</v>
      </c>
      <c r="G828" t="s">
        <v>2592</v>
      </c>
      <c r="H828">
        <v>8</v>
      </c>
      <c r="I828">
        <f t="shared" si="14"/>
        <v>10</v>
      </c>
    </row>
    <row r="829" spans="1:9">
      <c r="A829" s="1">
        <v>42795.018055555556</v>
      </c>
      <c r="B829" s="19">
        <v>42465</v>
      </c>
      <c r="C829" s="21">
        <v>2.8472222222222222E-2</v>
      </c>
      <c r="D829" s="20" t="s">
        <v>3050</v>
      </c>
      <c r="E829" t="s">
        <v>6</v>
      </c>
      <c r="F829" t="s">
        <v>15</v>
      </c>
      <c r="G829" t="s">
        <v>2595</v>
      </c>
      <c r="H829">
        <v>10</v>
      </c>
      <c r="I829">
        <f t="shared" si="14"/>
        <v>13</v>
      </c>
    </row>
    <row r="830" spans="1:9">
      <c r="A830" s="1">
        <v>42795.956944444442</v>
      </c>
      <c r="B830" s="19">
        <v>42466</v>
      </c>
      <c r="C830" s="21">
        <v>0.95763888888888893</v>
      </c>
      <c r="D830" s="20" t="s">
        <v>3049</v>
      </c>
      <c r="E830" t="s">
        <v>77</v>
      </c>
      <c r="F830" t="s">
        <v>78</v>
      </c>
      <c r="G830" t="s">
        <v>2537</v>
      </c>
      <c r="H830">
        <v>4</v>
      </c>
      <c r="I830">
        <f t="shared" si="14"/>
        <v>5</v>
      </c>
    </row>
    <row r="831" spans="1:9">
      <c r="A831" s="1">
        <v>42795.938194444447</v>
      </c>
      <c r="B831" s="19">
        <v>42466</v>
      </c>
      <c r="C831" s="21">
        <v>0.91388888888888886</v>
      </c>
      <c r="D831" s="20" t="s">
        <v>3048</v>
      </c>
      <c r="E831" t="s">
        <v>18</v>
      </c>
      <c r="F831" t="s">
        <v>71</v>
      </c>
      <c r="G831" t="s">
        <v>2550</v>
      </c>
      <c r="H831" t="e">
        <v>#VALUE!</v>
      </c>
      <c r="I831" t="e">
        <f t="shared" si="14"/>
        <v>#VALUE!</v>
      </c>
    </row>
    <row r="832" spans="1:9">
      <c r="A832" s="1">
        <v>42795.9375</v>
      </c>
      <c r="B832" s="19">
        <v>42466</v>
      </c>
      <c r="C832" s="21">
        <v>0.71666666666666667</v>
      </c>
      <c r="D832" s="20" t="s">
        <v>3044</v>
      </c>
      <c r="E832" t="s">
        <v>0</v>
      </c>
      <c r="G832" t="s">
        <v>2569</v>
      </c>
      <c r="H832">
        <v>0</v>
      </c>
      <c r="I832">
        <f t="shared" si="14"/>
        <v>0</v>
      </c>
    </row>
    <row r="833" spans="1:9">
      <c r="A833" s="1">
        <v>42795.916666666664</v>
      </c>
      <c r="B833" s="19">
        <v>42466</v>
      </c>
      <c r="C833" s="21">
        <v>0.60069444444444442</v>
      </c>
      <c r="D833" s="20" t="s">
        <v>3040</v>
      </c>
      <c r="E833" t="s">
        <v>18</v>
      </c>
      <c r="G833" t="s">
        <v>2570</v>
      </c>
      <c r="H833">
        <v>13</v>
      </c>
      <c r="I833">
        <f t="shared" si="14"/>
        <v>17</v>
      </c>
    </row>
    <row r="834" spans="1:9">
      <c r="A834" s="1">
        <v>42795.904166666667</v>
      </c>
      <c r="B834" s="19">
        <v>42466</v>
      </c>
      <c r="C834" s="21">
        <v>0.15069444444444444</v>
      </c>
      <c r="D834" s="20" t="s">
        <v>3053</v>
      </c>
      <c r="E834" t="s">
        <v>0</v>
      </c>
      <c r="G834" t="s">
        <v>1551</v>
      </c>
      <c r="H834">
        <v>3</v>
      </c>
      <c r="I834">
        <f t="shared" si="14"/>
        <v>4</v>
      </c>
    </row>
    <row r="835" spans="1:9">
      <c r="A835" s="1">
        <v>42795.691666666666</v>
      </c>
      <c r="B835" s="19">
        <v>42466</v>
      </c>
      <c r="C835" s="21">
        <v>5.9027777777777776E-2</v>
      </c>
      <c r="D835" s="20" t="s">
        <v>3051</v>
      </c>
      <c r="E835" t="s">
        <v>77</v>
      </c>
      <c r="F835" t="s">
        <v>78</v>
      </c>
      <c r="G835" t="s">
        <v>1674</v>
      </c>
      <c r="H835">
        <v>3</v>
      </c>
      <c r="I835">
        <f t="shared" ref="I835:I898" si="15">ROUNDUP((H835*1.24), 0)</f>
        <v>4</v>
      </c>
    </row>
    <row r="836" spans="1:9">
      <c r="A836" s="1">
        <v>42795.684027777781</v>
      </c>
      <c r="B836" s="19">
        <v>42466</v>
      </c>
      <c r="C836" s="21">
        <v>0.59375</v>
      </c>
      <c r="D836" s="20" t="s">
        <v>3040</v>
      </c>
      <c r="E836" t="s">
        <v>6</v>
      </c>
      <c r="G836" t="s">
        <v>2571</v>
      </c>
      <c r="H836">
        <v>25</v>
      </c>
      <c r="I836">
        <f t="shared" si="15"/>
        <v>31</v>
      </c>
    </row>
    <row r="837" spans="1:9">
      <c r="A837" s="1">
        <v>42795.585416666669</v>
      </c>
      <c r="B837" s="19">
        <v>42466</v>
      </c>
      <c r="C837" s="21">
        <v>0.53680555555555554</v>
      </c>
      <c r="D837" s="20" t="s">
        <v>3038</v>
      </c>
      <c r="E837" t="s">
        <v>6</v>
      </c>
      <c r="F837" t="s">
        <v>21</v>
      </c>
      <c r="G837" t="s">
        <v>2572</v>
      </c>
      <c r="H837">
        <v>7</v>
      </c>
      <c r="I837">
        <f t="shared" si="15"/>
        <v>9</v>
      </c>
    </row>
    <row r="838" spans="1:9">
      <c r="A838" s="1">
        <v>42795.585416666669</v>
      </c>
      <c r="B838" s="19">
        <v>42466</v>
      </c>
      <c r="C838" s="21">
        <v>0.52013888888888893</v>
      </c>
      <c r="D838" s="20" t="s">
        <v>3038</v>
      </c>
      <c r="E838" t="s">
        <v>6</v>
      </c>
      <c r="F838" t="s">
        <v>167</v>
      </c>
      <c r="G838" t="s">
        <v>2573</v>
      </c>
      <c r="H838">
        <v>7</v>
      </c>
      <c r="I838">
        <f t="shared" si="15"/>
        <v>9</v>
      </c>
    </row>
    <row r="839" spans="1:9">
      <c r="A839" s="1">
        <v>42795.585416666669</v>
      </c>
      <c r="B839" s="19">
        <v>42466</v>
      </c>
      <c r="C839" s="21">
        <v>0.49722222222222223</v>
      </c>
      <c r="D839" s="20" t="s">
        <v>3037</v>
      </c>
      <c r="E839" t="s">
        <v>6</v>
      </c>
      <c r="F839" t="s">
        <v>21</v>
      </c>
      <c r="G839" t="s">
        <v>2572</v>
      </c>
      <c r="H839">
        <v>5</v>
      </c>
      <c r="I839">
        <f t="shared" si="15"/>
        <v>7</v>
      </c>
    </row>
    <row r="840" spans="1:9">
      <c r="A840" s="1">
        <v>42795.574999999997</v>
      </c>
      <c r="B840" s="19">
        <v>42466</v>
      </c>
      <c r="C840" s="21">
        <v>0.47013888888888888</v>
      </c>
      <c r="D840" s="20" t="s">
        <v>3037</v>
      </c>
      <c r="E840" t="s">
        <v>6</v>
      </c>
      <c r="F840" t="s">
        <v>12</v>
      </c>
      <c r="G840" t="s">
        <v>2574</v>
      </c>
      <c r="H840">
        <v>50</v>
      </c>
      <c r="I840">
        <f t="shared" si="15"/>
        <v>62</v>
      </c>
    </row>
    <row r="841" spans="1:9">
      <c r="A841" s="1">
        <v>42795.274305555555</v>
      </c>
      <c r="B841" s="19">
        <v>42466</v>
      </c>
      <c r="C841" s="21">
        <v>0.42916666666666664</v>
      </c>
      <c r="D841" s="20" t="s">
        <v>3036</v>
      </c>
      <c r="E841" t="s">
        <v>6</v>
      </c>
      <c r="F841" t="s">
        <v>12</v>
      </c>
      <c r="G841" t="s">
        <v>2574</v>
      </c>
      <c r="H841">
        <v>50</v>
      </c>
      <c r="I841">
        <f t="shared" si="15"/>
        <v>62</v>
      </c>
    </row>
    <row r="842" spans="1:9">
      <c r="A842" s="1">
        <v>42794.225694444445</v>
      </c>
      <c r="B842" s="19">
        <v>42466</v>
      </c>
      <c r="C842" s="21">
        <v>0.37430555555555556</v>
      </c>
      <c r="D842" s="20" t="s">
        <v>3034</v>
      </c>
      <c r="E842" t="s">
        <v>6</v>
      </c>
      <c r="F842" t="s">
        <v>7</v>
      </c>
      <c r="G842" t="s">
        <v>2575</v>
      </c>
      <c r="H842">
        <v>19</v>
      </c>
      <c r="I842">
        <f t="shared" si="15"/>
        <v>24</v>
      </c>
    </row>
    <row r="843" spans="1:9">
      <c r="A843" s="1">
        <v>42794.963194444441</v>
      </c>
      <c r="B843" s="19">
        <v>42466</v>
      </c>
      <c r="C843" s="21">
        <v>0.34166666666666667</v>
      </c>
      <c r="D843" s="20" t="s">
        <v>3034</v>
      </c>
      <c r="E843" t="s">
        <v>6</v>
      </c>
      <c r="F843" t="s">
        <v>167</v>
      </c>
      <c r="G843" t="s">
        <v>2576</v>
      </c>
      <c r="H843">
        <v>7</v>
      </c>
      <c r="I843">
        <f t="shared" si="15"/>
        <v>9</v>
      </c>
    </row>
    <row r="844" spans="1:9">
      <c r="A844" s="1">
        <v>42794.936805555553</v>
      </c>
      <c r="B844" s="19">
        <v>42466</v>
      </c>
      <c r="C844" s="21">
        <v>0.30625000000000002</v>
      </c>
      <c r="D844" s="20" t="s">
        <v>3033</v>
      </c>
      <c r="E844" t="s">
        <v>6</v>
      </c>
      <c r="F844" t="s">
        <v>167</v>
      </c>
      <c r="G844" t="s">
        <v>2576</v>
      </c>
      <c r="H844">
        <v>8</v>
      </c>
      <c r="I844">
        <f t="shared" si="15"/>
        <v>10</v>
      </c>
    </row>
    <row r="845" spans="1:9">
      <c r="A845" s="1">
        <v>42794.918055555558</v>
      </c>
      <c r="B845" s="19">
        <v>42466</v>
      </c>
      <c r="C845" s="21">
        <v>0.10902777777777778</v>
      </c>
      <c r="D845" s="20" t="s">
        <v>3052</v>
      </c>
      <c r="E845" t="s">
        <v>6</v>
      </c>
      <c r="F845" t="s">
        <v>7</v>
      </c>
      <c r="G845" t="s">
        <v>2577</v>
      </c>
      <c r="H845">
        <v>38</v>
      </c>
      <c r="I845">
        <f t="shared" si="15"/>
        <v>48</v>
      </c>
    </row>
    <row r="846" spans="1:9">
      <c r="A846" s="1">
        <v>42794.90347222222</v>
      </c>
      <c r="B846" s="19">
        <v>42466</v>
      </c>
      <c r="C846" s="21">
        <v>0.10347222222222222</v>
      </c>
      <c r="D846" s="20" t="s">
        <v>3052</v>
      </c>
      <c r="E846" t="s">
        <v>6</v>
      </c>
      <c r="F846" t="s">
        <v>12</v>
      </c>
      <c r="G846" t="s">
        <v>1675</v>
      </c>
      <c r="H846">
        <v>4</v>
      </c>
      <c r="I846">
        <f t="shared" si="15"/>
        <v>5</v>
      </c>
    </row>
    <row r="847" spans="1:9">
      <c r="A847" s="1">
        <v>42794.584722222222</v>
      </c>
      <c r="B847" s="19">
        <v>42466</v>
      </c>
      <c r="C847" s="21">
        <v>5.9027777777777776E-2</v>
      </c>
      <c r="D847" s="20" t="s">
        <v>3051</v>
      </c>
      <c r="E847" t="s">
        <v>6</v>
      </c>
      <c r="F847" t="s">
        <v>12</v>
      </c>
      <c r="G847" t="s">
        <v>2578</v>
      </c>
      <c r="H847">
        <v>4</v>
      </c>
      <c r="I847">
        <f t="shared" si="15"/>
        <v>5</v>
      </c>
    </row>
    <row r="848" spans="1:9">
      <c r="A848" s="1">
        <v>42794.584027777775</v>
      </c>
      <c r="B848" s="19">
        <v>42467</v>
      </c>
      <c r="C848" s="21">
        <v>0.92708333333333337</v>
      </c>
      <c r="D848" s="20" t="s">
        <v>3049</v>
      </c>
      <c r="E848" t="s">
        <v>77</v>
      </c>
      <c r="F848" t="s">
        <v>78</v>
      </c>
      <c r="G848" t="s">
        <v>2549</v>
      </c>
      <c r="H848">
        <v>0</v>
      </c>
      <c r="I848">
        <f t="shared" si="15"/>
        <v>0</v>
      </c>
    </row>
    <row r="849" spans="1:9">
      <c r="A849" s="1">
        <v>42794.584027777775</v>
      </c>
      <c r="B849" s="19">
        <v>42467</v>
      </c>
      <c r="C849" s="21">
        <v>0.91666666666666663</v>
      </c>
      <c r="D849" s="20" t="s">
        <v>3049</v>
      </c>
      <c r="E849" t="s">
        <v>18</v>
      </c>
      <c r="F849" t="s">
        <v>71</v>
      </c>
      <c r="G849" t="s">
        <v>2550</v>
      </c>
      <c r="H849" t="e">
        <v>#VALUE!</v>
      </c>
      <c r="I849" t="e">
        <f t="shared" si="15"/>
        <v>#VALUE!</v>
      </c>
    </row>
    <row r="850" spans="1:9">
      <c r="A850" s="1">
        <v>42794.576388888891</v>
      </c>
      <c r="B850" s="19">
        <v>42467</v>
      </c>
      <c r="C850" s="21">
        <v>0.87083333333333335</v>
      </c>
      <c r="D850" s="20" t="s">
        <v>3047</v>
      </c>
      <c r="E850" t="s">
        <v>0</v>
      </c>
      <c r="G850" t="s">
        <v>2551</v>
      </c>
      <c r="H850">
        <v>19</v>
      </c>
      <c r="I850">
        <f t="shared" si="15"/>
        <v>24</v>
      </c>
    </row>
    <row r="851" spans="1:9">
      <c r="A851" s="1">
        <v>42794.013194444444</v>
      </c>
      <c r="B851" s="19">
        <v>42467</v>
      </c>
      <c r="C851" s="21">
        <v>0.72916666666666663</v>
      </c>
      <c r="D851" s="20" t="s">
        <v>3044</v>
      </c>
      <c r="E851" t="s">
        <v>33</v>
      </c>
      <c r="F851" t="s">
        <v>44</v>
      </c>
      <c r="G851" t="s">
        <v>2554</v>
      </c>
      <c r="H851">
        <v>50</v>
      </c>
      <c r="I851">
        <f t="shared" si="15"/>
        <v>62</v>
      </c>
    </row>
    <row r="852" spans="1:9">
      <c r="A852" s="1">
        <v>42794.009027777778</v>
      </c>
      <c r="B852" s="19">
        <v>42467</v>
      </c>
      <c r="C852" s="21">
        <v>0.70138888888888884</v>
      </c>
      <c r="D852" s="20" t="s">
        <v>3043</v>
      </c>
      <c r="E852" t="s">
        <v>33</v>
      </c>
      <c r="F852" t="s">
        <v>44</v>
      </c>
      <c r="G852" t="s">
        <v>2555</v>
      </c>
      <c r="H852">
        <v>25</v>
      </c>
      <c r="I852">
        <f t="shared" si="15"/>
        <v>31</v>
      </c>
    </row>
    <row r="853" spans="1:9">
      <c r="A853" s="1">
        <v>42793.324999999997</v>
      </c>
      <c r="B853" s="19">
        <v>42467</v>
      </c>
      <c r="C853" s="21">
        <v>0.67986111111111114</v>
      </c>
      <c r="D853" s="20" t="s">
        <v>3043</v>
      </c>
      <c r="E853" t="s">
        <v>33</v>
      </c>
      <c r="F853" t="s">
        <v>44</v>
      </c>
      <c r="G853" t="s">
        <v>2556</v>
      </c>
      <c r="H853">
        <v>25</v>
      </c>
      <c r="I853">
        <f t="shared" si="15"/>
        <v>31</v>
      </c>
    </row>
    <row r="854" spans="1:9">
      <c r="A854" s="1">
        <v>42793.318055555559</v>
      </c>
      <c r="B854" s="19">
        <v>42467</v>
      </c>
      <c r="C854" s="21">
        <v>0.63194444444444442</v>
      </c>
      <c r="D854" s="20" t="s">
        <v>3042</v>
      </c>
      <c r="E854" t="s">
        <v>33</v>
      </c>
      <c r="F854" t="s">
        <v>44</v>
      </c>
      <c r="G854" t="s">
        <v>2558</v>
      </c>
      <c r="H854">
        <v>15</v>
      </c>
      <c r="I854">
        <f t="shared" si="15"/>
        <v>19</v>
      </c>
    </row>
    <row r="855" spans="1:9">
      <c r="A855" s="1">
        <v>42793.286805555559</v>
      </c>
      <c r="B855" s="19">
        <v>42467</v>
      </c>
      <c r="C855" s="21">
        <v>0.61388888888888893</v>
      </c>
      <c r="D855" s="20" t="s">
        <v>3040</v>
      </c>
      <c r="E855" t="s">
        <v>0</v>
      </c>
      <c r="F855" t="s">
        <v>75</v>
      </c>
      <c r="G855" t="s">
        <v>2559</v>
      </c>
      <c r="H855">
        <v>13</v>
      </c>
      <c r="I855">
        <f t="shared" si="15"/>
        <v>17</v>
      </c>
    </row>
    <row r="856" spans="1:9">
      <c r="A856" s="1">
        <v>42793.92083333333</v>
      </c>
      <c r="B856" s="19">
        <v>42467</v>
      </c>
      <c r="C856" s="21">
        <v>0.61111111111111116</v>
      </c>
      <c r="D856" s="20" t="s">
        <v>3040</v>
      </c>
      <c r="E856" t="s">
        <v>33</v>
      </c>
      <c r="F856" t="s">
        <v>44</v>
      </c>
      <c r="G856" t="s">
        <v>2560</v>
      </c>
      <c r="H856">
        <v>31</v>
      </c>
      <c r="I856">
        <f t="shared" si="15"/>
        <v>39</v>
      </c>
    </row>
    <row r="857" spans="1:9">
      <c r="A857" s="1">
        <v>42793.911111111112</v>
      </c>
      <c r="B857" s="19">
        <v>42467</v>
      </c>
      <c r="C857" s="21">
        <v>0.55833333333333335</v>
      </c>
      <c r="D857" s="20" t="s">
        <v>3039</v>
      </c>
      <c r="E857" t="s">
        <v>0</v>
      </c>
      <c r="F857" t="s">
        <v>313</v>
      </c>
      <c r="G857" t="s">
        <v>2561</v>
      </c>
      <c r="H857">
        <v>10</v>
      </c>
      <c r="I857">
        <f t="shared" si="15"/>
        <v>13</v>
      </c>
    </row>
    <row r="858" spans="1:9">
      <c r="A858" s="1">
        <v>42793.586111111108</v>
      </c>
      <c r="B858" s="19">
        <v>42467</v>
      </c>
      <c r="C858" s="21">
        <v>0.51736111111111116</v>
      </c>
      <c r="D858" s="20" t="s">
        <v>3038</v>
      </c>
      <c r="E858" t="s">
        <v>0</v>
      </c>
      <c r="F858" t="s">
        <v>75</v>
      </c>
      <c r="G858" t="s">
        <v>2564</v>
      </c>
      <c r="H858">
        <v>18</v>
      </c>
      <c r="I858">
        <f t="shared" si="15"/>
        <v>23</v>
      </c>
    </row>
    <row r="859" spans="1:9">
      <c r="A859" s="1">
        <v>42793.585416666669</v>
      </c>
      <c r="B859" s="19">
        <v>42467</v>
      </c>
      <c r="C859" s="21">
        <v>0.50208333333333333</v>
      </c>
      <c r="D859" s="20" t="s">
        <v>3038</v>
      </c>
      <c r="E859" t="s">
        <v>33</v>
      </c>
      <c r="F859" t="s">
        <v>155</v>
      </c>
      <c r="G859" t="s">
        <v>2565</v>
      </c>
      <c r="H859">
        <v>23</v>
      </c>
      <c r="I859">
        <f t="shared" si="15"/>
        <v>29</v>
      </c>
    </row>
    <row r="860" spans="1:9">
      <c r="A860" s="1">
        <v>42793.585416666669</v>
      </c>
      <c r="B860" s="19">
        <v>42467</v>
      </c>
      <c r="C860" s="21">
        <v>0.15347222222222223</v>
      </c>
      <c r="D860" s="20" t="s">
        <v>3053</v>
      </c>
      <c r="E860" t="s">
        <v>0</v>
      </c>
      <c r="G860" t="s">
        <v>454</v>
      </c>
      <c r="H860">
        <v>4</v>
      </c>
      <c r="I860">
        <f t="shared" si="15"/>
        <v>5</v>
      </c>
    </row>
    <row r="861" spans="1:9">
      <c r="A861" s="1">
        <v>42793.576388888891</v>
      </c>
      <c r="B861" s="19">
        <v>42467</v>
      </c>
      <c r="C861" s="21">
        <v>0.15277777777777779</v>
      </c>
      <c r="D861" s="20" t="s">
        <v>3053</v>
      </c>
      <c r="E861" t="s">
        <v>33</v>
      </c>
      <c r="F861" t="s">
        <v>44</v>
      </c>
      <c r="G861" t="s">
        <v>2568</v>
      </c>
      <c r="H861">
        <v>75</v>
      </c>
      <c r="I861">
        <f t="shared" si="15"/>
        <v>93</v>
      </c>
    </row>
    <row r="862" spans="1:9">
      <c r="A862" s="1">
        <v>42793.481944444444</v>
      </c>
      <c r="B862" s="19">
        <v>42467</v>
      </c>
      <c r="C862" s="21">
        <v>0.93055555555555558</v>
      </c>
      <c r="D862" s="20" t="s">
        <v>3049</v>
      </c>
      <c r="E862" t="s">
        <v>6</v>
      </c>
      <c r="G862" t="s">
        <v>2548</v>
      </c>
      <c r="H862">
        <v>19</v>
      </c>
      <c r="I862">
        <f t="shared" si="15"/>
        <v>24</v>
      </c>
    </row>
    <row r="863" spans="1:9">
      <c r="A863" s="1">
        <v>42793.287499999999</v>
      </c>
      <c r="B863" s="19">
        <v>42467</v>
      </c>
      <c r="C863" s="21">
        <v>0.86250000000000004</v>
      </c>
      <c r="D863" s="20" t="s">
        <v>3047</v>
      </c>
      <c r="E863" t="s">
        <v>6</v>
      </c>
      <c r="F863" t="s">
        <v>26</v>
      </c>
      <c r="G863" t="s">
        <v>2552</v>
      </c>
      <c r="H863">
        <v>15</v>
      </c>
      <c r="I863">
        <f t="shared" si="15"/>
        <v>19</v>
      </c>
    </row>
    <row r="864" spans="1:9">
      <c r="A864" s="1">
        <v>42791.224999999999</v>
      </c>
      <c r="B864" s="19">
        <v>42467</v>
      </c>
      <c r="C864" s="21">
        <v>0.85</v>
      </c>
      <c r="D864" s="20" t="s">
        <v>3047</v>
      </c>
      <c r="E864" t="s">
        <v>6</v>
      </c>
      <c r="F864" t="s">
        <v>26</v>
      </c>
      <c r="G864" t="s">
        <v>2553</v>
      </c>
      <c r="H864">
        <v>10</v>
      </c>
      <c r="I864">
        <f t="shared" si="15"/>
        <v>13</v>
      </c>
    </row>
    <row r="865" spans="1:9">
      <c r="A865" s="1">
        <v>42791.113888888889</v>
      </c>
      <c r="B865" s="19">
        <v>42467</v>
      </c>
      <c r="C865" s="21">
        <v>0.67152777777777772</v>
      </c>
      <c r="D865" s="20" t="s">
        <v>3043</v>
      </c>
      <c r="E865" t="s">
        <v>2</v>
      </c>
      <c r="F865" t="s">
        <v>48</v>
      </c>
      <c r="G865" t="s">
        <v>2557</v>
      </c>
      <c r="H865">
        <v>25</v>
      </c>
      <c r="I865">
        <f t="shared" si="15"/>
        <v>31</v>
      </c>
    </row>
    <row r="866" spans="1:9">
      <c r="A866" s="1">
        <v>42790.980555555558</v>
      </c>
      <c r="B866" s="19">
        <v>42467</v>
      </c>
      <c r="C866" s="21">
        <v>0.63749999999999996</v>
      </c>
      <c r="D866" s="20" t="s">
        <v>3042</v>
      </c>
      <c r="E866" t="s">
        <v>2</v>
      </c>
      <c r="F866" t="s">
        <v>48</v>
      </c>
      <c r="G866" t="s">
        <v>2557</v>
      </c>
      <c r="H866">
        <v>50</v>
      </c>
      <c r="I866">
        <f t="shared" si="15"/>
        <v>62</v>
      </c>
    </row>
    <row r="867" spans="1:9">
      <c r="A867" s="1">
        <v>42790.679861111108</v>
      </c>
      <c r="B867" s="19">
        <v>42467</v>
      </c>
      <c r="C867" s="21">
        <v>0.61944444444444446</v>
      </c>
      <c r="D867" s="20" t="s">
        <v>3040</v>
      </c>
      <c r="E867" t="s">
        <v>6</v>
      </c>
      <c r="F867" t="s">
        <v>26</v>
      </c>
      <c r="G867" t="s">
        <v>2553</v>
      </c>
      <c r="H867">
        <v>13</v>
      </c>
      <c r="I867">
        <f t="shared" si="15"/>
        <v>17</v>
      </c>
    </row>
    <row r="868" spans="1:9">
      <c r="A868" s="1">
        <v>42790.637499999997</v>
      </c>
      <c r="B868" s="19">
        <v>42467</v>
      </c>
      <c r="C868" s="21">
        <v>0.54722222222222228</v>
      </c>
      <c r="D868" s="20" t="s">
        <v>3039</v>
      </c>
      <c r="E868" t="s">
        <v>6</v>
      </c>
      <c r="F868" t="s">
        <v>167</v>
      </c>
      <c r="G868" t="s">
        <v>2562</v>
      </c>
      <c r="H868">
        <v>7</v>
      </c>
      <c r="I868">
        <f t="shared" si="15"/>
        <v>9</v>
      </c>
    </row>
    <row r="869" spans="1:9">
      <c r="A869" s="1">
        <v>42790.620833333334</v>
      </c>
      <c r="B869" s="19">
        <v>42467</v>
      </c>
      <c r="C869" s="21">
        <v>0.52986111111111112</v>
      </c>
      <c r="D869" s="20" t="s">
        <v>3038</v>
      </c>
      <c r="E869" t="s">
        <v>6</v>
      </c>
      <c r="F869" t="s">
        <v>15</v>
      </c>
      <c r="G869" t="s">
        <v>2563</v>
      </c>
      <c r="H869">
        <v>7</v>
      </c>
      <c r="I869">
        <f t="shared" si="15"/>
        <v>9</v>
      </c>
    </row>
    <row r="870" spans="1:9">
      <c r="A870" s="1">
        <v>42790.603472222225</v>
      </c>
      <c r="B870" s="19">
        <v>42467</v>
      </c>
      <c r="C870" s="21">
        <v>0.43194444444444446</v>
      </c>
      <c r="D870" s="20" t="s">
        <v>3036</v>
      </c>
      <c r="E870" t="s">
        <v>2</v>
      </c>
      <c r="F870" t="s">
        <v>48</v>
      </c>
      <c r="G870" t="s">
        <v>2566</v>
      </c>
      <c r="H870">
        <v>50</v>
      </c>
      <c r="I870">
        <f t="shared" si="15"/>
        <v>62</v>
      </c>
    </row>
    <row r="871" spans="1:9">
      <c r="A871" s="1">
        <v>42790.56527777778</v>
      </c>
      <c r="B871" s="19">
        <v>42467</v>
      </c>
      <c r="C871" s="21">
        <v>0.27916666666666667</v>
      </c>
      <c r="D871" s="20" t="s">
        <v>3031</v>
      </c>
      <c r="E871" t="s">
        <v>2</v>
      </c>
      <c r="F871" t="s">
        <v>5</v>
      </c>
      <c r="H871">
        <v>7</v>
      </c>
      <c r="I871">
        <f t="shared" si="15"/>
        <v>9</v>
      </c>
    </row>
    <row r="872" spans="1:9">
      <c r="A872" s="1">
        <v>42790.550694444442</v>
      </c>
      <c r="B872" s="19">
        <v>42467</v>
      </c>
      <c r="C872" s="21">
        <v>0.27013888888888887</v>
      </c>
      <c r="D872" s="20" t="s">
        <v>3031</v>
      </c>
      <c r="E872" t="s">
        <v>6</v>
      </c>
      <c r="F872" t="s">
        <v>754</v>
      </c>
      <c r="G872" t="s">
        <v>2567</v>
      </c>
      <c r="H872">
        <v>10</v>
      </c>
      <c r="I872">
        <f t="shared" si="15"/>
        <v>13</v>
      </c>
    </row>
    <row r="873" spans="1:9">
      <c r="A873" s="1">
        <v>42790.538194444445</v>
      </c>
      <c r="B873" s="19">
        <v>42468</v>
      </c>
      <c r="C873" s="21">
        <v>0.92152777777777772</v>
      </c>
      <c r="D873" s="20" t="s">
        <v>3049</v>
      </c>
      <c r="E873" t="s">
        <v>0</v>
      </c>
      <c r="F873" t="s">
        <v>75</v>
      </c>
      <c r="G873" t="s">
        <v>2543</v>
      </c>
      <c r="H873">
        <v>13</v>
      </c>
      <c r="I873">
        <f t="shared" si="15"/>
        <v>17</v>
      </c>
    </row>
    <row r="874" spans="1:9">
      <c r="A874" s="1">
        <v>42790.362500000003</v>
      </c>
      <c r="B874" s="19">
        <v>42468</v>
      </c>
      <c r="C874" s="21">
        <v>0.90208333333333335</v>
      </c>
      <c r="D874" s="20" t="s">
        <v>3048</v>
      </c>
      <c r="E874" t="s">
        <v>0</v>
      </c>
      <c r="F874" t="s">
        <v>10</v>
      </c>
      <c r="G874" t="s">
        <v>2544</v>
      </c>
      <c r="H874">
        <v>13</v>
      </c>
      <c r="I874">
        <f t="shared" si="15"/>
        <v>17</v>
      </c>
    </row>
    <row r="875" spans="1:9">
      <c r="A875" s="1">
        <v>42790.304861111108</v>
      </c>
      <c r="B875" s="19">
        <v>42468</v>
      </c>
      <c r="C875" s="21">
        <v>0.83194444444444449</v>
      </c>
      <c r="D875" s="20" t="s">
        <v>3046</v>
      </c>
      <c r="E875" t="s">
        <v>0</v>
      </c>
      <c r="F875" t="s">
        <v>75</v>
      </c>
      <c r="G875" t="s">
        <v>2545</v>
      </c>
      <c r="H875">
        <v>3</v>
      </c>
      <c r="I875">
        <f t="shared" si="15"/>
        <v>4</v>
      </c>
    </row>
    <row r="876" spans="1:9">
      <c r="A876" s="1">
        <v>42790.29583333333</v>
      </c>
      <c r="B876" s="19">
        <v>42468</v>
      </c>
      <c r="C876" s="21">
        <v>0.79097222222222219</v>
      </c>
      <c r="D876" s="20" t="s">
        <v>3045</v>
      </c>
      <c r="E876" t="s">
        <v>2</v>
      </c>
      <c r="F876" t="s">
        <v>3</v>
      </c>
      <c r="G876" t="s">
        <v>2546</v>
      </c>
      <c r="H876">
        <v>15</v>
      </c>
      <c r="I876">
        <f t="shared" si="15"/>
        <v>19</v>
      </c>
    </row>
    <row r="877" spans="1:9">
      <c r="A877" s="1">
        <v>42790.255555555559</v>
      </c>
      <c r="B877" s="19">
        <v>42468</v>
      </c>
      <c r="C877" s="21">
        <v>0.72430555555555554</v>
      </c>
      <c r="D877" s="20" t="s">
        <v>3044</v>
      </c>
      <c r="E877" t="s">
        <v>2</v>
      </c>
      <c r="F877" t="s">
        <v>3</v>
      </c>
      <c r="G877" t="s">
        <v>2547</v>
      </c>
      <c r="H877">
        <v>22</v>
      </c>
      <c r="I877">
        <f t="shared" si="15"/>
        <v>28</v>
      </c>
    </row>
    <row r="878" spans="1:9">
      <c r="A878" s="1">
        <v>42790.230555555558</v>
      </c>
      <c r="B878" s="19">
        <v>42471</v>
      </c>
      <c r="C878" s="21">
        <v>0.85624999999999996</v>
      </c>
      <c r="D878" s="20" t="s">
        <v>3047</v>
      </c>
      <c r="E878" t="s">
        <v>0</v>
      </c>
      <c r="G878" t="s">
        <v>2535</v>
      </c>
      <c r="H878">
        <v>0</v>
      </c>
      <c r="I878">
        <f t="shared" si="15"/>
        <v>0</v>
      </c>
    </row>
    <row r="879" spans="1:9">
      <c r="A879" s="1">
        <v>42790.197222222225</v>
      </c>
      <c r="B879" s="19">
        <v>42471</v>
      </c>
      <c r="C879" s="21">
        <v>0.82847222222222228</v>
      </c>
      <c r="D879" s="20" t="s">
        <v>3046</v>
      </c>
      <c r="E879" t="s">
        <v>77</v>
      </c>
      <c r="F879" t="s">
        <v>78</v>
      </c>
      <c r="G879" t="s">
        <v>2536</v>
      </c>
      <c r="H879">
        <v>3</v>
      </c>
      <c r="I879">
        <f t="shared" si="15"/>
        <v>4</v>
      </c>
    </row>
    <row r="880" spans="1:9">
      <c r="A880" s="1">
        <v>42790.195138888892</v>
      </c>
      <c r="B880" s="19">
        <v>42471</v>
      </c>
      <c r="C880" s="21">
        <v>0.79097222222222219</v>
      </c>
      <c r="D880" s="20" t="s">
        <v>3045</v>
      </c>
      <c r="E880" t="s">
        <v>77</v>
      </c>
      <c r="F880" t="s">
        <v>78</v>
      </c>
      <c r="G880" t="s">
        <v>2537</v>
      </c>
      <c r="H880">
        <v>3</v>
      </c>
      <c r="I880">
        <f t="shared" si="15"/>
        <v>4</v>
      </c>
    </row>
    <row r="881" spans="1:9">
      <c r="A881" s="1">
        <v>42790.17291666667</v>
      </c>
      <c r="B881" s="19">
        <v>42471</v>
      </c>
      <c r="C881" s="21">
        <v>0.58472222222222225</v>
      </c>
      <c r="D881" s="20" t="s">
        <v>3040</v>
      </c>
      <c r="E881" t="s">
        <v>18</v>
      </c>
      <c r="F881" t="s">
        <v>71</v>
      </c>
      <c r="G881" t="s">
        <v>2539</v>
      </c>
      <c r="H881" t="e">
        <v>#VALUE!</v>
      </c>
      <c r="I881" t="e">
        <f t="shared" si="15"/>
        <v>#VALUE!</v>
      </c>
    </row>
    <row r="882" spans="1:9">
      <c r="A882" s="1">
        <v>42790.152777777781</v>
      </c>
      <c r="B882" s="19">
        <v>42471</v>
      </c>
      <c r="C882" s="21">
        <v>0.54097222222222219</v>
      </c>
      <c r="D882" s="20" t="s">
        <v>3038</v>
      </c>
      <c r="E882" t="s">
        <v>0</v>
      </c>
      <c r="H882">
        <v>0</v>
      </c>
      <c r="I882">
        <f t="shared" si="15"/>
        <v>0</v>
      </c>
    </row>
    <row r="883" spans="1:9">
      <c r="A883" s="1">
        <v>42790.09375</v>
      </c>
      <c r="B883" s="19">
        <v>42471</v>
      </c>
      <c r="C883" s="21">
        <v>0.38472222222222224</v>
      </c>
      <c r="D883" s="20" t="s">
        <v>3035</v>
      </c>
      <c r="E883" t="s">
        <v>0</v>
      </c>
      <c r="G883" t="s">
        <v>2540</v>
      </c>
      <c r="H883">
        <v>131</v>
      </c>
      <c r="I883">
        <f t="shared" si="15"/>
        <v>163</v>
      </c>
    </row>
    <row r="884" spans="1:9">
      <c r="A884" s="1">
        <v>42790.0625</v>
      </c>
      <c r="B884" s="19">
        <v>42471</v>
      </c>
      <c r="C884" s="21">
        <v>0.28680555555555554</v>
      </c>
      <c r="D884" s="20" t="s">
        <v>3031</v>
      </c>
      <c r="E884" t="s">
        <v>0</v>
      </c>
      <c r="G884" t="s">
        <v>2541</v>
      </c>
      <c r="H884">
        <v>9</v>
      </c>
      <c r="I884">
        <f t="shared" si="15"/>
        <v>12</v>
      </c>
    </row>
    <row r="885" spans="1:9">
      <c r="A885" s="1">
        <v>42790.057638888888</v>
      </c>
      <c r="B885" s="19">
        <v>42471</v>
      </c>
      <c r="C885" s="21">
        <v>0.28055555555555556</v>
      </c>
      <c r="D885" s="20" t="s">
        <v>3031</v>
      </c>
      <c r="E885" t="s">
        <v>0</v>
      </c>
      <c r="F885" t="s">
        <v>1</v>
      </c>
      <c r="G885" t="s">
        <v>2542</v>
      </c>
      <c r="H885">
        <v>7</v>
      </c>
      <c r="I885">
        <f t="shared" si="15"/>
        <v>9</v>
      </c>
    </row>
    <row r="886" spans="1:9">
      <c r="A886" s="1">
        <v>42790.944444444445</v>
      </c>
      <c r="B886" s="19">
        <v>42471</v>
      </c>
      <c r="C886" s="21">
        <v>0.79027777777777775</v>
      </c>
      <c r="D886" s="20" t="s">
        <v>3045</v>
      </c>
      <c r="E886" t="s">
        <v>6</v>
      </c>
      <c r="F886" t="s">
        <v>12</v>
      </c>
      <c r="G886" t="s">
        <v>1675</v>
      </c>
      <c r="H886">
        <v>5</v>
      </c>
      <c r="I886">
        <f t="shared" si="15"/>
        <v>7</v>
      </c>
    </row>
    <row r="887" spans="1:9">
      <c r="A887" s="1">
        <v>42790.921527777777</v>
      </c>
      <c r="B887" s="19">
        <v>42471</v>
      </c>
      <c r="C887" s="21">
        <v>0.65277777777777779</v>
      </c>
      <c r="D887" s="20" t="s">
        <v>3042</v>
      </c>
      <c r="E887" t="s">
        <v>2</v>
      </c>
      <c r="G887" t="s">
        <v>2538</v>
      </c>
      <c r="H887">
        <v>112</v>
      </c>
      <c r="I887">
        <f t="shared" si="15"/>
        <v>139</v>
      </c>
    </row>
    <row r="888" spans="1:9">
      <c r="A888" s="1">
        <v>42790.92083333333</v>
      </c>
      <c r="B888" s="19">
        <v>42472</v>
      </c>
      <c r="C888" s="21">
        <v>0.75208333333333333</v>
      </c>
      <c r="D888" s="20" t="s">
        <v>3045</v>
      </c>
      <c r="E888" t="s">
        <v>0</v>
      </c>
      <c r="G888" t="s">
        <v>2524</v>
      </c>
      <c r="H888">
        <v>38</v>
      </c>
      <c r="I888">
        <f t="shared" si="15"/>
        <v>48</v>
      </c>
    </row>
    <row r="889" spans="1:9">
      <c r="A889" s="1">
        <v>42790.909722222219</v>
      </c>
      <c r="B889" s="19">
        <v>42472</v>
      </c>
      <c r="C889" s="21">
        <v>0.66111111111111109</v>
      </c>
      <c r="D889" s="20" t="s">
        <v>3042</v>
      </c>
      <c r="E889" t="s">
        <v>33</v>
      </c>
      <c r="F889" t="s">
        <v>44</v>
      </c>
      <c r="G889" t="s">
        <v>2525</v>
      </c>
      <c r="H889">
        <v>75</v>
      </c>
      <c r="I889">
        <f t="shared" si="15"/>
        <v>93</v>
      </c>
    </row>
    <row r="890" spans="1:9">
      <c r="A890" s="1">
        <v>42790.465277777781</v>
      </c>
      <c r="B890" s="19">
        <v>42472</v>
      </c>
      <c r="C890" s="21">
        <v>0.58333333333333337</v>
      </c>
      <c r="D890" s="20" t="s">
        <v>3040</v>
      </c>
      <c r="E890" t="s">
        <v>18</v>
      </c>
      <c r="F890" t="s">
        <v>71</v>
      </c>
      <c r="G890" t="s">
        <v>1641</v>
      </c>
      <c r="H890" t="e">
        <v>#VALUE!</v>
      </c>
      <c r="I890" t="e">
        <f t="shared" si="15"/>
        <v>#VALUE!</v>
      </c>
    </row>
    <row r="891" spans="1:9">
      <c r="A891" s="1">
        <v>42790.429861111108</v>
      </c>
      <c r="B891" s="19">
        <v>42472</v>
      </c>
      <c r="C891" s="21">
        <v>0.48749999999999999</v>
      </c>
      <c r="D891" s="20" t="s">
        <v>3037</v>
      </c>
      <c r="E891" t="s">
        <v>0</v>
      </c>
      <c r="G891" t="s">
        <v>2528</v>
      </c>
      <c r="H891">
        <v>112</v>
      </c>
      <c r="I891">
        <f t="shared" si="15"/>
        <v>139</v>
      </c>
    </row>
    <row r="892" spans="1:9">
      <c r="A892" s="1">
        <v>42790.363194444442</v>
      </c>
      <c r="B892" s="19">
        <v>42472</v>
      </c>
      <c r="C892" s="21">
        <v>0.46180555555555558</v>
      </c>
      <c r="D892" s="20" t="s">
        <v>3037</v>
      </c>
      <c r="E892" t="s">
        <v>33</v>
      </c>
      <c r="F892" t="s">
        <v>44</v>
      </c>
      <c r="G892" t="s">
        <v>324</v>
      </c>
      <c r="H892">
        <v>0</v>
      </c>
      <c r="I892">
        <f t="shared" si="15"/>
        <v>0</v>
      </c>
    </row>
    <row r="893" spans="1:9">
      <c r="A893" s="1">
        <v>42790.25277777778</v>
      </c>
      <c r="B893" s="19">
        <v>42472</v>
      </c>
      <c r="C893" s="21">
        <v>0.38819444444444445</v>
      </c>
      <c r="D893" s="20" t="s">
        <v>3035</v>
      </c>
      <c r="E893" t="s">
        <v>77</v>
      </c>
      <c r="F893" t="s">
        <v>78</v>
      </c>
      <c r="G893" t="s">
        <v>2529</v>
      </c>
      <c r="H893">
        <v>3</v>
      </c>
      <c r="I893">
        <f t="shared" si="15"/>
        <v>4</v>
      </c>
    </row>
    <row r="894" spans="1:9">
      <c r="A894" s="1">
        <v>42790.162499999999</v>
      </c>
      <c r="B894" s="19">
        <v>42472</v>
      </c>
      <c r="C894" s="21">
        <v>0.93819444444444444</v>
      </c>
      <c r="D894" s="20" t="s">
        <v>3049</v>
      </c>
      <c r="E894" t="s">
        <v>2</v>
      </c>
      <c r="F894" t="s">
        <v>5</v>
      </c>
      <c r="G894" t="s">
        <v>2519</v>
      </c>
      <c r="H894">
        <v>13</v>
      </c>
      <c r="I894">
        <f t="shared" si="15"/>
        <v>17</v>
      </c>
    </row>
    <row r="895" spans="1:9">
      <c r="A895" s="1">
        <v>42790.113888888889</v>
      </c>
      <c r="B895" s="19">
        <v>42472</v>
      </c>
      <c r="C895" s="21">
        <v>0.92013888888888884</v>
      </c>
      <c r="D895" s="20" t="s">
        <v>3049</v>
      </c>
      <c r="E895" t="s">
        <v>6</v>
      </c>
      <c r="F895" t="s">
        <v>12</v>
      </c>
      <c r="G895" t="s">
        <v>2523</v>
      </c>
      <c r="H895">
        <v>2</v>
      </c>
      <c r="I895">
        <f t="shared" si="15"/>
        <v>3</v>
      </c>
    </row>
    <row r="896" spans="1:9">
      <c r="A896" s="1">
        <v>42789.841666666667</v>
      </c>
      <c r="B896" s="19">
        <v>42472</v>
      </c>
      <c r="C896" s="21">
        <v>0.8833333333333333</v>
      </c>
      <c r="D896" s="20" t="s">
        <v>3048</v>
      </c>
      <c r="E896" t="s">
        <v>6</v>
      </c>
      <c r="F896" t="s">
        <v>12</v>
      </c>
      <c r="G896" t="s">
        <v>1551</v>
      </c>
      <c r="H896">
        <v>7</v>
      </c>
      <c r="I896">
        <f t="shared" si="15"/>
        <v>9</v>
      </c>
    </row>
    <row r="897" spans="1:9">
      <c r="A897" s="1">
        <v>42789.21875</v>
      </c>
      <c r="B897" s="19">
        <v>42472</v>
      </c>
      <c r="C897" s="21">
        <v>0.82986111111111116</v>
      </c>
      <c r="D897" s="20" t="s">
        <v>3046</v>
      </c>
      <c r="E897" t="s">
        <v>6</v>
      </c>
      <c r="F897" t="s">
        <v>12</v>
      </c>
      <c r="G897" t="s">
        <v>1675</v>
      </c>
      <c r="H897">
        <v>3</v>
      </c>
      <c r="I897">
        <f t="shared" si="15"/>
        <v>4</v>
      </c>
    </row>
    <row r="898" spans="1:9">
      <c r="A898" s="1">
        <v>42789.92291666667</v>
      </c>
      <c r="B898" s="19">
        <v>42472</v>
      </c>
      <c r="C898" s="21">
        <v>0.60555555555555551</v>
      </c>
      <c r="D898" s="20" t="s">
        <v>3040</v>
      </c>
      <c r="E898" t="s">
        <v>6</v>
      </c>
      <c r="F898" t="s">
        <v>12</v>
      </c>
      <c r="G898" t="s">
        <v>1675</v>
      </c>
      <c r="H898">
        <v>3</v>
      </c>
      <c r="I898">
        <f t="shared" si="15"/>
        <v>4</v>
      </c>
    </row>
    <row r="899" spans="1:9">
      <c r="A899" s="1">
        <v>42789.922222222223</v>
      </c>
      <c r="B899" s="19">
        <v>42472</v>
      </c>
      <c r="C899" s="21">
        <v>0.49930555555555556</v>
      </c>
      <c r="D899" s="20" t="s">
        <v>3037</v>
      </c>
      <c r="E899" t="s">
        <v>6</v>
      </c>
      <c r="G899" t="s">
        <v>2526</v>
      </c>
      <c r="H899">
        <v>19</v>
      </c>
      <c r="I899">
        <f t="shared" ref="I899:I962" si="16">ROUNDUP((H899*1.24), 0)</f>
        <v>24</v>
      </c>
    </row>
    <row r="900" spans="1:9">
      <c r="A900" s="1">
        <v>42789.909722222219</v>
      </c>
      <c r="B900" s="19">
        <v>42472</v>
      </c>
      <c r="C900" s="21">
        <v>0.49791666666666667</v>
      </c>
      <c r="D900" s="20" t="s">
        <v>3037</v>
      </c>
      <c r="E900" t="s">
        <v>6</v>
      </c>
      <c r="F900" t="s">
        <v>21</v>
      </c>
      <c r="G900" t="s">
        <v>2527</v>
      </c>
      <c r="H900">
        <v>19</v>
      </c>
      <c r="I900">
        <f t="shared" si="16"/>
        <v>24</v>
      </c>
    </row>
    <row r="901" spans="1:9">
      <c r="A901" s="1">
        <v>42789.724305555559</v>
      </c>
      <c r="B901" s="19">
        <v>42472</v>
      </c>
      <c r="C901" s="21">
        <v>0.21111111111111111</v>
      </c>
      <c r="D901" s="20" t="s">
        <v>3055</v>
      </c>
      <c r="E901" t="s">
        <v>2</v>
      </c>
      <c r="F901" t="s">
        <v>5</v>
      </c>
      <c r="G901" t="s">
        <v>2530</v>
      </c>
      <c r="H901">
        <v>7</v>
      </c>
      <c r="I901">
        <f t="shared" si="16"/>
        <v>9</v>
      </c>
    </row>
    <row r="902" spans="1:9">
      <c r="A902" s="1">
        <v>42789.574305555558</v>
      </c>
      <c r="B902" s="19">
        <v>42472</v>
      </c>
      <c r="C902" s="21">
        <v>0.19791666666666666</v>
      </c>
      <c r="D902" s="20" t="s">
        <v>3054</v>
      </c>
      <c r="E902" t="s">
        <v>6</v>
      </c>
      <c r="F902" t="s">
        <v>12</v>
      </c>
      <c r="G902" t="s">
        <v>2531</v>
      </c>
      <c r="H902">
        <v>2</v>
      </c>
      <c r="I902">
        <f t="shared" si="16"/>
        <v>3</v>
      </c>
    </row>
    <row r="903" spans="1:9">
      <c r="A903" s="1">
        <v>42789.249305555553</v>
      </c>
      <c r="B903" s="19">
        <v>42472</v>
      </c>
      <c r="C903" s="21">
        <v>0.10416666666666667</v>
      </c>
      <c r="D903" s="20" t="s">
        <v>3052</v>
      </c>
      <c r="E903" t="s">
        <v>2</v>
      </c>
      <c r="F903" t="s">
        <v>5</v>
      </c>
      <c r="G903" t="s">
        <v>2532</v>
      </c>
      <c r="H903">
        <v>38</v>
      </c>
      <c r="I903">
        <f t="shared" si="16"/>
        <v>48</v>
      </c>
    </row>
    <row r="904" spans="1:9">
      <c r="A904" s="1">
        <v>42789.165277777778</v>
      </c>
      <c r="B904" s="19">
        <v>42472</v>
      </c>
      <c r="C904" s="21">
        <v>8.4027777777777785E-2</v>
      </c>
      <c r="D904" s="20" t="s">
        <v>3052</v>
      </c>
      <c r="E904" t="s">
        <v>6</v>
      </c>
      <c r="F904" t="s">
        <v>26</v>
      </c>
      <c r="G904" t="s">
        <v>82</v>
      </c>
      <c r="H904">
        <v>38</v>
      </c>
      <c r="I904">
        <f t="shared" si="16"/>
        <v>48</v>
      </c>
    </row>
    <row r="905" spans="1:9">
      <c r="A905" s="1">
        <v>42788.887499999997</v>
      </c>
      <c r="B905" s="19">
        <v>42472</v>
      </c>
      <c r="C905" s="21">
        <v>4.3055555555555555E-2</v>
      </c>
      <c r="D905" s="20" t="s">
        <v>3051</v>
      </c>
      <c r="E905" t="s">
        <v>6</v>
      </c>
      <c r="F905" t="s">
        <v>26</v>
      </c>
      <c r="G905" t="s">
        <v>82</v>
      </c>
      <c r="H905">
        <v>50</v>
      </c>
      <c r="I905">
        <f t="shared" si="16"/>
        <v>62</v>
      </c>
    </row>
    <row r="906" spans="1:9">
      <c r="A906" s="1">
        <v>42788.465277777781</v>
      </c>
      <c r="B906" s="19">
        <v>42472</v>
      </c>
      <c r="C906" s="21">
        <v>2.0833333333333332E-2</v>
      </c>
      <c r="D906" s="20" t="s">
        <v>3050</v>
      </c>
      <c r="E906" t="s">
        <v>6</v>
      </c>
      <c r="F906" t="s">
        <v>26</v>
      </c>
      <c r="G906" t="s">
        <v>2533</v>
      </c>
      <c r="H906">
        <v>38</v>
      </c>
      <c r="I906">
        <f t="shared" si="16"/>
        <v>48</v>
      </c>
    </row>
    <row r="907" spans="1:9">
      <c r="A907" s="1">
        <v>42788.223611111112</v>
      </c>
      <c r="B907" s="19">
        <v>42472</v>
      </c>
      <c r="C907" s="21">
        <v>4.8611111111111112E-3</v>
      </c>
      <c r="D907" s="20" t="s">
        <v>3050</v>
      </c>
      <c r="E907" t="s">
        <v>6</v>
      </c>
      <c r="F907" t="s">
        <v>15</v>
      </c>
      <c r="G907" t="s">
        <v>2534</v>
      </c>
      <c r="H907">
        <v>8</v>
      </c>
      <c r="I907">
        <f t="shared" si="16"/>
        <v>10</v>
      </c>
    </row>
    <row r="908" spans="1:9">
      <c r="A908" s="1">
        <v>42788.174305555556</v>
      </c>
      <c r="B908" s="19">
        <v>42473</v>
      </c>
      <c r="C908" s="21">
        <v>0.97152777777777777</v>
      </c>
      <c r="D908" s="20" t="s">
        <v>3063</v>
      </c>
      <c r="E908" t="s">
        <v>0</v>
      </c>
      <c r="G908" t="s">
        <v>2501</v>
      </c>
      <c r="H908">
        <v>2</v>
      </c>
      <c r="I908">
        <f t="shared" si="16"/>
        <v>3</v>
      </c>
    </row>
    <row r="909" spans="1:9">
      <c r="A909" s="1">
        <v>42788.920138888891</v>
      </c>
      <c r="B909" s="19">
        <v>42473</v>
      </c>
      <c r="C909" s="21">
        <v>0.80625000000000002</v>
      </c>
      <c r="D909" s="20" t="s">
        <v>3046</v>
      </c>
      <c r="E909" t="s">
        <v>149</v>
      </c>
      <c r="F909" t="s">
        <v>150</v>
      </c>
      <c r="G909" t="s">
        <v>2504</v>
      </c>
      <c r="H909">
        <v>7</v>
      </c>
      <c r="I909">
        <f t="shared" si="16"/>
        <v>9</v>
      </c>
    </row>
    <row r="910" spans="1:9">
      <c r="A910" s="1">
        <v>42788.918055555558</v>
      </c>
      <c r="B910" s="19">
        <v>42473</v>
      </c>
      <c r="C910" s="21">
        <v>0.72083333333333333</v>
      </c>
      <c r="D910" s="20" t="s">
        <v>3044</v>
      </c>
      <c r="E910" t="s">
        <v>33</v>
      </c>
      <c r="F910" t="s">
        <v>44</v>
      </c>
      <c r="G910" t="s">
        <v>2506</v>
      </c>
      <c r="H910">
        <v>50</v>
      </c>
      <c r="I910">
        <f t="shared" si="16"/>
        <v>62</v>
      </c>
    </row>
    <row r="911" spans="1:9">
      <c r="A911" s="1">
        <v>42788.918055555558</v>
      </c>
      <c r="B911" s="19">
        <v>42473</v>
      </c>
      <c r="C911" s="21">
        <v>0.68333333333333335</v>
      </c>
      <c r="D911" s="20" t="s">
        <v>3043</v>
      </c>
      <c r="E911" t="s">
        <v>149</v>
      </c>
      <c r="F911" t="s">
        <v>150</v>
      </c>
      <c r="G911" t="s">
        <v>2507</v>
      </c>
      <c r="H911">
        <v>4</v>
      </c>
      <c r="I911">
        <f t="shared" si="16"/>
        <v>5</v>
      </c>
    </row>
    <row r="912" spans="1:9">
      <c r="A912" s="1">
        <v>42788.909722222219</v>
      </c>
      <c r="B912" s="19">
        <v>42473</v>
      </c>
      <c r="C912" s="21">
        <v>0.62361111111111112</v>
      </c>
      <c r="D912" s="20" t="s">
        <v>3040</v>
      </c>
      <c r="E912" t="s">
        <v>0</v>
      </c>
      <c r="G912" t="s">
        <v>2508</v>
      </c>
      <c r="H912">
        <v>7</v>
      </c>
      <c r="I912">
        <f t="shared" si="16"/>
        <v>9</v>
      </c>
    </row>
    <row r="913" spans="1:9">
      <c r="A913" s="1">
        <v>42788.381944444445</v>
      </c>
      <c r="B913" s="19">
        <v>42473</v>
      </c>
      <c r="C913" s="21">
        <v>0.62361111111111112</v>
      </c>
      <c r="D913" s="20" t="s">
        <v>3040</v>
      </c>
      <c r="H913">
        <v>0</v>
      </c>
      <c r="I913">
        <f t="shared" si="16"/>
        <v>0</v>
      </c>
    </row>
    <row r="914" spans="1:9">
      <c r="A914" s="1">
        <v>42788.252083333333</v>
      </c>
      <c r="B914" s="19">
        <v>42473</v>
      </c>
      <c r="C914" s="21">
        <v>0.58472222222222225</v>
      </c>
      <c r="D914" s="20" t="s">
        <v>3040</v>
      </c>
      <c r="E914" t="s">
        <v>18</v>
      </c>
      <c r="F914" t="s">
        <v>71</v>
      </c>
      <c r="G914" t="s">
        <v>1614</v>
      </c>
      <c r="H914" t="e">
        <v>#VALUE!</v>
      </c>
      <c r="I914" t="e">
        <f t="shared" si="16"/>
        <v>#VALUE!</v>
      </c>
    </row>
    <row r="915" spans="1:9">
      <c r="A915" s="1">
        <v>42787.80972222222</v>
      </c>
      <c r="B915" s="19">
        <v>42473</v>
      </c>
      <c r="C915" s="21">
        <v>0.56874999999999998</v>
      </c>
      <c r="D915" s="20" t="s">
        <v>3039</v>
      </c>
      <c r="E915" t="s">
        <v>77</v>
      </c>
      <c r="F915" t="s">
        <v>78</v>
      </c>
      <c r="G915" t="s">
        <v>1583</v>
      </c>
      <c r="H915">
        <v>13</v>
      </c>
      <c r="I915">
        <f t="shared" si="16"/>
        <v>17</v>
      </c>
    </row>
    <row r="916" spans="1:9">
      <c r="A916" s="1">
        <v>42787.637499999997</v>
      </c>
      <c r="B916" s="19">
        <v>42473</v>
      </c>
      <c r="C916" s="21">
        <v>0.45694444444444443</v>
      </c>
      <c r="D916" s="20" t="s">
        <v>3036</v>
      </c>
      <c r="E916" t="s">
        <v>0</v>
      </c>
      <c r="F916" t="s">
        <v>75</v>
      </c>
      <c r="G916" t="s">
        <v>2510</v>
      </c>
      <c r="H916">
        <v>10</v>
      </c>
      <c r="I916">
        <f t="shared" si="16"/>
        <v>13</v>
      </c>
    </row>
    <row r="917" spans="1:9">
      <c r="A917" s="1">
        <v>42787.584722222222</v>
      </c>
      <c r="B917" s="19">
        <v>42473</v>
      </c>
      <c r="C917" s="21">
        <v>0.33333333333333331</v>
      </c>
      <c r="D917" s="20" t="s">
        <v>3034</v>
      </c>
      <c r="E917" t="s">
        <v>77</v>
      </c>
      <c r="G917" t="s">
        <v>2511</v>
      </c>
      <c r="H917">
        <v>25</v>
      </c>
      <c r="I917">
        <f t="shared" si="16"/>
        <v>31</v>
      </c>
    </row>
    <row r="918" spans="1:9">
      <c r="A918" s="1">
        <v>42787.476388888892</v>
      </c>
      <c r="B918" s="19">
        <v>42473</v>
      </c>
      <c r="C918" s="21">
        <v>0.27083333333333331</v>
      </c>
      <c r="D918" s="20" t="s">
        <v>3031</v>
      </c>
      <c r="E918" t="s">
        <v>77</v>
      </c>
      <c r="G918" t="s">
        <v>2512</v>
      </c>
      <c r="H918">
        <v>137</v>
      </c>
      <c r="I918">
        <f t="shared" si="16"/>
        <v>170</v>
      </c>
    </row>
    <row r="919" spans="1:9">
      <c r="A919" s="1">
        <v>42787.361805555556</v>
      </c>
      <c r="B919" s="19">
        <v>42473</v>
      </c>
      <c r="C919" s="21">
        <v>0.24861111111111112</v>
      </c>
      <c r="D919" s="20" t="s">
        <v>3055</v>
      </c>
      <c r="E919" t="s">
        <v>0</v>
      </c>
      <c r="G919" t="s">
        <v>2514</v>
      </c>
      <c r="H919">
        <v>2</v>
      </c>
      <c r="I919">
        <f t="shared" si="16"/>
        <v>3</v>
      </c>
    </row>
    <row r="920" spans="1:9">
      <c r="A920" s="1">
        <v>42787.347222222219</v>
      </c>
      <c r="B920" s="19">
        <v>42473</v>
      </c>
      <c r="C920" s="21">
        <v>0.24722222222222223</v>
      </c>
      <c r="D920" s="20" t="s">
        <v>3055</v>
      </c>
      <c r="E920" t="s">
        <v>18</v>
      </c>
      <c r="F920" t="s">
        <v>19</v>
      </c>
      <c r="G920" t="s">
        <v>2517</v>
      </c>
      <c r="H920">
        <v>4</v>
      </c>
      <c r="I920">
        <f t="shared" si="16"/>
        <v>5</v>
      </c>
    </row>
    <row r="921" spans="1:9">
      <c r="A921" s="1">
        <v>42787.31527777778</v>
      </c>
      <c r="B921" s="19">
        <v>42473</v>
      </c>
      <c r="C921" s="21">
        <v>1.4583333333333334E-2</v>
      </c>
      <c r="D921" s="20" t="s">
        <v>3050</v>
      </c>
      <c r="E921" t="s">
        <v>18</v>
      </c>
      <c r="F921" t="s">
        <v>19</v>
      </c>
      <c r="G921" t="s">
        <v>2522</v>
      </c>
      <c r="H921">
        <v>7</v>
      </c>
      <c r="I921">
        <f t="shared" si="16"/>
        <v>9</v>
      </c>
    </row>
    <row r="922" spans="1:9">
      <c r="A922" s="1">
        <v>42787.274305555555</v>
      </c>
      <c r="B922" s="19">
        <v>42473</v>
      </c>
      <c r="C922" s="21">
        <v>0.98541666666666672</v>
      </c>
      <c r="D922" s="20" t="s">
        <v>3063</v>
      </c>
      <c r="E922" t="s">
        <v>6</v>
      </c>
      <c r="F922" t="s">
        <v>12</v>
      </c>
      <c r="G922" t="s">
        <v>2500</v>
      </c>
      <c r="H922">
        <v>7</v>
      </c>
      <c r="I922">
        <f t="shared" si="16"/>
        <v>9</v>
      </c>
    </row>
    <row r="923" spans="1:9">
      <c r="A923" s="1">
        <v>42787.252083333333</v>
      </c>
      <c r="B923" s="19">
        <v>42473</v>
      </c>
      <c r="C923" s="21">
        <v>0.93611111111111112</v>
      </c>
      <c r="D923" s="20" t="s">
        <v>3049</v>
      </c>
      <c r="E923" t="s">
        <v>2</v>
      </c>
      <c r="F923" t="s">
        <v>5</v>
      </c>
      <c r="G923" t="s">
        <v>2502</v>
      </c>
      <c r="H923">
        <v>19</v>
      </c>
      <c r="I923">
        <f t="shared" si="16"/>
        <v>24</v>
      </c>
    </row>
    <row r="924" spans="1:9">
      <c r="A924" s="1">
        <v>42787.21875</v>
      </c>
      <c r="B924" s="19">
        <v>42473</v>
      </c>
      <c r="C924" s="21">
        <v>0.9145833333333333</v>
      </c>
      <c r="D924" s="20" t="s">
        <v>3048</v>
      </c>
      <c r="E924" t="s">
        <v>6</v>
      </c>
      <c r="F924" t="s">
        <v>12</v>
      </c>
      <c r="G924" t="s">
        <v>2503</v>
      </c>
      <c r="H924">
        <v>2</v>
      </c>
      <c r="I924">
        <f t="shared" si="16"/>
        <v>3</v>
      </c>
    </row>
    <row r="925" spans="1:9">
      <c r="A925" s="1">
        <v>42787.213888888888</v>
      </c>
      <c r="B925" s="19">
        <v>42473</v>
      </c>
      <c r="C925" s="21">
        <v>0.8354166666666667</v>
      </c>
      <c r="D925" s="20" t="s">
        <v>3047</v>
      </c>
      <c r="E925" t="s">
        <v>6</v>
      </c>
      <c r="F925" t="s">
        <v>12</v>
      </c>
      <c r="G925" t="s">
        <v>1382</v>
      </c>
      <c r="H925">
        <v>7</v>
      </c>
      <c r="I925">
        <f t="shared" si="16"/>
        <v>9</v>
      </c>
    </row>
    <row r="926" spans="1:9">
      <c r="A926" s="1">
        <v>42787.205555555556</v>
      </c>
      <c r="B926" s="19">
        <v>42473</v>
      </c>
      <c r="C926" s="21">
        <v>0.80138888888888893</v>
      </c>
      <c r="D926" s="20" t="s">
        <v>3046</v>
      </c>
      <c r="E926" t="s">
        <v>2</v>
      </c>
      <c r="F926" t="s">
        <v>3</v>
      </c>
      <c r="G926" t="s">
        <v>2505</v>
      </c>
      <c r="H926">
        <v>5</v>
      </c>
      <c r="I926">
        <f t="shared" si="16"/>
        <v>7</v>
      </c>
    </row>
    <row r="927" spans="1:9">
      <c r="A927" s="1">
        <v>42787.193055555559</v>
      </c>
      <c r="B927" s="19">
        <v>42473</v>
      </c>
      <c r="C927" s="21">
        <v>0.70416666666666672</v>
      </c>
      <c r="D927" s="20" t="s">
        <v>3043</v>
      </c>
      <c r="E927" t="s">
        <v>6</v>
      </c>
      <c r="F927" t="s">
        <v>61</v>
      </c>
      <c r="G927" t="s">
        <v>1551</v>
      </c>
      <c r="H927">
        <v>3</v>
      </c>
      <c r="I927">
        <f t="shared" si="16"/>
        <v>4</v>
      </c>
    </row>
    <row r="928" spans="1:9">
      <c r="A928" s="1">
        <v>42787.923611111109</v>
      </c>
      <c r="B928" s="19">
        <v>42473</v>
      </c>
      <c r="C928" s="21">
        <v>0.62083333333333335</v>
      </c>
      <c r="D928" s="20" t="s">
        <v>3040</v>
      </c>
      <c r="E928" t="s">
        <v>2</v>
      </c>
      <c r="F928" t="s">
        <v>56</v>
      </c>
      <c r="G928" t="s">
        <v>2509</v>
      </c>
      <c r="H928">
        <v>31</v>
      </c>
      <c r="I928">
        <f t="shared" si="16"/>
        <v>39</v>
      </c>
    </row>
    <row r="929" spans="1:9">
      <c r="A929" s="1">
        <v>42787.917361111111</v>
      </c>
      <c r="B929" s="19">
        <v>42473</v>
      </c>
      <c r="C929" s="21">
        <v>0.25833333333333336</v>
      </c>
      <c r="D929" s="20" t="s">
        <v>3031</v>
      </c>
      <c r="E929" t="s">
        <v>6</v>
      </c>
      <c r="G929" t="s">
        <v>2513</v>
      </c>
      <c r="H929">
        <v>13</v>
      </c>
      <c r="I929">
        <f t="shared" si="16"/>
        <v>17</v>
      </c>
    </row>
    <row r="930" spans="1:9">
      <c r="A930" s="1">
        <v>42787.909722222219</v>
      </c>
      <c r="B930" s="19">
        <v>42473</v>
      </c>
      <c r="C930" s="21">
        <v>0.24791666666666667</v>
      </c>
      <c r="D930" s="20" t="s">
        <v>3055</v>
      </c>
      <c r="E930" t="s">
        <v>2</v>
      </c>
      <c r="F930" t="s">
        <v>5</v>
      </c>
      <c r="G930" t="s">
        <v>2515</v>
      </c>
      <c r="H930">
        <v>8</v>
      </c>
      <c r="I930">
        <f t="shared" si="16"/>
        <v>10</v>
      </c>
    </row>
    <row r="931" spans="1:9">
      <c r="A931" s="1">
        <v>42787.42291666667</v>
      </c>
      <c r="B931" s="19">
        <v>42473</v>
      </c>
      <c r="C931" s="21">
        <v>0.24722222222222223</v>
      </c>
      <c r="D931" s="20" t="s">
        <v>3055</v>
      </c>
      <c r="E931" t="s">
        <v>6</v>
      </c>
      <c r="F931" t="s">
        <v>12</v>
      </c>
      <c r="G931" t="s">
        <v>2516</v>
      </c>
      <c r="H931">
        <v>2</v>
      </c>
      <c r="I931">
        <f t="shared" si="16"/>
        <v>3</v>
      </c>
    </row>
    <row r="932" spans="1:9">
      <c r="A932" s="1">
        <v>42786.916666666664</v>
      </c>
      <c r="B932" s="19">
        <v>42473</v>
      </c>
      <c r="C932" s="21">
        <v>0.24652777777777779</v>
      </c>
      <c r="D932" s="20" t="s">
        <v>3055</v>
      </c>
      <c r="E932" t="s">
        <v>6</v>
      </c>
      <c r="F932" t="s">
        <v>12</v>
      </c>
      <c r="G932" t="s">
        <v>2518</v>
      </c>
      <c r="H932">
        <v>2</v>
      </c>
      <c r="I932">
        <f t="shared" si="16"/>
        <v>3</v>
      </c>
    </row>
    <row r="933" spans="1:9">
      <c r="A933" s="1">
        <v>42786.800694444442</v>
      </c>
      <c r="B933" s="19">
        <v>42473</v>
      </c>
      <c r="C933" s="21">
        <v>0.21388888888888888</v>
      </c>
      <c r="D933" s="20" t="s">
        <v>3055</v>
      </c>
      <c r="E933" t="s">
        <v>2</v>
      </c>
      <c r="F933" t="s">
        <v>5</v>
      </c>
      <c r="G933" t="s">
        <v>2519</v>
      </c>
      <c r="H933">
        <v>8</v>
      </c>
      <c r="I933">
        <f t="shared" si="16"/>
        <v>10</v>
      </c>
    </row>
    <row r="934" spans="1:9">
      <c r="A934" s="1">
        <v>42786.479166666664</v>
      </c>
      <c r="B934" s="19">
        <v>42473</v>
      </c>
      <c r="C934" s="21">
        <v>0.20624999999999999</v>
      </c>
      <c r="D934" s="20" t="s">
        <v>3054</v>
      </c>
      <c r="E934" t="s">
        <v>6</v>
      </c>
      <c r="F934" t="s">
        <v>12</v>
      </c>
      <c r="G934" t="s">
        <v>2520</v>
      </c>
      <c r="H934">
        <v>2</v>
      </c>
      <c r="I934">
        <f t="shared" si="16"/>
        <v>3</v>
      </c>
    </row>
    <row r="935" spans="1:9">
      <c r="A935" s="1">
        <v>42786.917361111111</v>
      </c>
      <c r="B935" s="19">
        <v>42473</v>
      </c>
      <c r="C935" s="21">
        <v>0.16458333333333333</v>
      </c>
      <c r="D935" s="20" t="s">
        <v>3053</v>
      </c>
      <c r="E935" t="s">
        <v>6</v>
      </c>
      <c r="F935" t="s">
        <v>12</v>
      </c>
      <c r="G935" t="s">
        <v>2521</v>
      </c>
      <c r="H935">
        <v>3</v>
      </c>
      <c r="I935">
        <f t="shared" si="16"/>
        <v>4</v>
      </c>
    </row>
    <row r="936" spans="1:9">
      <c r="A936" s="1">
        <v>42786.916666666664</v>
      </c>
      <c r="B936" s="19">
        <v>42474</v>
      </c>
      <c r="C936" s="21">
        <v>0.66111111111111109</v>
      </c>
      <c r="D936" s="20" t="s">
        <v>3042</v>
      </c>
      <c r="E936" t="s">
        <v>18</v>
      </c>
      <c r="F936" t="s">
        <v>100</v>
      </c>
      <c r="H936" t="e">
        <v>#VALUE!</v>
      </c>
      <c r="I936" t="e">
        <f t="shared" si="16"/>
        <v>#VALUE!</v>
      </c>
    </row>
    <row r="937" spans="1:9">
      <c r="A937" s="1">
        <v>42786.916666666664</v>
      </c>
      <c r="B937" s="19">
        <v>42474</v>
      </c>
      <c r="C937" s="21">
        <v>0.59930555555555554</v>
      </c>
      <c r="D937" s="20" t="s">
        <v>3040</v>
      </c>
      <c r="E937" t="s">
        <v>77</v>
      </c>
      <c r="F937" t="s">
        <v>78</v>
      </c>
      <c r="G937" t="s">
        <v>1674</v>
      </c>
      <c r="H937">
        <v>4</v>
      </c>
      <c r="I937">
        <f t="shared" si="16"/>
        <v>5</v>
      </c>
    </row>
    <row r="938" spans="1:9">
      <c r="A938" s="1">
        <v>42786.909722222219</v>
      </c>
      <c r="B938" s="19">
        <v>42474</v>
      </c>
      <c r="C938" s="21">
        <v>0.59791666666666665</v>
      </c>
      <c r="D938" s="20" t="s">
        <v>3040</v>
      </c>
      <c r="E938" t="s">
        <v>18</v>
      </c>
      <c r="G938" t="s">
        <v>2493</v>
      </c>
      <c r="H938">
        <v>7</v>
      </c>
      <c r="I938">
        <f t="shared" si="16"/>
        <v>9</v>
      </c>
    </row>
    <row r="939" spans="1:9">
      <c r="A939" s="1">
        <v>42786.53402777778</v>
      </c>
      <c r="B939" s="19">
        <v>42474</v>
      </c>
      <c r="C939" s="21">
        <v>2.0833333333333332E-2</v>
      </c>
      <c r="D939" s="20" t="s">
        <v>3050</v>
      </c>
      <c r="E939" t="s">
        <v>18</v>
      </c>
      <c r="F939" t="s">
        <v>19</v>
      </c>
      <c r="G939" t="s">
        <v>2499</v>
      </c>
      <c r="H939">
        <v>7</v>
      </c>
      <c r="I939">
        <f t="shared" si="16"/>
        <v>9</v>
      </c>
    </row>
    <row r="940" spans="1:9">
      <c r="A940" s="1">
        <v>42786.249305555553</v>
      </c>
      <c r="B940" s="19">
        <v>42474</v>
      </c>
      <c r="C940" s="21">
        <v>0.93263888888888891</v>
      </c>
      <c r="D940" s="20" t="s">
        <v>3049</v>
      </c>
      <c r="E940" t="s">
        <v>2</v>
      </c>
      <c r="F940" t="s">
        <v>3</v>
      </c>
      <c r="G940" t="s">
        <v>365</v>
      </c>
      <c r="H940">
        <v>13</v>
      </c>
      <c r="I940">
        <f t="shared" si="16"/>
        <v>17</v>
      </c>
    </row>
    <row r="941" spans="1:9">
      <c r="A941" s="1">
        <v>42783.96597222222</v>
      </c>
      <c r="B941" s="19">
        <v>42474</v>
      </c>
      <c r="C941" s="21">
        <v>0.59791666666666665</v>
      </c>
      <c r="D941" s="20" t="s">
        <v>3040</v>
      </c>
      <c r="E941" t="s">
        <v>6</v>
      </c>
      <c r="G941" t="s">
        <v>2494</v>
      </c>
      <c r="H941">
        <v>22</v>
      </c>
      <c r="I941">
        <f t="shared" si="16"/>
        <v>28</v>
      </c>
    </row>
    <row r="942" spans="1:9">
      <c r="A942" s="1">
        <v>42783.89166666667</v>
      </c>
      <c r="B942" s="19">
        <v>42474</v>
      </c>
      <c r="C942" s="21">
        <v>0.29583333333333334</v>
      </c>
      <c r="D942" s="20" t="s">
        <v>3033</v>
      </c>
      <c r="E942" t="s">
        <v>6</v>
      </c>
      <c r="F942" t="s">
        <v>12</v>
      </c>
      <c r="G942" t="s">
        <v>2495</v>
      </c>
      <c r="H942">
        <v>2</v>
      </c>
      <c r="I942">
        <f t="shared" si="16"/>
        <v>3</v>
      </c>
    </row>
    <row r="943" spans="1:9">
      <c r="A943" s="1">
        <v>42783.89166666667</v>
      </c>
      <c r="B943" s="19">
        <v>42474</v>
      </c>
      <c r="C943" s="21">
        <v>0.1701388888888889</v>
      </c>
      <c r="D943" s="20" t="s">
        <v>3054</v>
      </c>
      <c r="E943" t="s">
        <v>6</v>
      </c>
      <c r="F943" t="s">
        <v>12</v>
      </c>
      <c r="G943" t="s">
        <v>2496</v>
      </c>
      <c r="H943">
        <v>7</v>
      </c>
      <c r="I943">
        <f t="shared" si="16"/>
        <v>9</v>
      </c>
    </row>
    <row r="944" spans="1:9">
      <c r="A944" s="1">
        <v>42783.89166666667</v>
      </c>
      <c r="B944" s="19">
        <v>42474</v>
      </c>
      <c r="C944" s="21">
        <v>0.13541666666666666</v>
      </c>
      <c r="D944" s="20" t="s">
        <v>3053</v>
      </c>
      <c r="E944" t="s">
        <v>2</v>
      </c>
      <c r="F944" t="s">
        <v>5</v>
      </c>
      <c r="G944" t="s">
        <v>2497</v>
      </c>
      <c r="H944">
        <v>15</v>
      </c>
      <c r="I944">
        <f t="shared" si="16"/>
        <v>19</v>
      </c>
    </row>
    <row r="945" spans="1:9">
      <c r="A945" s="1">
        <v>42783.89166666667</v>
      </c>
      <c r="B945" s="19">
        <v>42474</v>
      </c>
      <c r="C945" s="21">
        <v>0.12291666666666666</v>
      </c>
      <c r="D945" s="20" t="s">
        <v>3052</v>
      </c>
      <c r="E945" t="s">
        <v>6</v>
      </c>
      <c r="F945" t="s">
        <v>12</v>
      </c>
      <c r="G945" t="s">
        <v>2498</v>
      </c>
      <c r="H945">
        <v>2</v>
      </c>
      <c r="I945">
        <f t="shared" si="16"/>
        <v>3</v>
      </c>
    </row>
    <row r="946" spans="1:9" ht="43.2">
      <c r="A946" s="1">
        <v>42783.89166666667</v>
      </c>
      <c r="B946" s="19">
        <v>42475</v>
      </c>
      <c r="C946" s="21">
        <v>8.8888888888888892E-2</v>
      </c>
      <c r="D946" s="20" t="s">
        <v>3052</v>
      </c>
      <c r="E946" t="s">
        <v>6</v>
      </c>
      <c r="F946" t="s">
        <v>12</v>
      </c>
      <c r="G946" s="2" t="s">
        <v>2492</v>
      </c>
      <c r="H946">
        <v>2</v>
      </c>
      <c r="I946">
        <f t="shared" si="16"/>
        <v>3</v>
      </c>
    </row>
    <row r="947" spans="1:9">
      <c r="A947" s="1">
        <v>42783.89166666667</v>
      </c>
      <c r="B947" s="19">
        <v>42479</v>
      </c>
      <c r="C947" s="21">
        <v>0.91041666666666665</v>
      </c>
      <c r="D947" s="20" t="s">
        <v>3048</v>
      </c>
      <c r="E947" t="s">
        <v>0</v>
      </c>
      <c r="F947" t="s">
        <v>10</v>
      </c>
      <c r="G947" t="s">
        <v>2477</v>
      </c>
      <c r="H947">
        <v>13</v>
      </c>
      <c r="I947">
        <f t="shared" si="16"/>
        <v>17</v>
      </c>
    </row>
    <row r="948" spans="1:9">
      <c r="A948" s="1">
        <v>42783.89166666667</v>
      </c>
      <c r="B948" s="19">
        <v>42479</v>
      </c>
      <c r="C948" s="21">
        <v>0.63402777777777775</v>
      </c>
      <c r="D948" s="20" t="s">
        <v>3042</v>
      </c>
      <c r="E948" t="s">
        <v>0</v>
      </c>
      <c r="G948" t="s">
        <v>2482</v>
      </c>
      <c r="H948">
        <v>3</v>
      </c>
      <c r="I948">
        <f t="shared" si="16"/>
        <v>4</v>
      </c>
    </row>
    <row r="949" spans="1:9">
      <c r="A949" s="1">
        <v>42783.89166666667</v>
      </c>
      <c r="B949" s="19">
        <v>42479</v>
      </c>
      <c r="C949" s="21">
        <v>0.56874999999999998</v>
      </c>
      <c r="D949" s="20" t="s">
        <v>3039</v>
      </c>
      <c r="E949" t="s">
        <v>0</v>
      </c>
      <c r="G949" t="s">
        <v>2483</v>
      </c>
      <c r="H949">
        <v>44</v>
      </c>
      <c r="I949">
        <f t="shared" si="16"/>
        <v>55</v>
      </c>
    </row>
    <row r="950" spans="1:9">
      <c r="A950" s="1">
        <v>42783.89166666667</v>
      </c>
      <c r="B950" s="19">
        <v>42479</v>
      </c>
      <c r="C950" s="21">
        <v>0.44722222222222224</v>
      </c>
      <c r="D950" s="20" t="s">
        <v>3036</v>
      </c>
      <c r="E950" t="s">
        <v>149</v>
      </c>
      <c r="F950" t="s">
        <v>150</v>
      </c>
      <c r="G950" t="s">
        <v>2485</v>
      </c>
      <c r="H950">
        <v>75</v>
      </c>
      <c r="I950">
        <f t="shared" si="16"/>
        <v>93</v>
      </c>
    </row>
    <row r="951" spans="1:9">
      <c r="A951" s="1">
        <v>42783.89166666667</v>
      </c>
      <c r="B951" s="19">
        <v>42479</v>
      </c>
      <c r="C951" s="21">
        <v>0.35069444444444442</v>
      </c>
      <c r="D951" s="20" t="s">
        <v>3034</v>
      </c>
      <c r="E951" t="s">
        <v>0</v>
      </c>
      <c r="F951" t="s">
        <v>75</v>
      </c>
      <c r="G951" t="s">
        <v>2486</v>
      </c>
      <c r="H951">
        <v>25</v>
      </c>
      <c r="I951">
        <f t="shared" si="16"/>
        <v>31</v>
      </c>
    </row>
    <row r="952" spans="1:9">
      <c r="A952" s="1">
        <v>42783.89166666667</v>
      </c>
      <c r="B952" s="19">
        <v>42479</v>
      </c>
      <c r="C952" s="21">
        <v>0.25277777777777777</v>
      </c>
      <c r="D952" s="20" t="s">
        <v>3031</v>
      </c>
      <c r="E952" t="s">
        <v>77</v>
      </c>
      <c r="G952" t="s">
        <v>2491</v>
      </c>
      <c r="H952" t="e">
        <v>#VALUE!</v>
      </c>
      <c r="I952" t="e">
        <f t="shared" si="16"/>
        <v>#VALUE!</v>
      </c>
    </row>
    <row r="953" spans="1:9">
      <c r="A953" s="1">
        <v>42783.832638888889</v>
      </c>
      <c r="B953" s="19">
        <v>42479</v>
      </c>
      <c r="C953" s="21">
        <v>0.24861111111111112</v>
      </c>
      <c r="D953" s="20" t="s">
        <v>3055</v>
      </c>
      <c r="E953" t="s">
        <v>18</v>
      </c>
      <c r="F953" t="s">
        <v>71</v>
      </c>
      <c r="G953" t="s">
        <v>1641</v>
      </c>
      <c r="H953" t="e">
        <v>#VALUE!</v>
      </c>
      <c r="I953" t="e">
        <f t="shared" si="16"/>
        <v>#VALUE!</v>
      </c>
    </row>
    <row r="954" spans="1:9">
      <c r="A954" s="1">
        <v>42783.832638888889</v>
      </c>
      <c r="B954" s="19">
        <v>42479</v>
      </c>
      <c r="C954" s="21">
        <v>0.96805555555555556</v>
      </c>
      <c r="D954" s="20" t="s">
        <v>3063</v>
      </c>
      <c r="E954" t="s">
        <v>6</v>
      </c>
      <c r="F954" t="s">
        <v>15</v>
      </c>
      <c r="G954" t="s">
        <v>2475</v>
      </c>
      <c r="H954">
        <v>10</v>
      </c>
      <c r="I954">
        <f t="shared" si="16"/>
        <v>13</v>
      </c>
    </row>
    <row r="955" spans="1:9">
      <c r="A955" s="1">
        <v>42783.832638888889</v>
      </c>
      <c r="B955" s="19">
        <v>42479</v>
      </c>
      <c r="C955" s="21">
        <v>0.95416666666666672</v>
      </c>
      <c r="D955" s="20" t="s">
        <v>3049</v>
      </c>
      <c r="E955" t="s">
        <v>6</v>
      </c>
      <c r="F955" t="s">
        <v>15</v>
      </c>
      <c r="G955" t="s">
        <v>2476</v>
      </c>
      <c r="H955">
        <v>8</v>
      </c>
      <c r="I955">
        <f t="shared" si="16"/>
        <v>10</v>
      </c>
    </row>
    <row r="956" spans="1:9">
      <c r="A956" s="1">
        <v>42783.832638888889</v>
      </c>
      <c r="B956" s="19">
        <v>42479</v>
      </c>
      <c r="C956" s="21">
        <v>0.85624999999999996</v>
      </c>
      <c r="D956" s="20" t="s">
        <v>3047</v>
      </c>
      <c r="E956" t="s">
        <v>6</v>
      </c>
      <c r="F956" t="s">
        <v>21</v>
      </c>
      <c r="G956" t="s">
        <v>2478</v>
      </c>
      <c r="H956">
        <v>9</v>
      </c>
      <c r="I956">
        <f t="shared" si="16"/>
        <v>12</v>
      </c>
    </row>
    <row r="957" spans="1:9">
      <c r="A957" s="1">
        <v>42783.832638888889</v>
      </c>
      <c r="B957" s="19">
        <v>42479</v>
      </c>
      <c r="C957" s="21">
        <v>0.83819444444444446</v>
      </c>
      <c r="D957" s="20" t="s">
        <v>3047</v>
      </c>
      <c r="E957" t="s">
        <v>6</v>
      </c>
      <c r="F957" t="s">
        <v>12</v>
      </c>
      <c r="G957" t="s">
        <v>2479</v>
      </c>
      <c r="H957">
        <v>7</v>
      </c>
      <c r="I957">
        <f t="shared" si="16"/>
        <v>9</v>
      </c>
    </row>
    <row r="958" spans="1:9">
      <c r="A958" s="1">
        <v>42783.832638888889</v>
      </c>
      <c r="B958" s="19">
        <v>42479</v>
      </c>
      <c r="C958" s="21">
        <v>0.80069444444444449</v>
      </c>
      <c r="D958" s="20" t="s">
        <v>3046</v>
      </c>
      <c r="E958" t="s">
        <v>6</v>
      </c>
      <c r="F958" t="s">
        <v>15</v>
      </c>
      <c r="G958" t="s">
        <v>2480</v>
      </c>
      <c r="H958" t="e">
        <v>#VALUE!</v>
      </c>
      <c r="I958" t="e">
        <f t="shared" si="16"/>
        <v>#VALUE!</v>
      </c>
    </row>
    <row r="959" spans="1:9" ht="28.8">
      <c r="A959" s="1">
        <v>42783.832638888889</v>
      </c>
      <c r="B959" s="19">
        <v>42479</v>
      </c>
      <c r="C959" s="21">
        <v>0.7055555555555556</v>
      </c>
      <c r="D959" s="20" t="s">
        <v>3043</v>
      </c>
      <c r="E959" t="s">
        <v>6</v>
      </c>
      <c r="F959" t="s">
        <v>12</v>
      </c>
      <c r="G959" s="2" t="s">
        <v>2481</v>
      </c>
      <c r="H959">
        <v>4</v>
      </c>
      <c r="I959">
        <f t="shared" si="16"/>
        <v>5</v>
      </c>
    </row>
    <row r="960" spans="1:9">
      <c r="A960" s="1">
        <v>42783.832638888889</v>
      </c>
      <c r="B960" s="19">
        <v>42479</v>
      </c>
      <c r="C960" s="21">
        <v>0.55486111111111114</v>
      </c>
      <c r="D960" s="20" t="s">
        <v>3039</v>
      </c>
      <c r="E960" t="s">
        <v>6</v>
      </c>
      <c r="F960" t="s">
        <v>15</v>
      </c>
      <c r="G960" t="s">
        <v>2484</v>
      </c>
      <c r="H960">
        <v>10</v>
      </c>
      <c r="I960">
        <f t="shared" si="16"/>
        <v>13</v>
      </c>
    </row>
    <row r="961" spans="1:9">
      <c r="A961" s="1">
        <v>42783.832638888889</v>
      </c>
      <c r="B961" s="19">
        <v>42479</v>
      </c>
      <c r="C961" s="21">
        <v>0.43333333333333335</v>
      </c>
      <c r="D961" s="20" t="s">
        <v>3036</v>
      </c>
      <c r="E961" t="s">
        <v>6</v>
      </c>
      <c r="F961" t="s">
        <v>12</v>
      </c>
      <c r="G961" t="s">
        <v>1675</v>
      </c>
      <c r="H961">
        <v>3</v>
      </c>
      <c r="I961">
        <f t="shared" si="16"/>
        <v>4</v>
      </c>
    </row>
    <row r="962" spans="1:9">
      <c r="A962" s="1">
        <v>42783.832638888889</v>
      </c>
      <c r="B962" s="19">
        <v>42479</v>
      </c>
      <c r="C962" s="21">
        <v>0.27083333333333331</v>
      </c>
      <c r="D962" s="20" t="s">
        <v>3031</v>
      </c>
      <c r="E962" t="s">
        <v>6</v>
      </c>
      <c r="F962" t="s">
        <v>26</v>
      </c>
      <c r="G962" t="s">
        <v>2487</v>
      </c>
      <c r="H962">
        <v>87</v>
      </c>
      <c r="I962">
        <f t="shared" si="16"/>
        <v>108</v>
      </c>
    </row>
    <row r="963" spans="1:9">
      <c r="A963" s="1">
        <v>42783.832638888889</v>
      </c>
      <c r="B963" s="19">
        <v>42479</v>
      </c>
      <c r="C963" s="21">
        <v>0.26874999999999999</v>
      </c>
      <c r="D963" s="20" t="s">
        <v>3031</v>
      </c>
      <c r="E963" t="s">
        <v>6</v>
      </c>
      <c r="F963" t="s">
        <v>273</v>
      </c>
      <c r="G963" t="s">
        <v>2488</v>
      </c>
      <c r="H963" t="e">
        <v>#VALUE!</v>
      </c>
      <c r="I963" t="e">
        <f t="shared" ref="I963:I1026" si="17">ROUNDUP((H963*1.24), 0)</f>
        <v>#VALUE!</v>
      </c>
    </row>
    <row r="964" spans="1:9">
      <c r="A964" s="1">
        <v>42783.823611111111</v>
      </c>
      <c r="B964" s="19">
        <v>42479</v>
      </c>
      <c r="C964" s="21">
        <v>0.25972222222222224</v>
      </c>
      <c r="D964" s="20" t="s">
        <v>3031</v>
      </c>
      <c r="E964" t="s">
        <v>6</v>
      </c>
      <c r="F964" t="s">
        <v>273</v>
      </c>
      <c r="G964" t="s">
        <v>2489</v>
      </c>
      <c r="H964">
        <v>9</v>
      </c>
      <c r="I964">
        <f t="shared" si="17"/>
        <v>12</v>
      </c>
    </row>
    <row r="965" spans="1:9">
      <c r="A965" s="1">
        <v>42783.823611111111</v>
      </c>
      <c r="B965" s="19">
        <v>42479</v>
      </c>
      <c r="C965" s="21">
        <v>0.25416666666666665</v>
      </c>
      <c r="D965" s="20" t="s">
        <v>3031</v>
      </c>
      <c r="E965" t="s">
        <v>6</v>
      </c>
      <c r="F965" t="s">
        <v>7</v>
      </c>
      <c r="G965" t="s">
        <v>2490</v>
      </c>
      <c r="H965">
        <v>13</v>
      </c>
      <c r="I965">
        <f t="shared" si="17"/>
        <v>17</v>
      </c>
    </row>
    <row r="966" spans="1:9">
      <c r="A966" s="1">
        <v>42783.823611111111</v>
      </c>
      <c r="B966" s="19">
        <v>42480</v>
      </c>
      <c r="C966" s="21">
        <v>0.8354166666666667</v>
      </c>
      <c r="D966" s="20" t="s">
        <v>3047</v>
      </c>
      <c r="E966" t="s">
        <v>149</v>
      </c>
      <c r="G966" t="s">
        <v>2464</v>
      </c>
      <c r="H966" t="e">
        <v>#VALUE!</v>
      </c>
      <c r="I966" t="e">
        <f t="shared" si="17"/>
        <v>#VALUE!</v>
      </c>
    </row>
    <row r="967" spans="1:9">
      <c r="A967" s="1">
        <v>42783.823611111111</v>
      </c>
      <c r="B967" s="19">
        <v>42480</v>
      </c>
      <c r="C967" s="21">
        <v>0.78819444444444442</v>
      </c>
      <c r="D967" s="20" t="s">
        <v>3045</v>
      </c>
      <c r="E967" t="s">
        <v>77</v>
      </c>
      <c r="G967" t="s">
        <v>2465</v>
      </c>
      <c r="H967">
        <v>2</v>
      </c>
      <c r="I967">
        <f t="shared" si="17"/>
        <v>3</v>
      </c>
    </row>
    <row r="968" spans="1:9" ht="28.8">
      <c r="A968" s="1">
        <v>42783.823611111111</v>
      </c>
      <c r="B968" s="19">
        <v>42480</v>
      </c>
      <c r="C968" s="21">
        <v>0.68541666666666667</v>
      </c>
      <c r="D968" s="20" t="s">
        <v>3043</v>
      </c>
      <c r="E968" t="s">
        <v>0</v>
      </c>
      <c r="G968" s="2" t="s">
        <v>2467</v>
      </c>
      <c r="H968">
        <v>2</v>
      </c>
      <c r="I968">
        <f t="shared" si="17"/>
        <v>3</v>
      </c>
    </row>
    <row r="969" spans="1:9">
      <c r="A969" s="1">
        <v>42783.823611111111</v>
      </c>
      <c r="B969" s="19">
        <v>42480</v>
      </c>
      <c r="C969" s="21">
        <v>0.64375000000000004</v>
      </c>
      <c r="D969" s="20" t="s">
        <v>3042</v>
      </c>
      <c r="E969" t="s">
        <v>0</v>
      </c>
      <c r="F969" t="s">
        <v>1</v>
      </c>
      <c r="H969">
        <v>10</v>
      </c>
      <c r="I969">
        <f t="shared" si="17"/>
        <v>13</v>
      </c>
    </row>
    <row r="970" spans="1:9">
      <c r="A970" s="1">
        <v>42783.823611111111</v>
      </c>
      <c r="B970" s="19">
        <v>42480</v>
      </c>
      <c r="C970" s="21">
        <v>0.62638888888888888</v>
      </c>
      <c r="D970" s="20" t="s">
        <v>3042</v>
      </c>
      <c r="E970" t="s">
        <v>730</v>
      </c>
      <c r="G970" t="s">
        <v>2468</v>
      </c>
      <c r="H970">
        <v>30</v>
      </c>
      <c r="I970">
        <f t="shared" si="17"/>
        <v>38</v>
      </c>
    </row>
    <row r="971" spans="1:9">
      <c r="A971" s="1">
        <v>42783.823611111111</v>
      </c>
      <c r="B971" s="19">
        <v>42480</v>
      </c>
      <c r="C971" s="21">
        <v>0.43263888888888891</v>
      </c>
      <c r="D971" s="20" t="s">
        <v>3036</v>
      </c>
      <c r="E971" t="s">
        <v>149</v>
      </c>
      <c r="F971" t="s">
        <v>150</v>
      </c>
      <c r="G971" t="s">
        <v>2471</v>
      </c>
      <c r="H971">
        <v>22</v>
      </c>
      <c r="I971">
        <f t="shared" si="17"/>
        <v>28</v>
      </c>
    </row>
    <row r="972" spans="1:9">
      <c r="A972" s="1">
        <v>42783.823611111111</v>
      </c>
      <c r="B972" s="19">
        <v>42480</v>
      </c>
      <c r="C972" s="21">
        <v>0.3576388888888889</v>
      </c>
      <c r="D972" s="20" t="s">
        <v>3034</v>
      </c>
      <c r="E972" t="s">
        <v>77</v>
      </c>
      <c r="F972" t="s">
        <v>78</v>
      </c>
      <c r="G972" t="s">
        <v>662</v>
      </c>
      <c r="H972">
        <v>5</v>
      </c>
      <c r="I972">
        <f t="shared" si="17"/>
        <v>7</v>
      </c>
    </row>
    <row r="973" spans="1:9">
      <c r="A973" s="1">
        <v>42783.823611111111</v>
      </c>
      <c r="B973" s="19">
        <v>42480</v>
      </c>
      <c r="C973" s="21">
        <v>0.26597222222222222</v>
      </c>
      <c r="D973" s="20" t="s">
        <v>3031</v>
      </c>
      <c r="E973" t="s">
        <v>0</v>
      </c>
      <c r="G973" t="s">
        <v>2449</v>
      </c>
      <c r="H973" t="e">
        <v>#VALUE!</v>
      </c>
      <c r="I973" t="e">
        <f t="shared" si="17"/>
        <v>#VALUE!</v>
      </c>
    </row>
    <row r="974" spans="1:9">
      <c r="A974" s="1">
        <v>42783.823611111111</v>
      </c>
      <c r="B974" s="19">
        <v>42480</v>
      </c>
      <c r="C974" s="21">
        <v>0.25069444444444444</v>
      </c>
      <c r="D974" s="20" t="s">
        <v>3031</v>
      </c>
      <c r="E974" t="s">
        <v>18</v>
      </c>
      <c r="F974" t="s">
        <v>71</v>
      </c>
      <c r="G974" t="s">
        <v>1697</v>
      </c>
      <c r="H974" t="e">
        <v>#VALUE!</v>
      </c>
      <c r="I974" t="e">
        <f t="shared" si="17"/>
        <v>#VALUE!</v>
      </c>
    </row>
    <row r="975" spans="1:9">
      <c r="A975" s="1">
        <v>42783.779166666667</v>
      </c>
      <c r="B975" s="19">
        <v>42480</v>
      </c>
      <c r="C975" s="21">
        <v>0.22291666666666668</v>
      </c>
      <c r="D975" s="20" t="s">
        <v>3055</v>
      </c>
      <c r="E975" t="s">
        <v>0</v>
      </c>
      <c r="G975" t="s">
        <v>2474</v>
      </c>
      <c r="H975">
        <v>0</v>
      </c>
      <c r="I975">
        <f t="shared" si="17"/>
        <v>0</v>
      </c>
    </row>
    <row r="976" spans="1:9">
      <c r="A976" s="1">
        <v>42783.779166666667</v>
      </c>
      <c r="B976" s="19">
        <v>42480</v>
      </c>
      <c r="C976" s="21">
        <v>0.77083333333333337</v>
      </c>
      <c r="D976" s="20" t="s">
        <v>3045</v>
      </c>
      <c r="E976" t="s">
        <v>6</v>
      </c>
      <c r="F976" t="s">
        <v>15</v>
      </c>
      <c r="G976" t="s">
        <v>2466</v>
      </c>
      <c r="H976">
        <v>38</v>
      </c>
      <c r="I976">
        <f t="shared" si="17"/>
        <v>48</v>
      </c>
    </row>
    <row r="977" spans="1:9">
      <c r="A977" s="1">
        <v>42783.779166666667</v>
      </c>
      <c r="B977" s="19">
        <v>42480</v>
      </c>
      <c r="C977" s="21">
        <v>0.55694444444444446</v>
      </c>
      <c r="D977" s="20" t="s">
        <v>3039</v>
      </c>
      <c r="E977" t="s">
        <v>6</v>
      </c>
      <c r="F977" t="s">
        <v>26</v>
      </c>
      <c r="G977" t="s">
        <v>2469</v>
      </c>
      <c r="H977">
        <v>19</v>
      </c>
      <c r="I977">
        <f t="shared" si="17"/>
        <v>24</v>
      </c>
    </row>
    <row r="978" spans="1:9">
      <c r="A978" s="1">
        <v>42783.779166666667</v>
      </c>
      <c r="B978" s="19">
        <v>42480</v>
      </c>
      <c r="C978" s="21">
        <v>0.54652777777777772</v>
      </c>
      <c r="D978" s="20" t="s">
        <v>3039</v>
      </c>
      <c r="E978" t="s">
        <v>6</v>
      </c>
      <c r="F978" t="s">
        <v>273</v>
      </c>
      <c r="G978" t="s">
        <v>2470</v>
      </c>
      <c r="H978">
        <v>10</v>
      </c>
      <c r="I978">
        <f t="shared" si="17"/>
        <v>13</v>
      </c>
    </row>
    <row r="979" spans="1:9">
      <c r="A979" s="1">
        <v>42783.779166666667</v>
      </c>
      <c r="B979" s="19">
        <v>42480</v>
      </c>
      <c r="C979" s="21">
        <v>0.35208333333333336</v>
      </c>
      <c r="D979" s="20" t="s">
        <v>3034</v>
      </c>
      <c r="E979" t="s">
        <v>6</v>
      </c>
      <c r="F979" t="s">
        <v>12</v>
      </c>
      <c r="G979" t="s">
        <v>2472</v>
      </c>
      <c r="H979">
        <v>10</v>
      </c>
      <c r="I979">
        <f t="shared" si="17"/>
        <v>13</v>
      </c>
    </row>
    <row r="980" spans="1:9">
      <c r="A980" s="1">
        <v>42783.779166666667</v>
      </c>
      <c r="B980" s="19">
        <v>42480</v>
      </c>
      <c r="C980" s="21">
        <v>0.33402777777777776</v>
      </c>
      <c r="D980" s="20" t="s">
        <v>3034</v>
      </c>
      <c r="E980" t="s">
        <v>6</v>
      </c>
      <c r="F980" t="s">
        <v>12</v>
      </c>
      <c r="G980" t="s">
        <v>2473</v>
      </c>
      <c r="H980">
        <v>4</v>
      </c>
      <c r="I980">
        <f t="shared" si="17"/>
        <v>5</v>
      </c>
    </row>
    <row r="981" spans="1:9">
      <c r="A981" s="1">
        <v>42783.779166666667</v>
      </c>
      <c r="B981" s="19">
        <v>42480</v>
      </c>
      <c r="C981" s="21">
        <v>0.20208333333333334</v>
      </c>
      <c r="D981" s="20" t="s">
        <v>3054</v>
      </c>
      <c r="E981" t="s">
        <v>6</v>
      </c>
      <c r="F981" t="s">
        <v>26</v>
      </c>
      <c r="G981" t="s">
        <v>2379</v>
      </c>
      <c r="H981">
        <v>13</v>
      </c>
      <c r="I981">
        <f t="shared" si="17"/>
        <v>17</v>
      </c>
    </row>
    <row r="982" spans="1:9">
      <c r="A982" s="1">
        <v>42783.779166666667</v>
      </c>
      <c r="B982" s="19">
        <v>42481</v>
      </c>
      <c r="C982" s="21">
        <v>0.82361111111111107</v>
      </c>
      <c r="D982" s="20" t="s">
        <v>3046</v>
      </c>
      <c r="E982" t="s">
        <v>18</v>
      </c>
      <c r="F982" t="s">
        <v>19</v>
      </c>
      <c r="G982" t="s">
        <v>2452</v>
      </c>
      <c r="H982">
        <v>7</v>
      </c>
      <c r="I982">
        <f t="shared" si="17"/>
        <v>9</v>
      </c>
    </row>
    <row r="983" spans="1:9">
      <c r="A983" s="1">
        <v>42783.779166666667</v>
      </c>
      <c r="B983" s="19">
        <v>42481</v>
      </c>
      <c r="C983" s="21">
        <v>0.77361111111111114</v>
      </c>
      <c r="D983" s="20" t="s">
        <v>3045</v>
      </c>
      <c r="E983" t="s">
        <v>0</v>
      </c>
      <c r="G983" t="s">
        <v>2453</v>
      </c>
      <c r="H983" t="e">
        <v>#VALUE!</v>
      </c>
      <c r="I983" t="e">
        <f t="shared" si="17"/>
        <v>#VALUE!</v>
      </c>
    </row>
    <row r="984" spans="1:9">
      <c r="A984" s="1">
        <v>42783.779166666667</v>
      </c>
      <c r="B984" s="19">
        <v>42481</v>
      </c>
      <c r="C984" s="21">
        <v>0.6645833333333333</v>
      </c>
      <c r="D984" s="20" t="s">
        <v>3042</v>
      </c>
      <c r="E984" t="s">
        <v>33</v>
      </c>
      <c r="F984" t="s">
        <v>44</v>
      </c>
      <c r="G984" t="s">
        <v>2457</v>
      </c>
      <c r="H984">
        <v>7</v>
      </c>
      <c r="I984">
        <f t="shared" si="17"/>
        <v>9</v>
      </c>
    </row>
    <row r="985" spans="1:9">
      <c r="A985" s="1">
        <v>42783.779166666667</v>
      </c>
      <c r="B985" s="19">
        <v>42481</v>
      </c>
      <c r="C985" s="21">
        <v>0.55902777777777779</v>
      </c>
      <c r="D985" s="20" t="s">
        <v>3039</v>
      </c>
      <c r="E985" t="s">
        <v>33</v>
      </c>
      <c r="F985" t="s">
        <v>44</v>
      </c>
      <c r="G985" t="s">
        <v>2460</v>
      </c>
      <c r="H985">
        <v>56</v>
      </c>
      <c r="I985">
        <f t="shared" si="17"/>
        <v>70</v>
      </c>
    </row>
    <row r="986" spans="1:9">
      <c r="A986" s="1">
        <v>42783.711111111108</v>
      </c>
      <c r="B986" s="19">
        <v>42481</v>
      </c>
      <c r="C986" s="21">
        <v>0.55138888888888893</v>
      </c>
      <c r="D986" s="20" t="s">
        <v>3039</v>
      </c>
      <c r="E986" t="s">
        <v>0</v>
      </c>
      <c r="G986" t="s">
        <v>2461</v>
      </c>
      <c r="H986" t="e">
        <v>#VALUE!</v>
      </c>
      <c r="I986" t="e">
        <f t="shared" si="17"/>
        <v>#VALUE!</v>
      </c>
    </row>
    <row r="987" spans="1:9">
      <c r="A987" s="1">
        <v>42783.711111111108</v>
      </c>
      <c r="B987" s="19">
        <v>42481</v>
      </c>
      <c r="C987" s="21">
        <v>0.44236111111111109</v>
      </c>
      <c r="D987" s="20" t="s">
        <v>3036</v>
      </c>
      <c r="E987" t="s">
        <v>18</v>
      </c>
      <c r="F987" t="s">
        <v>71</v>
      </c>
      <c r="G987" t="s">
        <v>1614</v>
      </c>
      <c r="H987" t="e">
        <v>#VALUE!</v>
      </c>
      <c r="I987" t="e">
        <f t="shared" si="17"/>
        <v>#VALUE!</v>
      </c>
    </row>
    <row r="988" spans="1:9">
      <c r="A988" s="1">
        <v>42783.711111111108</v>
      </c>
      <c r="B988" s="19">
        <v>42481</v>
      </c>
      <c r="C988" s="21">
        <v>0.44166666666666665</v>
      </c>
      <c r="D988" s="20" t="s">
        <v>3036</v>
      </c>
      <c r="E988" t="s">
        <v>730</v>
      </c>
      <c r="G988" t="s">
        <v>828</v>
      </c>
      <c r="H988" t="e">
        <v>#VALUE!</v>
      </c>
      <c r="I988" t="e">
        <f t="shared" si="17"/>
        <v>#VALUE!</v>
      </c>
    </row>
    <row r="989" spans="1:9">
      <c r="A989" s="1">
        <v>42783.711111111108</v>
      </c>
      <c r="B989" s="19">
        <v>42481</v>
      </c>
      <c r="C989" s="21">
        <v>0.90763888888888888</v>
      </c>
      <c r="D989" s="20" t="s">
        <v>3048</v>
      </c>
      <c r="E989" t="s">
        <v>6</v>
      </c>
      <c r="F989" t="s">
        <v>15</v>
      </c>
      <c r="G989" t="s">
        <v>2451</v>
      </c>
      <c r="H989">
        <v>13</v>
      </c>
      <c r="I989">
        <f t="shared" si="17"/>
        <v>17</v>
      </c>
    </row>
    <row r="990" spans="1:9">
      <c r="A990" s="1">
        <v>42783.711111111108</v>
      </c>
      <c r="B990" s="19">
        <v>42481</v>
      </c>
      <c r="C990" s="21">
        <v>0.70972222222222225</v>
      </c>
      <c r="D990" s="20" t="s">
        <v>3044</v>
      </c>
      <c r="E990" t="s">
        <v>6</v>
      </c>
      <c r="F990" t="s">
        <v>21</v>
      </c>
      <c r="G990" t="s">
        <v>2454</v>
      </c>
      <c r="H990">
        <v>25</v>
      </c>
      <c r="I990">
        <f t="shared" si="17"/>
        <v>31</v>
      </c>
    </row>
    <row r="991" spans="1:9">
      <c r="A991" s="1">
        <v>42783.711111111108</v>
      </c>
      <c r="B991" s="19">
        <v>42481</v>
      </c>
      <c r="C991" s="21">
        <v>0.70763888888888893</v>
      </c>
      <c r="D991" s="20" t="s">
        <v>3043</v>
      </c>
      <c r="E991" t="s">
        <v>6</v>
      </c>
      <c r="F991" t="s">
        <v>12</v>
      </c>
      <c r="G991" t="s">
        <v>2455</v>
      </c>
      <c r="H991">
        <v>7</v>
      </c>
      <c r="I991">
        <f t="shared" si="17"/>
        <v>9</v>
      </c>
    </row>
    <row r="992" spans="1:9">
      <c r="A992" s="1">
        <v>42783.711111111108</v>
      </c>
      <c r="B992" s="19">
        <v>42481</v>
      </c>
      <c r="C992" s="21">
        <v>0.67013888888888884</v>
      </c>
      <c r="D992" s="20" t="s">
        <v>3043</v>
      </c>
      <c r="E992" t="s">
        <v>6</v>
      </c>
      <c r="F992" t="s">
        <v>21</v>
      </c>
      <c r="G992" t="s">
        <v>2456</v>
      </c>
      <c r="H992">
        <v>44</v>
      </c>
      <c r="I992">
        <f t="shared" si="17"/>
        <v>55</v>
      </c>
    </row>
    <row r="993" spans="1:9">
      <c r="A993" s="1">
        <v>42783.711111111108</v>
      </c>
      <c r="B993" s="19">
        <v>42481</v>
      </c>
      <c r="C993" s="21">
        <v>0.66388888888888886</v>
      </c>
      <c r="D993" s="20" t="s">
        <v>3042</v>
      </c>
      <c r="E993" t="s">
        <v>6</v>
      </c>
      <c r="F993" t="s">
        <v>21</v>
      </c>
      <c r="G993" t="s">
        <v>2456</v>
      </c>
      <c r="H993">
        <v>38</v>
      </c>
      <c r="I993">
        <f t="shared" si="17"/>
        <v>48</v>
      </c>
    </row>
    <row r="994" spans="1:9">
      <c r="A994" s="1">
        <v>42783.711111111108</v>
      </c>
      <c r="B994" s="19">
        <v>42481</v>
      </c>
      <c r="C994" s="21">
        <v>0.66249999999999998</v>
      </c>
      <c r="D994" s="20" t="s">
        <v>3042</v>
      </c>
      <c r="E994" t="s">
        <v>6</v>
      </c>
      <c r="G994" t="s">
        <v>2458</v>
      </c>
      <c r="H994">
        <v>13</v>
      </c>
      <c r="I994">
        <f t="shared" si="17"/>
        <v>17</v>
      </c>
    </row>
    <row r="995" spans="1:9">
      <c r="A995" s="1">
        <v>42783.711111111108</v>
      </c>
      <c r="B995" s="19">
        <v>42481</v>
      </c>
      <c r="C995" s="21">
        <v>0.66180555555555554</v>
      </c>
      <c r="D995" s="20" t="s">
        <v>3042</v>
      </c>
      <c r="E995" t="s">
        <v>6</v>
      </c>
      <c r="F995" t="s">
        <v>21</v>
      </c>
      <c r="G995" t="s">
        <v>2459</v>
      </c>
      <c r="H995">
        <v>38</v>
      </c>
      <c r="I995">
        <f t="shared" si="17"/>
        <v>48</v>
      </c>
    </row>
    <row r="996" spans="1:9">
      <c r="A996" s="1">
        <v>42783.711111111108</v>
      </c>
      <c r="B996" s="19">
        <v>42481</v>
      </c>
      <c r="C996" s="21">
        <v>0.54652777777777772</v>
      </c>
      <c r="D996" s="20" t="s">
        <v>3039</v>
      </c>
      <c r="E996" t="s">
        <v>6</v>
      </c>
      <c r="F996" t="s">
        <v>21</v>
      </c>
      <c r="G996" t="s">
        <v>2462</v>
      </c>
      <c r="H996">
        <v>9</v>
      </c>
      <c r="I996">
        <f t="shared" si="17"/>
        <v>12</v>
      </c>
    </row>
    <row r="997" spans="1:9">
      <c r="A997" s="1">
        <v>42783.676388888889</v>
      </c>
      <c r="B997" s="19">
        <v>42481</v>
      </c>
      <c r="C997" s="21">
        <v>0.44583333333333336</v>
      </c>
      <c r="D997" s="20" t="s">
        <v>3036</v>
      </c>
      <c r="E997" t="s">
        <v>6</v>
      </c>
      <c r="F997" t="s">
        <v>167</v>
      </c>
      <c r="G997" t="s">
        <v>2463</v>
      </c>
      <c r="H997" t="e">
        <v>#VALUE!</v>
      </c>
      <c r="I997" t="e">
        <f t="shared" si="17"/>
        <v>#VALUE!</v>
      </c>
    </row>
    <row r="998" spans="1:9">
      <c r="A998" s="1">
        <v>42783.676388888889</v>
      </c>
      <c r="B998" s="19">
        <v>42482</v>
      </c>
      <c r="C998" s="21">
        <v>0.75138888888888888</v>
      </c>
      <c r="D998" s="20" t="s">
        <v>3045</v>
      </c>
      <c r="E998" t="s">
        <v>149</v>
      </c>
      <c r="G998" t="s">
        <v>2440</v>
      </c>
      <c r="H998">
        <v>75</v>
      </c>
      <c r="I998">
        <f t="shared" si="17"/>
        <v>93</v>
      </c>
    </row>
    <row r="999" spans="1:9">
      <c r="A999" s="1">
        <v>42783.676388888889</v>
      </c>
      <c r="B999" s="19">
        <v>42482</v>
      </c>
      <c r="C999" s="21">
        <v>0.70694444444444449</v>
      </c>
      <c r="D999" s="20" t="s">
        <v>3043</v>
      </c>
      <c r="E999" t="s">
        <v>149</v>
      </c>
      <c r="G999" t="s">
        <v>2441</v>
      </c>
      <c r="H999">
        <v>75</v>
      </c>
      <c r="I999">
        <f t="shared" si="17"/>
        <v>93</v>
      </c>
    </row>
    <row r="1000" spans="1:9">
      <c r="A1000" s="1">
        <v>42783.676388888889</v>
      </c>
      <c r="B1000" s="19">
        <v>42482</v>
      </c>
      <c r="C1000" s="21">
        <v>0.58472222222222225</v>
      </c>
      <c r="D1000" s="20" t="s">
        <v>3040</v>
      </c>
      <c r="E1000" t="s">
        <v>18</v>
      </c>
      <c r="F1000" t="s">
        <v>19</v>
      </c>
      <c r="G1000" t="s">
        <v>2444</v>
      </c>
      <c r="H1000">
        <v>13</v>
      </c>
      <c r="I1000">
        <f t="shared" si="17"/>
        <v>17</v>
      </c>
    </row>
    <row r="1001" spans="1:9">
      <c r="A1001" s="1">
        <v>42783.676388888889</v>
      </c>
      <c r="B1001" s="19">
        <v>42482</v>
      </c>
      <c r="C1001" s="21">
        <v>0.58194444444444449</v>
      </c>
      <c r="D1001" s="20" t="s">
        <v>3039</v>
      </c>
      <c r="E1001" t="s">
        <v>18</v>
      </c>
      <c r="F1001" t="s">
        <v>19</v>
      </c>
      <c r="G1001" t="s">
        <v>2444</v>
      </c>
      <c r="H1001">
        <v>7</v>
      </c>
      <c r="I1001">
        <f t="shared" si="17"/>
        <v>9</v>
      </c>
    </row>
    <row r="1002" spans="1:9">
      <c r="A1002" s="1">
        <v>42783.676388888889</v>
      </c>
      <c r="B1002" s="19">
        <v>42482</v>
      </c>
      <c r="C1002" s="21">
        <v>0.30416666666666664</v>
      </c>
      <c r="D1002" s="20" t="s">
        <v>3033</v>
      </c>
      <c r="E1002" t="s">
        <v>0</v>
      </c>
      <c r="G1002" t="s">
        <v>2449</v>
      </c>
      <c r="H1002" t="e">
        <v>#VALUE!</v>
      </c>
      <c r="I1002" t="e">
        <f t="shared" si="17"/>
        <v>#VALUE!</v>
      </c>
    </row>
    <row r="1003" spans="1:9">
      <c r="A1003" s="1">
        <v>42783.676388888889</v>
      </c>
      <c r="B1003" s="19">
        <v>42482</v>
      </c>
      <c r="C1003" s="21">
        <v>0.24791666666666667</v>
      </c>
      <c r="D1003" s="20" t="s">
        <v>3055</v>
      </c>
      <c r="E1003" t="s">
        <v>18</v>
      </c>
      <c r="F1003" t="s">
        <v>71</v>
      </c>
      <c r="G1003" t="s">
        <v>1641</v>
      </c>
      <c r="H1003" t="e">
        <v>#VALUE!</v>
      </c>
      <c r="I1003" t="e">
        <f t="shared" si="17"/>
        <v>#VALUE!</v>
      </c>
    </row>
    <row r="1004" spans="1:9">
      <c r="A1004" s="1">
        <v>42783.676388888889</v>
      </c>
      <c r="B1004" s="19">
        <v>42482</v>
      </c>
      <c r="C1004" s="21">
        <v>8.1944444444444445E-2</v>
      </c>
      <c r="D1004" s="20" t="s">
        <v>3051</v>
      </c>
      <c r="E1004" t="s">
        <v>0</v>
      </c>
      <c r="G1004" t="s">
        <v>2450</v>
      </c>
      <c r="H1004" t="e">
        <v>#VALUE!</v>
      </c>
      <c r="I1004" t="e">
        <f t="shared" si="17"/>
        <v>#VALUE!</v>
      </c>
    </row>
    <row r="1005" spans="1:9">
      <c r="A1005" s="1">
        <v>42783.676388888889</v>
      </c>
      <c r="B1005" s="19">
        <v>42482</v>
      </c>
      <c r="C1005" s="21">
        <v>0.9194444444444444</v>
      </c>
      <c r="D1005" s="20" t="s">
        <v>3049</v>
      </c>
      <c r="E1005" t="s">
        <v>6</v>
      </c>
      <c r="F1005" t="s">
        <v>12</v>
      </c>
      <c r="G1005" t="s">
        <v>2438</v>
      </c>
      <c r="H1005">
        <v>10</v>
      </c>
      <c r="I1005">
        <f t="shared" si="17"/>
        <v>13</v>
      </c>
    </row>
    <row r="1006" spans="1:9">
      <c r="A1006" s="1">
        <v>42783.676388888889</v>
      </c>
      <c r="B1006" s="19">
        <v>42482</v>
      </c>
      <c r="C1006" s="21">
        <v>0.875</v>
      </c>
      <c r="D1006" s="20" t="s">
        <v>3048</v>
      </c>
      <c r="E1006" t="s">
        <v>2</v>
      </c>
      <c r="F1006" t="s">
        <v>5</v>
      </c>
      <c r="H1006">
        <v>75</v>
      </c>
      <c r="I1006">
        <f t="shared" si="17"/>
        <v>93</v>
      </c>
    </row>
    <row r="1007" spans="1:9">
      <c r="A1007" s="1">
        <v>42783.676388888889</v>
      </c>
      <c r="B1007" s="19">
        <v>42482</v>
      </c>
      <c r="C1007" s="21">
        <v>0.8354166666666667</v>
      </c>
      <c r="D1007" s="20" t="s">
        <v>3047</v>
      </c>
      <c r="E1007" t="s">
        <v>2</v>
      </c>
      <c r="F1007" t="s">
        <v>5</v>
      </c>
      <c r="H1007">
        <v>71</v>
      </c>
      <c r="I1007">
        <f t="shared" si="17"/>
        <v>89</v>
      </c>
    </row>
    <row r="1008" spans="1:9">
      <c r="A1008" s="1">
        <v>42783.499305555553</v>
      </c>
      <c r="B1008" s="19">
        <v>42482</v>
      </c>
      <c r="C1008" s="21">
        <v>0.8305555555555556</v>
      </c>
      <c r="D1008" s="20" t="s">
        <v>3046</v>
      </c>
      <c r="E1008" t="s">
        <v>6</v>
      </c>
      <c r="F1008" t="s">
        <v>12</v>
      </c>
      <c r="G1008" t="s">
        <v>2439</v>
      </c>
      <c r="H1008">
        <v>9</v>
      </c>
      <c r="I1008">
        <f t="shared" si="17"/>
        <v>12</v>
      </c>
    </row>
    <row r="1009" spans="1:9">
      <c r="A1009" s="1">
        <v>42783.32708333333</v>
      </c>
      <c r="B1009" s="19">
        <v>42482</v>
      </c>
      <c r="C1009" s="21">
        <v>0.81597222222222221</v>
      </c>
      <c r="D1009" s="20" t="s">
        <v>3046</v>
      </c>
      <c r="E1009" t="s">
        <v>2</v>
      </c>
      <c r="F1009" t="s">
        <v>5</v>
      </c>
      <c r="H1009">
        <v>19</v>
      </c>
      <c r="I1009">
        <f t="shared" si="17"/>
        <v>24</v>
      </c>
    </row>
    <row r="1010" spans="1:9">
      <c r="A1010" s="1">
        <v>42783.319444444445</v>
      </c>
      <c r="B1010" s="19">
        <v>42482</v>
      </c>
      <c r="C1010" s="21">
        <v>0.6645833333333333</v>
      </c>
      <c r="D1010" s="20" t="s">
        <v>3042</v>
      </c>
      <c r="E1010" t="s">
        <v>2</v>
      </c>
      <c r="F1010" t="s">
        <v>48</v>
      </c>
      <c r="H1010">
        <v>75</v>
      </c>
      <c r="I1010">
        <f t="shared" si="17"/>
        <v>93</v>
      </c>
    </row>
    <row r="1011" spans="1:9">
      <c r="A1011" s="1">
        <v>42783.275694444441</v>
      </c>
      <c r="B1011" s="19">
        <v>42482</v>
      </c>
      <c r="C1011" s="21">
        <v>0.65069444444444446</v>
      </c>
      <c r="D1011" s="20" t="s">
        <v>3042</v>
      </c>
      <c r="E1011" t="s">
        <v>6</v>
      </c>
      <c r="F1011" t="s">
        <v>12</v>
      </c>
      <c r="G1011" t="s">
        <v>2442</v>
      </c>
      <c r="H1011">
        <v>25</v>
      </c>
      <c r="I1011">
        <f t="shared" si="17"/>
        <v>31</v>
      </c>
    </row>
    <row r="1012" spans="1:9">
      <c r="A1012" s="1">
        <v>42783.211111111108</v>
      </c>
      <c r="B1012" s="19">
        <v>42482</v>
      </c>
      <c r="C1012" s="21">
        <v>0.62569444444444444</v>
      </c>
      <c r="D1012" s="20" t="s">
        <v>3042</v>
      </c>
      <c r="E1012" t="s">
        <v>2</v>
      </c>
      <c r="G1012" t="s">
        <v>2443</v>
      </c>
      <c r="H1012">
        <v>2</v>
      </c>
      <c r="I1012">
        <f t="shared" si="17"/>
        <v>3</v>
      </c>
    </row>
    <row r="1013" spans="1:9">
      <c r="A1013" s="1">
        <v>42783.024305555555</v>
      </c>
      <c r="B1013" s="19">
        <v>42482</v>
      </c>
      <c r="C1013" s="21">
        <v>0.55902777777777779</v>
      </c>
      <c r="D1013" s="20" t="s">
        <v>3039</v>
      </c>
      <c r="E1013" t="s">
        <v>6</v>
      </c>
      <c r="F1013" t="s">
        <v>15</v>
      </c>
      <c r="G1013" t="s">
        <v>2445</v>
      </c>
      <c r="H1013">
        <v>7</v>
      </c>
      <c r="I1013">
        <f t="shared" si="17"/>
        <v>9</v>
      </c>
    </row>
    <row r="1014" spans="1:9">
      <c r="A1014" s="1">
        <v>42783.957638888889</v>
      </c>
      <c r="B1014" s="19">
        <v>42482</v>
      </c>
      <c r="C1014" s="21">
        <v>0.5444444444444444</v>
      </c>
      <c r="D1014" s="20" t="s">
        <v>3039</v>
      </c>
      <c r="E1014" t="s">
        <v>6</v>
      </c>
      <c r="F1014" t="s">
        <v>21</v>
      </c>
      <c r="G1014" t="s">
        <v>2446</v>
      </c>
      <c r="H1014">
        <v>25</v>
      </c>
      <c r="I1014">
        <f t="shared" si="17"/>
        <v>31</v>
      </c>
    </row>
    <row r="1015" spans="1:9">
      <c r="A1015" s="1">
        <v>42783.881944444445</v>
      </c>
      <c r="B1015" s="19">
        <v>42482</v>
      </c>
      <c r="C1015" s="21">
        <v>0.46666666666666667</v>
      </c>
      <c r="D1015" s="20" t="s">
        <v>3037</v>
      </c>
      <c r="E1015" t="s">
        <v>6</v>
      </c>
      <c r="F1015" t="s">
        <v>12</v>
      </c>
      <c r="G1015" t="s">
        <v>2447</v>
      </c>
      <c r="H1015">
        <v>7</v>
      </c>
      <c r="I1015">
        <f t="shared" si="17"/>
        <v>9</v>
      </c>
    </row>
    <row r="1016" spans="1:9">
      <c r="A1016" s="1">
        <v>42783.881944444445</v>
      </c>
      <c r="B1016" s="19">
        <v>42482</v>
      </c>
      <c r="C1016" s="21">
        <v>0.44791666666666669</v>
      </c>
      <c r="D1016" s="20" t="s">
        <v>3036</v>
      </c>
      <c r="E1016" t="s">
        <v>6</v>
      </c>
      <c r="F1016" t="s">
        <v>89</v>
      </c>
      <c r="G1016" t="s">
        <v>2448</v>
      </c>
      <c r="H1016" t="e">
        <v>#VALUE!</v>
      </c>
      <c r="I1016" t="e">
        <f t="shared" si="17"/>
        <v>#VALUE!</v>
      </c>
    </row>
    <row r="1017" spans="1:9">
      <c r="A1017" s="1">
        <v>42783.881944444445</v>
      </c>
      <c r="B1017" s="19">
        <v>42486</v>
      </c>
      <c r="C1017" s="21">
        <v>0.94236111111111109</v>
      </c>
      <c r="D1017" s="20" t="s">
        <v>3049</v>
      </c>
      <c r="E1017" t="s">
        <v>33</v>
      </c>
      <c r="F1017" t="s">
        <v>44</v>
      </c>
      <c r="G1017" t="s">
        <v>1940</v>
      </c>
      <c r="H1017" t="e">
        <v>#VALUE!</v>
      </c>
      <c r="I1017" t="e">
        <f t="shared" si="17"/>
        <v>#VALUE!</v>
      </c>
    </row>
    <row r="1018" spans="1:9">
      <c r="A1018" s="1">
        <v>42783.881944444445</v>
      </c>
      <c r="B1018" s="19">
        <v>42486</v>
      </c>
      <c r="C1018" s="21">
        <v>0.91666666666666663</v>
      </c>
      <c r="D1018" s="20" t="s">
        <v>3049</v>
      </c>
      <c r="E1018" t="s">
        <v>18</v>
      </c>
      <c r="F1018" t="s">
        <v>71</v>
      </c>
      <c r="G1018" t="s">
        <v>1641</v>
      </c>
      <c r="H1018" t="e">
        <v>#VALUE!</v>
      </c>
      <c r="I1018" t="e">
        <f t="shared" si="17"/>
        <v>#VALUE!</v>
      </c>
    </row>
    <row r="1019" spans="1:9">
      <c r="A1019" s="1">
        <v>42783.881944444445</v>
      </c>
      <c r="B1019" s="19">
        <v>42486</v>
      </c>
      <c r="C1019" s="21">
        <v>0.90694444444444444</v>
      </c>
      <c r="D1019" s="20" t="s">
        <v>3048</v>
      </c>
      <c r="E1019" t="s">
        <v>33</v>
      </c>
      <c r="F1019" t="s">
        <v>44</v>
      </c>
      <c r="G1019" t="s">
        <v>2432</v>
      </c>
      <c r="H1019">
        <v>12</v>
      </c>
      <c r="I1019">
        <f t="shared" si="17"/>
        <v>15</v>
      </c>
    </row>
    <row r="1020" spans="1:9">
      <c r="A1020" s="1">
        <v>42783.881944444445</v>
      </c>
      <c r="B1020" s="19">
        <v>42486</v>
      </c>
      <c r="C1020" s="21">
        <v>0.63194444444444442</v>
      </c>
      <c r="D1020" s="20" t="s">
        <v>3042</v>
      </c>
      <c r="E1020" t="s">
        <v>0</v>
      </c>
      <c r="F1020" t="s">
        <v>75</v>
      </c>
      <c r="G1020" t="s">
        <v>2435</v>
      </c>
      <c r="H1020">
        <v>28</v>
      </c>
      <c r="I1020">
        <f t="shared" si="17"/>
        <v>35</v>
      </c>
    </row>
    <row r="1021" spans="1:9">
      <c r="A1021" s="1">
        <v>42783.881944444445</v>
      </c>
      <c r="B1021" s="19">
        <v>42486</v>
      </c>
      <c r="C1021" s="21">
        <v>0.97083333333333333</v>
      </c>
      <c r="D1021" s="20" t="s">
        <v>3063</v>
      </c>
      <c r="E1021" t="s">
        <v>6</v>
      </c>
      <c r="F1021" t="s">
        <v>15</v>
      </c>
      <c r="G1021" t="s">
        <v>2431</v>
      </c>
      <c r="H1021">
        <v>7</v>
      </c>
      <c r="I1021">
        <f t="shared" si="17"/>
        <v>9</v>
      </c>
    </row>
    <row r="1022" spans="1:9">
      <c r="A1022" s="1">
        <v>42783.881944444445</v>
      </c>
      <c r="B1022" s="19">
        <v>42486</v>
      </c>
      <c r="C1022" s="21">
        <v>0.75138888888888888</v>
      </c>
      <c r="D1022" s="20" t="s">
        <v>3045</v>
      </c>
      <c r="E1022" t="s">
        <v>2</v>
      </c>
      <c r="F1022" t="s">
        <v>5</v>
      </c>
      <c r="G1022" t="s">
        <v>1359</v>
      </c>
      <c r="H1022">
        <v>13</v>
      </c>
      <c r="I1022">
        <f t="shared" si="17"/>
        <v>17</v>
      </c>
    </row>
    <row r="1023" spans="1:9">
      <c r="A1023" s="1">
        <v>42783.881944444445</v>
      </c>
      <c r="B1023" s="19">
        <v>42486</v>
      </c>
      <c r="C1023" s="21">
        <v>0.72430555555555554</v>
      </c>
      <c r="D1023" s="20" t="s">
        <v>3044</v>
      </c>
      <c r="E1023" t="s">
        <v>2</v>
      </c>
      <c r="F1023" t="s">
        <v>5</v>
      </c>
      <c r="G1023" t="s">
        <v>2433</v>
      </c>
      <c r="H1023">
        <v>46</v>
      </c>
      <c r="I1023">
        <f t="shared" si="17"/>
        <v>58</v>
      </c>
    </row>
    <row r="1024" spans="1:9">
      <c r="A1024" s="1">
        <v>42783.881944444445</v>
      </c>
      <c r="B1024" s="19">
        <v>42486</v>
      </c>
      <c r="C1024" s="21">
        <v>0.7104166666666667</v>
      </c>
      <c r="D1024" s="20" t="s">
        <v>3044</v>
      </c>
      <c r="E1024" t="s">
        <v>6</v>
      </c>
      <c r="F1024" t="s">
        <v>7</v>
      </c>
      <c r="G1024" t="s">
        <v>82</v>
      </c>
      <c r="H1024">
        <v>28</v>
      </c>
      <c r="I1024">
        <f t="shared" si="17"/>
        <v>35</v>
      </c>
    </row>
    <row r="1025" spans="1:9">
      <c r="A1025" s="1">
        <v>42783.881944444445</v>
      </c>
      <c r="B1025" s="19">
        <v>42486</v>
      </c>
      <c r="C1025" s="21">
        <v>0.69791666666666663</v>
      </c>
      <c r="D1025" s="20" t="s">
        <v>3043</v>
      </c>
      <c r="E1025" t="s">
        <v>6</v>
      </c>
      <c r="F1025" t="s">
        <v>7</v>
      </c>
      <c r="G1025" t="s">
        <v>2434</v>
      </c>
      <c r="H1025">
        <v>19</v>
      </c>
      <c r="I1025">
        <f t="shared" si="17"/>
        <v>24</v>
      </c>
    </row>
    <row r="1026" spans="1:9">
      <c r="A1026" s="1">
        <v>42783.798611111109</v>
      </c>
      <c r="B1026" s="19">
        <v>42486</v>
      </c>
      <c r="C1026" s="21">
        <v>0.60833333333333328</v>
      </c>
      <c r="D1026" s="20" t="s">
        <v>3040</v>
      </c>
      <c r="E1026" t="s">
        <v>2</v>
      </c>
      <c r="F1026" t="s">
        <v>5</v>
      </c>
      <c r="G1026" t="s">
        <v>2436</v>
      </c>
      <c r="H1026">
        <v>69</v>
      </c>
      <c r="I1026">
        <f t="shared" si="17"/>
        <v>86</v>
      </c>
    </row>
    <row r="1027" spans="1:9">
      <c r="A1027" s="1">
        <v>42783.798611111109</v>
      </c>
      <c r="B1027" s="19">
        <v>42486</v>
      </c>
      <c r="C1027" s="21">
        <v>0.60763888888888884</v>
      </c>
      <c r="D1027" s="20" t="s">
        <v>3040</v>
      </c>
      <c r="E1027" t="s">
        <v>6</v>
      </c>
      <c r="F1027" t="s">
        <v>7</v>
      </c>
      <c r="G1027" t="s">
        <v>2437</v>
      </c>
      <c r="H1027">
        <v>7</v>
      </c>
      <c r="I1027">
        <f t="shared" ref="I1027:I1090" si="18">ROUNDUP((H1027*1.24), 0)</f>
        <v>9</v>
      </c>
    </row>
    <row r="1028" spans="1:9">
      <c r="A1028" s="1">
        <v>42783.798611111109</v>
      </c>
      <c r="B1028" s="19">
        <v>42487</v>
      </c>
      <c r="C1028" s="21">
        <v>0.91249999999999998</v>
      </c>
      <c r="D1028" s="20" t="s">
        <v>3048</v>
      </c>
      <c r="E1028" t="s">
        <v>18</v>
      </c>
      <c r="F1028" t="s">
        <v>71</v>
      </c>
      <c r="G1028" t="s">
        <v>1641</v>
      </c>
      <c r="H1028" t="e">
        <v>#VALUE!</v>
      </c>
      <c r="I1028" t="e">
        <f t="shared" si="18"/>
        <v>#VALUE!</v>
      </c>
    </row>
    <row r="1029" spans="1:9">
      <c r="A1029" s="1">
        <v>42783.798611111109</v>
      </c>
      <c r="B1029" s="19">
        <v>42487</v>
      </c>
      <c r="C1029" s="21">
        <v>0.91249999999999998</v>
      </c>
      <c r="D1029" s="20" t="s">
        <v>3048</v>
      </c>
      <c r="E1029" t="s">
        <v>0</v>
      </c>
      <c r="F1029" t="s">
        <v>10</v>
      </c>
      <c r="G1029" t="s">
        <v>2423</v>
      </c>
      <c r="H1029">
        <v>13</v>
      </c>
      <c r="I1029">
        <f t="shared" si="18"/>
        <v>17</v>
      </c>
    </row>
    <row r="1030" spans="1:9">
      <c r="A1030" s="1">
        <v>42783.798611111109</v>
      </c>
      <c r="B1030" s="19">
        <v>42487</v>
      </c>
      <c r="C1030" s="21">
        <v>0.90763888888888888</v>
      </c>
      <c r="D1030" s="20" t="s">
        <v>3048</v>
      </c>
      <c r="E1030" t="s">
        <v>0</v>
      </c>
      <c r="F1030" t="s">
        <v>10</v>
      </c>
      <c r="G1030" t="s">
        <v>2358</v>
      </c>
      <c r="H1030">
        <v>13</v>
      </c>
      <c r="I1030">
        <f t="shared" si="18"/>
        <v>17</v>
      </c>
    </row>
    <row r="1031" spans="1:9">
      <c r="A1031" s="1">
        <v>42783.798611111109</v>
      </c>
      <c r="B1031" s="19">
        <v>42487</v>
      </c>
      <c r="C1031" s="21">
        <v>0.58958333333333335</v>
      </c>
      <c r="D1031" s="20" t="s">
        <v>3040</v>
      </c>
      <c r="E1031" t="s">
        <v>33</v>
      </c>
      <c r="F1031" t="s">
        <v>44</v>
      </c>
      <c r="G1031" t="s">
        <v>2425</v>
      </c>
      <c r="H1031">
        <v>38</v>
      </c>
      <c r="I1031">
        <f t="shared" si="18"/>
        <v>48</v>
      </c>
    </row>
    <row r="1032" spans="1:9">
      <c r="A1032" s="1">
        <v>42783.798611111109</v>
      </c>
      <c r="B1032" s="19">
        <v>42487</v>
      </c>
      <c r="C1032" s="21">
        <v>0.49583333333333335</v>
      </c>
      <c r="D1032" s="20" t="s">
        <v>3037</v>
      </c>
      <c r="E1032" t="s">
        <v>0</v>
      </c>
      <c r="G1032" t="s">
        <v>2427</v>
      </c>
      <c r="H1032">
        <v>13</v>
      </c>
      <c r="I1032">
        <f t="shared" si="18"/>
        <v>17</v>
      </c>
    </row>
    <row r="1033" spans="1:9">
      <c r="A1033" s="1">
        <v>42783.798611111109</v>
      </c>
      <c r="B1033" s="19">
        <v>42487</v>
      </c>
      <c r="C1033" s="21">
        <v>0.11736111111111111</v>
      </c>
      <c r="D1033" s="20" t="s">
        <v>3052</v>
      </c>
      <c r="E1033" t="s">
        <v>33</v>
      </c>
      <c r="F1033" t="s">
        <v>44</v>
      </c>
      <c r="G1033" t="s">
        <v>2430</v>
      </c>
      <c r="H1033" t="e">
        <v>#VALUE!</v>
      </c>
      <c r="I1033" t="e">
        <f t="shared" si="18"/>
        <v>#VALUE!</v>
      </c>
    </row>
    <row r="1034" spans="1:9">
      <c r="A1034" s="1">
        <v>42783.798611111109</v>
      </c>
      <c r="B1034" s="19">
        <v>42487</v>
      </c>
      <c r="C1034" s="21">
        <v>3.888888888888889E-2</v>
      </c>
      <c r="D1034" s="20" t="s">
        <v>3050</v>
      </c>
      <c r="E1034" t="s">
        <v>77</v>
      </c>
      <c r="F1034" t="s">
        <v>78</v>
      </c>
      <c r="G1034" t="s">
        <v>1598</v>
      </c>
      <c r="H1034">
        <v>3</v>
      </c>
      <c r="I1034">
        <f t="shared" si="18"/>
        <v>4</v>
      </c>
    </row>
    <row r="1035" spans="1:9">
      <c r="A1035" s="1">
        <v>42783.798611111109</v>
      </c>
      <c r="B1035" s="19">
        <v>42487</v>
      </c>
      <c r="C1035" s="21">
        <v>0.83750000000000002</v>
      </c>
      <c r="D1035" s="20" t="s">
        <v>3047</v>
      </c>
      <c r="E1035" t="s">
        <v>2</v>
      </c>
      <c r="F1035" t="s">
        <v>5</v>
      </c>
      <c r="G1035" t="s">
        <v>1150</v>
      </c>
      <c r="H1035">
        <v>25</v>
      </c>
      <c r="I1035">
        <f t="shared" si="18"/>
        <v>31</v>
      </c>
    </row>
    <row r="1036" spans="1:9">
      <c r="A1036" s="1">
        <v>42783.798611111109</v>
      </c>
      <c r="B1036" s="19">
        <v>42487</v>
      </c>
      <c r="C1036" s="21">
        <v>0.83333333333333337</v>
      </c>
      <c r="D1036" s="20" t="s">
        <v>3047</v>
      </c>
      <c r="E1036" t="s">
        <v>6</v>
      </c>
      <c r="F1036" t="s">
        <v>46</v>
      </c>
      <c r="G1036" t="s">
        <v>82</v>
      </c>
      <c r="H1036">
        <v>7</v>
      </c>
      <c r="I1036">
        <f t="shared" si="18"/>
        <v>9</v>
      </c>
    </row>
    <row r="1037" spans="1:9">
      <c r="A1037" s="1">
        <v>42783.695833333331</v>
      </c>
      <c r="B1037" s="19">
        <v>42487</v>
      </c>
      <c r="C1037" s="21">
        <v>0.8</v>
      </c>
      <c r="D1037" s="20" t="s">
        <v>3046</v>
      </c>
      <c r="E1037" t="s">
        <v>6</v>
      </c>
      <c r="F1037" t="s">
        <v>26</v>
      </c>
      <c r="G1037" t="s">
        <v>2379</v>
      </c>
      <c r="H1037">
        <v>10</v>
      </c>
      <c r="I1037">
        <f t="shared" si="18"/>
        <v>13</v>
      </c>
    </row>
    <row r="1038" spans="1:9">
      <c r="A1038" s="1">
        <v>42783.695833333331</v>
      </c>
      <c r="B1038" s="19">
        <v>42487</v>
      </c>
      <c r="C1038" s="21">
        <v>0.66736111111111107</v>
      </c>
      <c r="D1038" s="20" t="s">
        <v>3043</v>
      </c>
      <c r="E1038" t="s">
        <v>2</v>
      </c>
      <c r="F1038" t="s">
        <v>5</v>
      </c>
      <c r="H1038">
        <v>20</v>
      </c>
      <c r="I1038">
        <f t="shared" si="18"/>
        <v>25</v>
      </c>
    </row>
    <row r="1039" spans="1:9">
      <c r="A1039" s="1">
        <v>42783.695833333331</v>
      </c>
      <c r="B1039" s="19">
        <v>42487</v>
      </c>
      <c r="C1039" s="21">
        <v>0.62708333333333333</v>
      </c>
      <c r="D1039" s="20" t="s">
        <v>3042</v>
      </c>
      <c r="E1039" t="s">
        <v>2</v>
      </c>
      <c r="F1039" t="s">
        <v>5</v>
      </c>
      <c r="H1039">
        <v>75</v>
      </c>
      <c r="I1039">
        <f t="shared" si="18"/>
        <v>93</v>
      </c>
    </row>
    <row r="1040" spans="1:9">
      <c r="A1040" s="1">
        <v>42783.695833333331</v>
      </c>
      <c r="B1040" s="19">
        <v>42487</v>
      </c>
      <c r="C1040" s="21">
        <v>0.61041666666666672</v>
      </c>
      <c r="D1040" s="20" t="s">
        <v>3040</v>
      </c>
      <c r="E1040" t="s">
        <v>2</v>
      </c>
      <c r="F1040" t="s">
        <v>5</v>
      </c>
      <c r="G1040" t="s">
        <v>2424</v>
      </c>
      <c r="H1040">
        <v>38</v>
      </c>
      <c r="I1040">
        <f t="shared" si="18"/>
        <v>48</v>
      </c>
    </row>
    <row r="1041" spans="1:9">
      <c r="A1041" s="1">
        <v>42783.695833333331</v>
      </c>
      <c r="B1041" s="19">
        <v>42487</v>
      </c>
      <c r="C1041" s="21">
        <v>0.5083333333333333</v>
      </c>
      <c r="D1041" s="20" t="s">
        <v>3038</v>
      </c>
      <c r="E1041" t="s">
        <v>6</v>
      </c>
      <c r="F1041" t="s">
        <v>7</v>
      </c>
      <c r="G1041" t="s">
        <v>2426</v>
      </c>
      <c r="H1041">
        <v>2</v>
      </c>
      <c r="I1041">
        <f t="shared" si="18"/>
        <v>3</v>
      </c>
    </row>
    <row r="1042" spans="1:9">
      <c r="A1042" s="1">
        <v>42783.695833333331</v>
      </c>
      <c r="B1042" s="19">
        <v>42487</v>
      </c>
      <c r="C1042" s="21">
        <v>0.43958333333333333</v>
      </c>
      <c r="D1042" s="20" t="s">
        <v>3036</v>
      </c>
      <c r="E1042" t="s">
        <v>6</v>
      </c>
      <c r="F1042" t="s">
        <v>61</v>
      </c>
      <c r="G1042" t="s">
        <v>1053</v>
      </c>
      <c r="H1042">
        <v>3</v>
      </c>
      <c r="I1042">
        <f t="shared" si="18"/>
        <v>4</v>
      </c>
    </row>
    <row r="1043" spans="1:9">
      <c r="A1043" s="1">
        <v>42783.695833333331</v>
      </c>
      <c r="B1043" s="19">
        <v>42487</v>
      </c>
      <c r="C1043" s="21">
        <v>0.28611111111111109</v>
      </c>
      <c r="D1043" s="20" t="s">
        <v>3031</v>
      </c>
      <c r="E1043" t="s">
        <v>2</v>
      </c>
      <c r="F1043" t="s">
        <v>5</v>
      </c>
      <c r="H1043">
        <v>10</v>
      </c>
      <c r="I1043">
        <f t="shared" si="18"/>
        <v>13</v>
      </c>
    </row>
    <row r="1044" spans="1:9">
      <c r="A1044" s="1">
        <v>42783.695833333331</v>
      </c>
      <c r="B1044" s="19">
        <v>42487</v>
      </c>
      <c r="C1044" s="21">
        <v>0.25416666666666665</v>
      </c>
      <c r="D1044" s="20" t="s">
        <v>3031</v>
      </c>
      <c r="E1044" t="s">
        <v>6</v>
      </c>
      <c r="F1044" t="s">
        <v>26</v>
      </c>
      <c r="G1044" t="s">
        <v>2428</v>
      </c>
      <c r="H1044">
        <v>65</v>
      </c>
      <c r="I1044">
        <f t="shared" si="18"/>
        <v>81</v>
      </c>
    </row>
    <row r="1045" spans="1:9">
      <c r="A1045" s="1">
        <v>42783.695833333331</v>
      </c>
      <c r="B1045" s="19">
        <v>42487</v>
      </c>
      <c r="C1045" s="21">
        <v>0.23333333333333334</v>
      </c>
      <c r="D1045" s="20" t="s">
        <v>3055</v>
      </c>
      <c r="E1045" t="s">
        <v>6</v>
      </c>
      <c r="F1045" t="s">
        <v>15</v>
      </c>
      <c r="G1045" t="s">
        <v>2429</v>
      </c>
      <c r="H1045">
        <v>13</v>
      </c>
      <c r="I1045">
        <f t="shared" si="18"/>
        <v>17</v>
      </c>
    </row>
    <row r="1046" spans="1:9">
      <c r="A1046" s="1">
        <v>42783.695833333331</v>
      </c>
      <c r="B1046" s="19">
        <v>42487</v>
      </c>
      <c r="C1046" s="21">
        <v>3.8194444444444448E-2</v>
      </c>
      <c r="D1046" s="20" t="s">
        <v>3050</v>
      </c>
      <c r="E1046" t="s">
        <v>6</v>
      </c>
      <c r="F1046" t="s">
        <v>12</v>
      </c>
      <c r="G1046" t="s">
        <v>1675</v>
      </c>
      <c r="H1046">
        <v>5</v>
      </c>
      <c r="I1046">
        <f t="shared" si="18"/>
        <v>7</v>
      </c>
    </row>
    <row r="1047" spans="1:9">
      <c r="A1047" s="1">
        <v>42783.695833333331</v>
      </c>
      <c r="B1047" s="19">
        <v>42488</v>
      </c>
      <c r="C1047" s="21">
        <v>0.9194444444444444</v>
      </c>
      <c r="D1047" s="20" t="s">
        <v>3049</v>
      </c>
      <c r="E1047" t="s">
        <v>18</v>
      </c>
      <c r="F1047" t="s">
        <v>71</v>
      </c>
      <c r="G1047" t="s">
        <v>1614</v>
      </c>
      <c r="H1047" t="e">
        <v>#VALUE!</v>
      </c>
      <c r="I1047" t="e">
        <f t="shared" si="18"/>
        <v>#VALUE!</v>
      </c>
    </row>
    <row r="1048" spans="1:9">
      <c r="A1048" s="1">
        <v>42783.656944444447</v>
      </c>
      <c r="B1048" s="19">
        <v>42488</v>
      </c>
      <c r="C1048" s="21">
        <v>0.875</v>
      </c>
      <c r="D1048" s="20" t="s">
        <v>3048</v>
      </c>
      <c r="H1048">
        <v>0</v>
      </c>
      <c r="I1048">
        <f t="shared" si="18"/>
        <v>0</v>
      </c>
    </row>
    <row r="1049" spans="1:9">
      <c r="A1049" s="1">
        <v>42783.656944444447</v>
      </c>
      <c r="B1049" s="19">
        <v>42488</v>
      </c>
      <c r="C1049" s="21">
        <v>0.24305555555555555</v>
      </c>
      <c r="D1049" s="20" t="s">
        <v>3055</v>
      </c>
      <c r="E1049" t="s">
        <v>0</v>
      </c>
      <c r="F1049" t="s">
        <v>10</v>
      </c>
      <c r="G1049" t="s">
        <v>2357</v>
      </c>
      <c r="H1049">
        <v>13</v>
      </c>
      <c r="I1049">
        <f t="shared" si="18"/>
        <v>17</v>
      </c>
    </row>
    <row r="1050" spans="1:9">
      <c r="A1050" s="1">
        <v>42783.656944444447</v>
      </c>
      <c r="B1050" s="19">
        <v>42488</v>
      </c>
      <c r="C1050" s="21">
        <v>0.12986111111111112</v>
      </c>
      <c r="D1050" s="20" t="s">
        <v>3053</v>
      </c>
      <c r="E1050" t="s">
        <v>77</v>
      </c>
      <c r="F1050" t="s">
        <v>78</v>
      </c>
      <c r="G1050" t="s">
        <v>1598</v>
      </c>
      <c r="H1050">
        <v>3</v>
      </c>
      <c r="I1050">
        <f t="shared" si="18"/>
        <v>4</v>
      </c>
    </row>
    <row r="1051" spans="1:9">
      <c r="A1051" s="1">
        <v>42783.656944444447</v>
      </c>
      <c r="B1051" s="19">
        <v>42488</v>
      </c>
      <c r="C1051" s="21">
        <v>3.4722222222222224E-2</v>
      </c>
      <c r="D1051" s="20" t="s">
        <v>3050</v>
      </c>
      <c r="E1051" t="s">
        <v>33</v>
      </c>
      <c r="F1051" t="s">
        <v>44</v>
      </c>
      <c r="G1051" t="s">
        <v>2422</v>
      </c>
      <c r="H1051" t="e">
        <v>#VALUE!</v>
      </c>
      <c r="I1051" t="e">
        <f t="shared" si="18"/>
        <v>#VALUE!</v>
      </c>
    </row>
    <row r="1052" spans="1:9">
      <c r="A1052" s="1">
        <v>42783.656944444447</v>
      </c>
      <c r="B1052" s="19">
        <v>42488</v>
      </c>
      <c r="C1052" s="21">
        <v>0.96250000000000002</v>
      </c>
      <c r="D1052" s="20" t="s">
        <v>3063</v>
      </c>
      <c r="E1052" t="s">
        <v>2</v>
      </c>
      <c r="F1052" t="s">
        <v>56</v>
      </c>
      <c r="G1052" t="s">
        <v>1827</v>
      </c>
      <c r="H1052">
        <v>20</v>
      </c>
      <c r="I1052">
        <f t="shared" si="18"/>
        <v>25</v>
      </c>
    </row>
    <row r="1053" spans="1:9">
      <c r="A1053" s="1">
        <v>42783.656944444447</v>
      </c>
      <c r="B1053" s="19">
        <v>42488</v>
      </c>
      <c r="C1053" s="21">
        <v>0.31944444444444442</v>
      </c>
      <c r="D1053" s="20" t="s">
        <v>3033</v>
      </c>
      <c r="E1053" t="s">
        <v>2</v>
      </c>
      <c r="F1053" t="s">
        <v>5</v>
      </c>
      <c r="G1053" t="s">
        <v>2418</v>
      </c>
      <c r="H1053" t="e">
        <v>#VALUE!</v>
      </c>
      <c r="I1053" t="e">
        <f t="shared" si="18"/>
        <v>#VALUE!</v>
      </c>
    </row>
    <row r="1054" spans="1:9">
      <c r="A1054" s="1">
        <v>42783.656944444447</v>
      </c>
      <c r="B1054" s="19">
        <v>42488</v>
      </c>
      <c r="C1054" s="21">
        <v>0.27430555555555558</v>
      </c>
      <c r="D1054" s="20" t="s">
        <v>3031</v>
      </c>
      <c r="E1054" t="s">
        <v>2</v>
      </c>
      <c r="G1054" t="s">
        <v>2419</v>
      </c>
      <c r="H1054">
        <v>13</v>
      </c>
      <c r="I1054">
        <f t="shared" si="18"/>
        <v>17</v>
      </c>
    </row>
    <row r="1055" spans="1:9">
      <c r="A1055" s="1">
        <v>42783.656944444447</v>
      </c>
      <c r="B1055" s="19">
        <v>42488</v>
      </c>
      <c r="C1055" s="21">
        <v>0.25416666666666665</v>
      </c>
      <c r="D1055" s="20" t="s">
        <v>3031</v>
      </c>
      <c r="E1055" t="s">
        <v>6</v>
      </c>
      <c r="F1055" t="s">
        <v>7</v>
      </c>
      <c r="G1055" t="s">
        <v>2420</v>
      </c>
      <c r="H1055">
        <v>75</v>
      </c>
      <c r="I1055">
        <f t="shared" si="18"/>
        <v>93</v>
      </c>
    </row>
    <row r="1056" spans="1:9">
      <c r="A1056" s="1">
        <v>42783.656944444447</v>
      </c>
      <c r="B1056" s="19">
        <v>42488</v>
      </c>
      <c r="C1056" s="21">
        <v>4.0972222222222222E-2</v>
      </c>
      <c r="D1056" s="20" t="s">
        <v>3050</v>
      </c>
      <c r="E1056" t="s">
        <v>6</v>
      </c>
      <c r="F1056" t="s">
        <v>7</v>
      </c>
      <c r="G1056" t="s">
        <v>2421</v>
      </c>
      <c r="H1056">
        <v>50</v>
      </c>
      <c r="I1056">
        <f t="shared" si="18"/>
        <v>62</v>
      </c>
    </row>
    <row r="1057" spans="1:9">
      <c r="A1057" s="1">
        <v>42783.656944444447</v>
      </c>
      <c r="B1057" s="19">
        <v>42489</v>
      </c>
      <c r="C1057" s="21">
        <v>0.95833333333333337</v>
      </c>
      <c r="D1057" s="20" t="s">
        <v>3063</v>
      </c>
      <c r="E1057" t="s">
        <v>18</v>
      </c>
      <c r="F1057" t="s">
        <v>19</v>
      </c>
      <c r="H1057">
        <v>7</v>
      </c>
      <c r="I1057">
        <f t="shared" si="18"/>
        <v>9</v>
      </c>
    </row>
    <row r="1058" spans="1:9">
      <c r="A1058" s="1">
        <v>42783.656944444447</v>
      </c>
      <c r="B1058" s="19">
        <v>42489</v>
      </c>
      <c r="C1058" s="21">
        <v>0.91666666666666663</v>
      </c>
      <c r="D1058" s="20" t="s">
        <v>3049</v>
      </c>
      <c r="E1058" t="s">
        <v>18</v>
      </c>
      <c r="F1058" t="s">
        <v>71</v>
      </c>
      <c r="G1058" t="s">
        <v>1614</v>
      </c>
      <c r="H1058" t="e">
        <v>#VALUE!</v>
      </c>
      <c r="I1058" t="e">
        <f t="shared" si="18"/>
        <v>#VALUE!</v>
      </c>
    </row>
    <row r="1059" spans="1:9">
      <c r="A1059" s="1">
        <v>42783.584027777775</v>
      </c>
      <c r="B1059" s="19">
        <v>42489</v>
      </c>
      <c r="C1059" s="21">
        <v>0.81180555555555556</v>
      </c>
      <c r="D1059" s="20" t="s">
        <v>3046</v>
      </c>
      <c r="E1059" t="s">
        <v>0</v>
      </c>
      <c r="G1059" t="s">
        <v>2406</v>
      </c>
      <c r="H1059">
        <v>2</v>
      </c>
      <c r="I1059">
        <f t="shared" si="18"/>
        <v>3</v>
      </c>
    </row>
    <row r="1060" spans="1:9">
      <c r="A1060" s="1">
        <v>42783.584027777775</v>
      </c>
      <c r="B1060" s="19">
        <v>42489</v>
      </c>
      <c r="C1060" s="21">
        <v>0.70763888888888893</v>
      </c>
      <c r="D1060" s="20" t="s">
        <v>3043</v>
      </c>
      <c r="E1060" t="s">
        <v>0</v>
      </c>
      <c r="G1060" t="s">
        <v>2408</v>
      </c>
      <c r="H1060">
        <v>75</v>
      </c>
      <c r="I1060">
        <f t="shared" si="18"/>
        <v>93</v>
      </c>
    </row>
    <row r="1061" spans="1:9">
      <c r="A1061" s="1">
        <v>42783.584027777775</v>
      </c>
      <c r="B1061" s="19">
        <v>42489</v>
      </c>
      <c r="C1061" s="21">
        <v>0.64166666666666672</v>
      </c>
      <c r="D1061" s="20" t="s">
        <v>3042</v>
      </c>
      <c r="E1061" t="s">
        <v>0</v>
      </c>
      <c r="G1061" t="s">
        <v>2410</v>
      </c>
      <c r="H1061">
        <v>13</v>
      </c>
      <c r="I1061">
        <f t="shared" si="18"/>
        <v>17</v>
      </c>
    </row>
    <row r="1062" spans="1:9">
      <c r="A1062" s="1">
        <v>42783.584027777775</v>
      </c>
      <c r="B1062" s="19">
        <v>42489</v>
      </c>
      <c r="C1062" s="21">
        <v>0.64027777777777772</v>
      </c>
      <c r="D1062" s="20" t="s">
        <v>3042</v>
      </c>
      <c r="E1062" t="s">
        <v>33</v>
      </c>
      <c r="F1062" t="s">
        <v>44</v>
      </c>
      <c r="G1062" t="s">
        <v>2411</v>
      </c>
      <c r="H1062">
        <v>62</v>
      </c>
      <c r="I1062">
        <f t="shared" si="18"/>
        <v>77</v>
      </c>
    </row>
    <row r="1063" spans="1:9">
      <c r="A1063" s="1">
        <v>42783.584027777775</v>
      </c>
      <c r="B1063" s="19">
        <v>42489</v>
      </c>
      <c r="C1063" s="21">
        <v>0.53611111111111109</v>
      </c>
      <c r="D1063" s="20" t="s">
        <v>3038</v>
      </c>
      <c r="E1063" t="s">
        <v>77</v>
      </c>
      <c r="G1063" t="s">
        <v>2413</v>
      </c>
      <c r="H1063">
        <v>7</v>
      </c>
      <c r="I1063">
        <f t="shared" si="18"/>
        <v>9</v>
      </c>
    </row>
    <row r="1064" spans="1:9">
      <c r="A1064" s="1">
        <v>42783.584027777775</v>
      </c>
      <c r="B1064" s="19">
        <v>42489</v>
      </c>
      <c r="C1064" s="21">
        <v>0.38819444444444445</v>
      </c>
      <c r="D1064" s="20" t="s">
        <v>3035</v>
      </c>
      <c r="E1064" t="s">
        <v>33</v>
      </c>
      <c r="F1064" t="s">
        <v>44</v>
      </c>
      <c r="G1064" t="s">
        <v>2415</v>
      </c>
      <c r="H1064">
        <v>2</v>
      </c>
      <c r="I1064">
        <f t="shared" si="18"/>
        <v>3</v>
      </c>
    </row>
    <row r="1065" spans="1:9">
      <c r="A1065" s="1">
        <v>42783.584027777775</v>
      </c>
      <c r="B1065" s="19">
        <v>42489</v>
      </c>
      <c r="C1065" s="21">
        <v>0.36666666666666664</v>
      </c>
      <c r="D1065" s="20" t="s">
        <v>3034</v>
      </c>
      <c r="E1065" t="s">
        <v>0</v>
      </c>
      <c r="F1065" t="s">
        <v>1</v>
      </c>
      <c r="G1065" t="s">
        <v>2416</v>
      </c>
      <c r="H1065">
        <v>22</v>
      </c>
      <c r="I1065">
        <f t="shared" si="18"/>
        <v>28</v>
      </c>
    </row>
    <row r="1066" spans="1:9">
      <c r="A1066" s="1">
        <v>42783.584027777775</v>
      </c>
      <c r="B1066" s="19">
        <v>42489</v>
      </c>
      <c r="C1066" s="21">
        <v>0.35555555555555557</v>
      </c>
      <c r="D1066" s="20" t="s">
        <v>3034</v>
      </c>
      <c r="E1066" t="s">
        <v>730</v>
      </c>
      <c r="G1066" t="s">
        <v>2417</v>
      </c>
      <c r="H1066">
        <v>25</v>
      </c>
      <c r="I1066">
        <f t="shared" si="18"/>
        <v>31</v>
      </c>
    </row>
    <row r="1067" spans="1:9">
      <c r="A1067" s="1">
        <v>42783.584027777775</v>
      </c>
      <c r="B1067" s="19">
        <v>42489</v>
      </c>
      <c r="C1067" s="21">
        <v>9.7916666666666666E-2</v>
      </c>
      <c r="D1067" s="20" t="s">
        <v>3052</v>
      </c>
      <c r="E1067" t="s">
        <v>77</v>
      </c>
      <c r="F1067" t="s">
        <v>78</v>
      </c>
      <c r="G1067" t="s">
        <v>1598</v>
      </c>
      <c r="H1067">
        <v>3</v>
      </c>
      <c r="I1067">
        <f t="shared" si="18"/>
        <v>4</v>
      </c>
    </row>
    <row r="1068" spans="1:9">
      <c r="A1068" s="1">
        <v>42783.584027777775</v>
      </c>
      <c r="B1068" s="19">
        <v>42489</v>
      </c>
      <c r="C1068" s="21">
        <v>0.89652777777777781</v>
      </c>
      <c r="D1068" s="20" t="s">
        <v>3048</v>
      </c>
      <c r="E1068" t="s">
        <v>6</v>
      </c>
      <c r="F1068" t="s">
        <v>12</v>
      </c>
      <c r="G1068" t="s">
        <v>2405</v>
      </c>
      <c r="H1068">
        <v>8</v>
      </c>
      <c r="I1068">
        <f t="shared" si="18"/>
        <v>10</v>
      </c>
    </row>
    <row r="1069" spans="1:9">
      <c r="A1069" s="1">
        <v>42783.584027777775</v>
      </c>
      <c r="B1069" s="19">
        <v>42489</v>
      </c>
      <c r="C1069" s="21">
        <v>0.75</v>
      </c>
      <c r="D1069" s="20" t="s">
        <v>3045</v>
      </c>
      <c r="E1069" t="s">
        <v>2</v>
      </c>
      <c r="F1069" t="s">
        <v>5</v>
      </c>
      <c r="G1069" t="s">
        <v>2407</v>
      </c>
      <c r="H1069">
        <v>38</v>
      </c>
      <c r="I1069">
        <f t="shared" si="18"/>
        <v>48</v>
      </c>
    </row>
    <row r="1070" spans="1:9">
      <c r="A1070" s="1">
        <v>42783.515277777777</v>
      </c>
      <c r="B1070" s="19">
        <v>42489</v>
      </c>
      <c r="C1070" s="21">
        <v>0.66874999999999996</v>
      </c>
      <c r="D1070" s="20" t="s">
        <v>3043</v>
      </c>
      <c r="E1070" t="s">
        <v>2</v>
      </c>
      <c r="F1070" t="s">
        <v>5</v>
      </c>
      <c r="G1070" t="s">
        <v>2409</v>
      </c>
      <c r="H1070">
        <v>75</v>
      </c>
      <c r="I1070">
        <f t="shared" si="18"/>
        <v>93</v>
      </c>
    </row>
    <row r="1071" spans="1:9">
      <c r="A1071" s="1">
        <v>42783.25277777778</v>
      </c>
      <c r="B1071" s="19">
        <v>42489</v>
      </c>
      <c r="C1071" s="21">
        <v>0.64166666666666672</v>
      </c>
      <c r="D1071" s="20" t="s">
        <v>3042</v>
      </c>
      <c r="E1071" t="s">
        <v>2</v>
      </c>
      <c r="F1071" t="s">
        <v>5</v>
      </c>
      <c r="G1071" t="s">
        <v>2409</v>
      </c>
      <c r="H1071">
        <v>75</v>
      </c>
      <c r="I1071">
        <f t="shared" si="18"/>
        <v>93</v>
      </c>
    </row>
    <row r="1072" spans="1:9">
      <c r="A1072" s="1">
        <v>42783.252083333333</v>
      </c>
      <c r="B1072" s="19">
        <v>42489</v>
      </c>
      <c r="C1072" s="21">
        <v>0.60138888888888886</v>
      </c>
      <c r="D1072" s="20" t="s">
        <v>3040</v>
      </c>
      <c r="E1072" t="s">
        <v>2</v>
      </c>
      <c r="F1072" t="s">
        <v>5</v>
      </c>
      <c r="G1072" t="s">
        <v>2412</v>
      </c>
      <c r="H1072">
        <v>30</v>
      </c>
      <c r="I1072">
        <f t="shared" si="18"/>
        <v>38</v>
      </c>
    </row>
    <row r="1073" spans="1:9">
      <c r="A1073" s="1">
        <v>42783.252083333333</v>
      </c>
      <c r="B1073" s="19">
        <v>42489</v>
      </c>
      <c r="C1073" s="21">
        <v>0.52569444444444446</v>
      </c>
      <c r="D1073" s="20" t="s">
        <v>3038</v>
      </c>
      <c r="E1073" t="s">
        <v>2</v>
      </c>
      <c r="F1073" t="s">
        <v>3</v>
      </c>
      <c r="G1073" t="s">
        <v>454</v>
      </c>
      <c r="H1073">
        <v>10</v>
      </c>
      <c r="I1073">
        <f t="shared" si="18"/>
        <v>13</v>
      </c>
    </row>
    <row r="1074" spans="1:9">
      <c r="A1074" s="1">
        <v>42783.006944444445</v>
      </c>
      <c r="B1074" s="19">
        <v>42489</v>
      </c>
      <c r="C1074" s="21">
        <v>0.49166666666666664</v>
      </c>
      <c r="D1074" s="20" t="s">
        <v>3037</v>
      </c>
      <c r="E1074" t="s">
        <v>6</v>
      </c>
      <c r="F1074" t="s">
        <v>167</v>
      </c>
      <c r="G1074" t="s">
        <v>2414</v>
      </c>
      <c r="H1074">
        <v>7</v>
      </c>
      <c r="I1074">
        <f t="shared" si="18"/>
        <v>9</v>
      </c>
    </row>
    <row r="1075" spans="1:9">
      <c r="A1075" s="1">
        <v>42782.729861111111</v>
      </c>
      <c r="B1075" s="19">
        <v>42490</v>
      </c>
      <c r="C1075" s="21">
        <v>0.24166666666666667</v>
      </c>
      <c r="D1075" s="20" t="s">
        <v>3055</v>
      </c>
      <c r="E1075" t="s">
        <v>0</v>
      </c>
      <c r="G1075" t="s">
        <v>2401</v>
      </c>
      <c r="H1075">
        <v>7</v>
      </c>
      <c r="I1075">
        <f t="shared" si="18"/>
        <v>9</v>
      </c>
    </row>
    <row r="1076" spans="1:9">
      <c r="A1076" s="1">
        <v>42782.709722222222</v>
      </c>
      <c r="B1076" s="19">
        <v>42490</v>
      </c>
      <c r="C1076" s="21">
        <v>0.17291666666666666</v>
      </c>
      <c r="D1076" s="20" t="s">
        <v>3054</v>
      </c>
      <c r="E1076" t="s">
        <v>0</v>
      </c>
      <c r="G1076" t="s">
        <v>942</v>
      </c>
      <c r="H1076" t="e">
        <v>#VALUE!</v>
      </c>
      <c r="I1076" t="e">
        <f t="shared" si="18"/>
        <v>#VALUE!</v>
      </c>
    </row>
    <row r="1077" spans="1:9">
      <c r="A1077" s="1">
        <v>42782.630555555559</v>
      </c>
      <c r="B1077" s="19">
        <v>42490</v>
      </c>
      <c r="C1077" s="21">
        <v>0.23055555555555557</v>
      </c>
      <c r="D1077" s="20" t="s">
        <v>3055</v>
      </c>
      <c r="E1077" t="s">
        <v>6</v>
      </c>
      <c r="F1077" t="s">
        <v>46</v>
      </c>
      <c r="G1077" t="s">
        <v>2402</v>
      </c>
      <c r="H1077" t="e">
        <v>#VALUE!</v>
      </c>
      <c r="I1077" t="e">
        <f t="shared" si="18"/>
        <v>#VALUE!</v>
      </c>
    </row>
    <row r="1078" spans="1:9">
      <c r="A1078" s="1">
        <v>42782.427777777775</v>
      </c>
      <c r="B1078" s="19">
        <v>42490</v>
      </c>
      <c r="C1078" s="21">
        <v>0.17152777777777778</v>
      </c>
      <c r="D1078" s="20" t="s">
        <v>3054</v>
      </c>
      <c r="E1078" t="s">
        <v>6</v>
      </c>
      <c r="F1078" t="s">
        <v>15</v>
      </c>
      <c r="G1078" t="s">
        <v>2403</v>
      </c>
      <c r="H1078">
        <v>25</v>
      </c>
      <c r="I1078">
        <f t="shared" si="18"/>
        <v>31</v>
      </c>
    </row>
    <row r="1079" spans="1:9">
      <c r="A1079" s="1">
        <v>42782.328472222223</v>
      </c>
      <c r="B1079" s="19">
        <v>42490</v>
      </c>
      <c r="C1079" s="21">
        <v>0.1673611111111111</v>
      </c>
      <c r="D1079" s="20" t="s">
        <v>3054</v>
      </c>
      <c r="E1079" t="s">
        <v>6</v>
      </c>
      <c r="F1079" t="s">
        <v>46</v>
      </c>
      <c r="G1079" t="s">
        <v>2404</v>
      </c>
      <c r="H1079">
        <v>4</v>
      </c>
      <c r="I1079">
        <f t="shared" si="18"/>
        <v>5</v>
      </c>
    </row>
    <row r="1080" spans="1:9">
      <c r="A1080" s="1">
        <v>42782.318749999999</v>
      </c>
      <c r="B1080" s="19">
        <v>42494</v>
      </c>
      <c r="C1080" s="21">
        <v>0.80069444444444449</v>
      </c>
      <c r="D1080" s="20" t="s">
        <v>3046</v>
      </c>
      <c r="E1080" t="s">
        <v>77</v>
      </c>
      <c r="F1080" t="s">
        <v>78</v>
      </c>
      <c r="G1080" t="s">
        <v>1598</v>
      </c>
      <c r="H1080">
        <v>4</v>
      </c>
      <c r="I1080">
        <f t="shared" si="18"/>
        <v>5</v>
      </c>
    </row>
    <row r="1081" spans="1:9">
      <c r="A1081" s="1">
        <v>42782.281944444447</v>
      </c>
      <c r="B1081" s="19">
        <v>42494</v>
      </c>
      <c r="C1081" s="21">
        <v>0.58263888888888893</v>
      </c>
      <c r="D1081" s="20" t="s">
        <v>3039</v>
      </c>
      <c r="E1081" t="s">
        <v>0</v>
      </c>
      <c r="G1081" t="s">
        <v>2396</v>
      </c>
      <c r="H1081">
        <v>7</v>
      </c>
      <c r="I1081">
        <f t="shared" si="18"/>
        <v>9</v>
      </c>
    </row>
    <row r="1082" spans="1:9">
      <c r="A1082" s="1">
        <v>42782.188194444447</v>
      </c>
      <c r="B1082" s="19">
        <v>42494</v>
      </c>
      <c r="C1082" s="21">
        <v>0.54236111111111107</v>
      </c>
      <c r="D1082" s="20" t="s">
        <v>3039</v>
      </c>
      <c r="E1082" t="s">
        <v>0</v>
      </c>
      <c r="G1082" t="s">
        <v>1924</v>
      </c>
      <c r="H1082">
        <v>13</v>
      </c>
      <c r="I1082">
        <f t="shared" si="18"/>
        <v>17</v>
      </c>
    </row>
    <row r="1083" spans="1:9">
      <c r="A1083" s="1">
        <v>42782.18472222222</v>
      </c>
      <c r="B1083" s="19">
        <v>42494</v>
      </c>
      <c r="C1083" s="21">
        <v>0.5180555555555556</v>
      </c>
      <c r="D1083" s="20" t="s">
        <v>3038</v>
      </c>
      <c r="E1083" t="s">
        <v>0</v>
      </c>
      <c r="G1083" t="s">
        <v>1924</v>
      </c>
      <c r="H1083">
        <v>43</v>
      </c>
      <c r="I1083">
        <f t="shared" si="18"/>
        <v>54</v>
      </c>
    </row>
    <row r="1084" spans="1:9">
      <c r="A1084" s="1">
        <v>42782.001388888886</v>
      </c>
      <c r="B1084" s="19">
        <v>42494</v>
      </c>
      <c r="C1084" s="21">
        <v>0.49236111111111114</v>
      </c>
      <c r="D1084" s="20" t="s">
        <v>3037</v>
      </c>
      <c r="E1084" t="s">
        <v>2</v>
      </c>
      <c r="F1084" t="s">
        <v>3</v>
      </c>
      <c r="G1084" t="s">
        <v>2397</v>
      </c>
      <c r="H1084">
        <v>8</v>
      </c>
      <c r="I1084">
        <f t="shared" si="18"/>
        <v>10</v>
      </c>
    </row>
    <row r="1085" spans="1:9">
      <c r="A1085" s="1">
        <v>42782.584027777775</v>
      </c>
      <c r="B1085" s="19">
        <v>42494</v>
      </c>
      <c r="C1085" s="21">
        <v>0.37638888888888888</v>
      </c>
      <c r="D1085" s="20" t="s">
        <v>3035</v>
      </c>
      <c r="E1085" t="s">
        <v>6</v>
      </c>
      <c r="F1085" t="s">
        <v>89</v>
      </c>
      <c r="G1085" t="s">
        <v>2398</v>
      </c>
      <c r="H1085">
        <v>15</v>
      </c>
      <c r="I1085">
        <f t="shared" si="18"/>
        <v>19</v>
      </c>
    </row>
    <row r="1086" spans="1:9">
      <c r="A1086" s="1">
        <v>42782.525694444441</v>
      </c>
      <c r="B1086" s="19">
        <v>42494</v>
      </c>
      <c r="C1086" s="21">
        <v>0.29583333333333334</v>
      </c>
      <c r="D1086" s="20" t="s">
        <v>3033</v>
      </c>
      <c r="E1086" t="s">
        <v>6</v>
      </c>
      <c r="F1086" t="s">
        <v>15</v>
      </c>
      <c r="G1086" t="s">
        <v>2399</v>
      </c>
      <c r="H1086">
        <v>0</v>
      </c>
      <c r="I1086">
        <f t="shared" si="18"/>
        <v>0</v>
      </c>
    </row>
    <row r="1087" spans="1:9">
      <c r="A1087" s="1">
        <v>42782.522222222222</v>
      </c>
      <c r="B1087" s="19">
        <v>42494</v>
      </c>
      <c r="C1087" s="21">
        <v>0.25277777777777777</v>
      </c>
      <c r="D1087" s="20" t="s">
        <v>3031</v>
      </c>
      <c r="E1087" t="s">
        <v>2</v>
      </c>
      <c r="F1087" t="s">
        <v>56</v>
      </c>
      <c r="G1087" t="s">
        <v>2400</v>
      </c>
      <c r="H1087">
        <v>69</v>
      </c>
      <c r="I1087">
        <f t="shared" si="18"/>
        <v>86</v>
      </c>
    </row>
    <row r="1088" spans="1:9">
      <c r="A1088" s="1">
        <v>42782.439583333333</v>
      </c>
      <c r="B1088" s="19">
        <v>42495</v>
      </c>
      <c r="C1088" s="21">
        <v>0.89583333333333337</v>
      </c>
      <c r="D1088" s="20" t="s">
        <v>3048</v>
      </c>
      <c r="E1088" t="s">
        <v>0</v>
      </c>
      <c r="G1088" t="s">
        <v>2383</v>
      </c>
      <c r="H1088">
        <v>25</v>
      </c>
      <c r="I1088">
        <f t="shared" si="18"/>
        <v>31</v>
      </c>
    </row>
    <row r="1089" spans="1:9">
      <c r="A1089" s="1">
        <v>42782.261805555558</v>
      </c>
      <c r="B1089" s="19">
        <v>42495</v>
      </c>
      <c r="C1089" s="21">
        <v>0.83263888888888893</v>
      </c>
      <c r="D1089" s="20" t="s">
        <v>3046</v>
      </c>
      <c r="E1089" t="s">
        <v>77</v>
      </c>
      <c r="F1089" t="s">
        <v>159</v>
      </c>
      <c r="G1089" t="s">
        <v>2384</v>
      </c>
      <c r="H1089" t="e">
        <v>#VALUE!</v>
      </c>
      <c r="I1089" t="e">
        <f t="shared" si="18"/>
        <v>#VALUE!</v>
      </c>
    </row>
    <row r="1090" spans="1:9">
      <c r="A1090" s="1">
        <v>42782.261805555558</v>
      </c>
      <c r="B1090" s="19">
        <v>42495</v>
      </c>
      <c r="C1090" s="21">
        <v>0.66805555555555551</v>
      </c>
      <c r="D1090" s="20" t="s">
        <v>3043</v>
      </c>
      <c r="E1090" t="s">
        <v>0</v>
      </c>
      <c r="G1090" t="s">
        <v>1882</v>
      </c>
      <c r="H1090">
        <v>8</v>
      </c>
      <c r="I1090">
        <f t="shared" si="18"/>
        <v>10</v>
      </c>
    </row>
    <row r="1091" spans="1:9">
      <c r="A1091" s="1">
        <v>42782.260416666664</v>
      </c>
      <c r="B1091" s="19">
        <v>42495</v>
      </c>
      <c r="C1091" s="21">
        <v>0.59583333333333333</v>
      </c>
      <c r="D1091" s="20" t="s">
        <v>3040</v>
      </c>
      <c r="E1091" t="s">
        <v>0</v>
      </c>
      <c r="G1091" t="s">
        <v>2388</v>
      </c>
      <c r="H1091">
        <v>8</v>
      </c>
      <c r="I1091">
        <f t="shared" ref="I1091:I1154" si="19">ROUNDUP((H1091*1.24), 0)</f>
        <v>10</v>
      </c>
    </row>
    <row r="1092" spans="1:9">
      <c r="A1092" s="1">
        <v>42782.125</v>
      </c>
      <c r="B1092" s="19">
        <v>42495</v>
      </c>
      <c r="C1092" s="21">
        <v>0.58819444444444446</v>
      </c>
      <c r="D1092" s="20" t="s">
        <v>3040</v>
      </c>
      <c r="E1092" t="s">
        <v>0</v>
      </c>
      <c r="G1092" t="s">
        <v>2389</v>
      </c>
      <c r="H1092" t="e">
        <v>#VALUE!</v>
      </c>
      <c r="I1092" t="e">
        <f t="shared" si="19"/>
        <v>#VALUE!</v>
      </c>
    </row>
    <row r="1093" spans="1:9">
      <c r="A1093" s="1">
        <v>42781.966666666667</v>
      </c>
      <c r="B1093" s="19">
        <v>42495</v>
      </c>
      <c r="C1093" s="21">
        <v>0.55000000000000004</v>
      </c>
      <c r="D1093" s="20" t="s">
        <v>3039</v>
      </c>
      <c r="E1093" t="s">
        <v>0</v>
      </c>
      <c r="G1093" t="s">
        <v>1924</v>
      </c>
      <c r="H1093">
        <v>75</v>
      </c>
      <c r="I1093">
        <f t="shared" si="19"/>
        <v>93</v>
      </c>
    </row>
    <row r="1094" spans="1:9">
      <c r="A1094" s="1">
        <v>42781.511805555558</v>
      </c>
      <c r="B1094" s="19">
        <v>42495</v>
      </c>
      <c r="C1094" s="21">
        <v>0.48333333333333334</v>
      </c>
      <c r="D1094" s="20" t="s">
        <v>3037</v>
      </c>
      <c r="E1094" t="s">
        <v>0</v>
      </c>
      <c r="G1094" t="s">
        <v>2392</v>
      </c>
      <c r="H1094">
        <v>13</v>
      </c>
      <c r="I1094">
        <f t="shared" si="19"/>
        <v>17</v>
      </c>
    </row>
    <row r="1095" spans="1:9">
      <c r="A1095" s="1">
        <v>42781.493750000001</v>
      </c>
      <c r="B1095" s="19">
        <v>42495</v>
      </c>
      <c r="C1095" s="21">
        <v>0.22708333333333333</v>
      </c>
      <c r="D1095" s="20" t="s">
        <v>3055</v>
      </c>
      <c r="E1095" t="s">
        <v>33</v>
      </c>
      <c r="G1095" t="s">
        <v>2393</v>
      </c>
      <c r="H1095">
        <v>2</v>
      </c>
      <c r="I1095">
        <f t="shared" si="19"/>
        <v>3</v>
      </c>
    </row>
    <row r="1096" spans="1:9">
      <c r="A1096" s="1">
        <v>42781.487500000003</v>
      </c>
      <c r="B1096" s="19">
        <v>42495</v>
      </c>
      <c r="C1096" s="21">
        <v>0.93888888888888888</v>
      </c>
      <c r="D1096" s="20" t="s">
        <v>3049</v>
      </c>
      <c r="E1096" t="s">
        <v>2</v>
      </c>
      <c r="F1096" t="s">
        <v>5</v>
      </c>
      <c r="G1096" t="s">
        <v>2381</v>
      </c>
      <c r="H1096">
        <v>72</v>
      </c>
      <c r="I1096">
        <f t="shared" si="19"/>
        <v>90</v>
      </c>
    </row>
    <row r="1097" spans="1:9">
      <c r="A1097" s="1">
        <v>42781.466666666667</v>
      </c>
      <c r="B1097" s="19">
        <v>42495</v>
      </c>
      <c r="C1097" s="21">
        <v>0.91666666666666663</v>
      </c>
      <c r="D1097" s="20" t="s">
        <v>3049</v>
      </c>
      <c r="E1097" t="s">
        <v>6</v>
      </c>
      <c r="F1097" t="s">
        <v>12</v>
      </c>
      <c r="G1097" t="s">
        <v>2382</v>
      </c>
      <c r="H1097">
        <v>34</v>
      </c>
      <c r="I1097">
        <f t="shared" si="19"/>
        <v>43</v>
      </c>
    </row>
    <row r="1098" spans="1:9">
      <c r="A1098" s="1">
        <v>42781.274305555555</v>
      </c>
      <c r="B1098" s="19">
        <v>42495</v>
      </c>
      <c r="C1098" s="21">
        <v>0.89236111111111116</v>
      </c>
      <c r="D1098" s="20" t="s">
        <v>3048</v>
      </c>
      <c r="E1098" t="s">
        <v>6</v>
      </c>
      <c r="F1098" t="s">
        <v>12</v>
      </c>
      <c r="G1098" t="s">
        <v>1382</v>
      </c>
      <c r="H1098">
        <v>4</v>
      </c>
      <c r="I1098">
        <f t="shared" si="19"/>
        <v>5</v>
      </c>
    </row>
    <row r="1099" spans="1:9">
      <c r="A1099" s="1">
        <v>42781.757638888892</v>
      </c>
      <c r="B1099" s="19">
        <v>42495</v>
      </c>
      <c r="C1099" s="21">
        <v>0.7993055555555556</v>
      </c>
      <c r="D1099" s="20" t="s">
        <v>3046</v>
      </c>
      <c r="E1099" t="s">
        <v>6</v>
      </c>
      <c r="F1099" t="s">
        <v>12</v>
      </c>
      <c r="G1099" t="s">
        <v>2385</v>
      </c>
      <c r="H1099">
        <v>61</v>
      </c>
      <c r="I1099">
        <f t="shared" si="19"/>
        <v>76</v>
      </c>
    </row>
    <row r="1100" spans="1:9">
      <c r="A1100" s="1">
        <v>42781.584027777775</v>
      </c>
      <c r="B1100" s="19">
        <v>42495</v>
      </c>
      <c r="C1100" s="21">
        <v>0.75416666666666665</v>
      </c>
      <c r="D1100" s="20" t="s">
        <v>3045</v>
      </c>
      <c r="E1100" t="s">
        <v>6</v>
      </c>
      <c r="F1100" t="s">
        <v>167</v>
      </c>
      <c r="G1100" t="s">
        <v>2386</v>
      </c>
      <c r="H1100">
        <v>75</v>
      </c>
      <c r="I1100">
        <f t="shared" si="19"/>
        <v>93</v>
      </c>
    </row>
    <row r="1101" spans="1:9">
      <c r="A1101" s="1">
        <v>42781.254166666666</v>
      </c>
      <c r="B1101" s="19">
        <v>42495</v>
      </c>
      <c r="C1101" s="21">
        <v>0.64513888888888893</v>
      </c>
      <c r="D1101" s="20" t="s">
        <v>3042</v>
      </c>
      <c r="E1101" t="s">
        <v>2</v>
      </c>
      <c r="F1101" t="s">
        <v>48</v>
      </c>
      <c r="G1101" t="s">
        <v>2387</v>
      </c>
      <c r="H1101">
        <v>10</v>
      </c>
      <c r="I1101">
        <f t="shared" si="19"/>
        <v>13</v>
      </c>
    </row>
    <row r="1102" spans="1:9">
      <c r="A1102" s="1">
        <v>42781.254166666666</v>
      </c>
      <c r="B1102" s="19">
        <v>42495</v>
      </c>
      <c r="C1102" s="21">
        <v>0.53472222222222221</v>
      </c>
      <c r="D1102" s="20" t="s">
        <v>3038</v>
      </c>
      <c r="E1102" t="s">
        <v>6</v>
      </c>
      <c r="G1102" t="s">
        <v>2390</v>
      </c>
      <c r="H1102">
        <v>64</v>
      </c>
      <c r="I1102">
        <f t="shared" si="19"/>
        <v>80</v>
      </c>
    </row>
    <row r="1103" spans="1:9">
      <c r="A1103" s="1">
        <v>42781.253472222219</v>
      </c>
      <c r="B1103" s="19">
        <v>42495</v>
      </c>
      <c r="C1103" s="21">
        <v>0.49027777777777776</v>
      </c>
      <c r="D1103" s="20" t="s">
        <v>3037</v>
      </c>
      <c r="E1103" t="s">
        <v>6</v>
      </c>
      <c r="G1103" t="s">
        <v>2391</v>
      </c>
      <c r="H1103">
        <v>20</v>
      </c>
      <c r="I1103">
        <f t="shared" si="19"/>
        <v>25</v>
      </c>
    </row>
    <row r="1104" spans="1:9">
      <c r="A1104" s="1">
        <v>42780.943055555559</v>
      </c>
      <c r="B1104" s="19">
        <v>42495</v>
      </c>
      <c r="C1104" s="21">
        <v>0.19166666666666668</v>
      </c>
      <c r="D1104" s="20" t="s">
        <v>3054</v>
      </c>
      <c r="E1104" t="s">
        <v>2</v>
      </c>
      <c r="F1104" t="s">
        <v>56</v>
      </c>
      <c r="G1104" t="s">
        <v>2394</v>
      </c>
      <c r="H1104">
        <v>66</v>
      </c>
      <c r="I1104">
        <f t="shared" si="19"/>
        <v>82</v>
      </c>
    </row>
    <row r="1105" spans="1:9">
      <c r="A1105" s="1">
        <v>42780.756944444445</v>
      </c>
      <c r="B1105" s="19">
        <v>42495</v>
      </c>
      <c r="C1105" s="21">
        <v>1.8749999999999999E-2</v>
      </c>
      <c r="D1105" s="20" t="s">
        <v>3050</v>
      </c>
      <c r="E1105" t="s">
        <v>6</v>
      </c>
      <c r="F1105" t="s">
        <v>12</v>
      </c>
      <c r="G1105" t="s">
        <v>2395</v>
      </c>
      <c r="H1105">
        <v>3</v>
      </c>
      <c r="I1105">
        <f t="shared" si="19"/>
        <v>4</v>
      </c>
    </row>
    <row r="1106" spans="1:9">
      <c r="A1106" s="1">
        <v>42780.354861111111</v>
      </c>
      <c r="B1106" s="19">
        <v>42496</v>
      </c>
      <c r="C1106" s="21">
        <v>0.68888888888888888</v>
      </c>
      <c r="D1106" s="20" t="s">
        <v>3043</v>
      </c>
      <c r="E1106" t="s">
        <v>0</v>
      </c>
      <c r="G1106" t="s">
        <v>2377</v>
      </c>
      <c r="H1106" t="e">
        <v>#VALUE!</v>
      </c>
      <c r="I1106" t="e">
        <f t="shared" si="19"/>
        <v>#VALUE!</v>
      </c>
    </row>
    <row r="1107" spans="1:9">
      <c r="A1107" s="1">
        <v>42780.893750000003</v>
      </c>
      <c r="B1107" s="19">
        <v>42496</v>
      </c>
      <c r="C1107" s="21">
        <v>0.98333333333333328</v>
      </c>
      <c r="D1107" s="20" t="s">
        <v>3063</v>
      </c>
      <c r="E1107" t="s">
        <v>6</v>
      </c>
      <c r="F1107" t="s">
        <v>15</v>
      </c>
      <c r="G1107" t="s">
        <v>2372</v>
      </c>
      <c r="H1107">
        <v>8</v>
      </c>
      <c r="I1107">
        <f t="shared" si="19"/>
        <v>10</v>
      </c>
    </row>
    <row r="1108" spans="1:9">
      <c r="A1108" s="1">
        <v>42780.617361111108</v>
      </c>
      <c r="B1108" s="19">
        <v>42496</v>
      </c>
      <c r="C1108" s="21">
        <v>0.97777777777777775</v>
      </c>
      <c r="D1108" s="20" t="s">
        <v>3063</v>
      </c>
      <c r="E1108" t="s">
        <v>6</v>
      </c>
      <c r="F1108" t="s">
        <v>15</v>
      </c>
      <c r="G1108" t="s">
        <v>2373</v>
      </c>
      <c r="H1108">
        <v>13</v>
      </c>
      <c r="I1108">
        <f t="shared" si="19"/>
        <v>17</v>
      </c>
    </row>
    <row r="1109" spans="1:9">
      <c r="A1109" s="1">
        <v>42780.52847222222</v>
      </c>
      <c r="B1109" s="19">
        <v>42496</v>
      </c>
      <c r="C1109" s="21">
        <v>0.94444444444444442</v>
      </c>
      <c r="D1109" s="20" t="s">
        <v>3049</v>
      </c>
      <c r="E1109" t="s">
        <v>6</v>
      </c>
      <c r="F1109" t="s">
        <v>15</v>
      </c>
      <c r="G1109" t="s">
        <v>2374</v>
      </c>
      <c r="H1109" t="e">
        <v>#VALUE!</v>
      </c>
      <c r="I1109" t="e">
        <f t="shared" si="19"/>
        <v>#VALUE!</v>
      </c>
    </row>
    <row r="1110" spans="1:9">
      <c r="A1110" s="1">
        <v>42780.417361111111</v>
      </c>
      <c r="B1110" s="19">
        <v>42496</v>
      </c>
      <c r="C1110" s="21">
        <v>0.91874999999999996</v>
      </c>
      <c r="D1110" s="20" t="s">
        <v>3049</v>
      </c>
      <c r="E1110" t="s">
        <v>2</v>
      </c>
      <c r="F1110" t="s">
        <v>5</v>
      </c>
      <c r="H1110">
        <v>25</v>
      </c>
      <c r="I1110">
        <f t="shared" si="19"/>
        <v>31</v>
      </c>
    </row>
    <row r="1111" spans="1:9">
      <c r="A1111" s="1">
        <v>42780.388888888891</v>
      </c>
      <c r="B1111" s="19">
        <v>42496</v>
      </c>
      <c r="C1111" s="21">
        <v>0.91388888888888886</v>
      </c>
      <c r="D1111" s="20" t="s">
        <v>3048</v>
      </c>
      <c r="E1111" t="s">
        <v>6</v>
      </c>
      <c r="F1111" t="s">
        <v>26</v>
      </c>
      <c r="G1111" t="s">
        <v>1463</v>
      </c>
      <c r="H1111">
        <v>2</v>
      </c>
      <c r="I1111">
        <f t="shared" si="19"/>
        <v>3</v>
      </c>
    </row>
    <row r="1112" spans="1:9">
      <c r="A1112" s="1">
        <v>42780.256944444445</v>
      </c>
      <c r="B1112" s="19">
        <v>42496</v>
      </c>
      <c r="C1112" s="21">
        <v>0.90277777777777779</v>
      </c>
      <c r="D1112" s="20" t="s">
        <v>3048</v>
      </c>
      <c r="E1112" t="s">
        <v>6</v>
      </c>
      <c r="F1112" t="s">
        <v>754</v>
      </c>
      <c r="G1112" t="s">
        <v>1684</v>
      </c>
      <c r="H1112">
        <v>25</v>
      </c>
      <c r="I1112">
        <f t="shared" si="19"/>
        <v>31</v>
      </c>
    </row>
    <row r="1113" spans="1:9">
      <c r="A1113" s="1">
        <v>42780.254861111112</v>
      </c>
      <c r="B1113" s="19">
        <v>42496</v>
      </c>
      <c r="C1113" s="21">
        <v>0.89583333333333337</v>
      </c>
      <c r="D1113" s="20" t="s">
        <v>3048</v>
      </c>
      <c r="E1113" t="s">
        <v>6</v>
      </c>
      <c r="F1113" t="s">
        <v>7</v>
      </c>
      <c r="G1113" t="s">
        <v>2375</v>
      </c>
      <c r="H1113">
        <v>13</v>
      </c>
      <c r="I1113">
        <f t="shared" si="19"/>
        <v>17</v>
      </c>
    </row>
    <row r="1114" spans="1:9">
      <c r="A1114" s="1">
        <v>42780.252083333333</v>
      </c>
      <c r="B1114" s="19">
        <v>42496</v>
      </c>
      <c r="C1114" s="21">
        <v>0.85486111111111107</v>
      </c>
      <c r="D1114" s="20" t="s">
        <v>3047</v>
      </c>
      <c r="E1114" t="s">
        <v>6</v>
      </c>
      <c r="F1114" t="s">
        <v>15</v>
      </c>
      <c r="G1114" t="s">
        <v>2376</v>
      </c>
      <c r="H1114">
        <v>74</v>
      </c>
      <c r="I1114">
        <f t="shared" si="19"/>
        <v>92</v>
      </c>
    </row>
    <row r="1115" spans="1:9">
      <c r="A1115" s="1">
        <v>42780.243055555555</v>
      </c>
      <c r="B1115" s="19">
        <v>42496</v>
      </c>
      <c r="C1115" s="21">
        <v>0.57430555555555551</v>
      </c>
      <c r="D1115" s="20" t="s">
        <v>3039</v>
      </c>
      <c r="E1115" t="s">
        <v>6</v>
      </c>
      <c r="F1115" t="s">
        <v>21</v>
      </c>
      <c r="G1115" t="s">
        <v>2378</v>
      </c>
      <c r="H1115">
        <v>0</v>
      </c>
      <c r="I1115">
        <f t="shared" si="19"/>
        <v>0</v>
      </c>
    </row>
    <row r="1116" spans="1:9">
      <c r="A1116" s="1">
        <v>42780.127083333333</v>
      </c>
      <c r="B1116" s="19">
        <v>42496</v>
      </c>
      <c r="C1116" s="21">
        <v>0.50763888888888886</v>
      </c>
      <c r="D1116" s="20" t="s">
        <v>3038</v>
      </c>
      <c r="E1116" t="s">
        <v>6</v>
      </c>
      <c r="F1116" t="s">
        <v>21</v>
      </c>
      <c r="G1116" t="s">
        <v>2378</v>
      </c>
      <c r="H1116">
        <v>75</v>
      </c>
      <c r="I1116">
        <f t="shared" si="19"/>
        <v>93</v>
      </c>
    </row>
    <row r="1117" spans="1:9">
      <c r="A1117" s="1">
        <v>42779.773611111108</v>
      </c>
      <c r="B1117" s="19">
        <v>42496</v>
      </c>
      <c r="C1117" s="21">
        <v>0.49861111111111112</v>
      </c>
      <c r="D1117" s="20" t="s">
        <v>3037</v>
      </c>
      <c r="E1117" t="s">
        <v>6</v>
      </c>
      <c r="F1117" t="s">
        <v>21</v>
      </c>
      <c r="G1117" t="s">
        <v>2378</v>
      </c>
      <c r="H1117">
        <v>62</v>
      </c>
      <c r="I1117">
        <f t="shared" si="19"/>
        <v>77</v>
      </c>
    </row>
    <row r="1118" spans="1:9">
      <c r="A1118" s="1">
        <v>42779.546527777777</v>
      </c>
      <c r="B1118" s="19">
        <v>42496</v>
      </c>
      <c r="C1118" s="21">
        <v>0.46805555555555556</v>
      </c>
      <c r="D1118" s="20" t="s">
        <v>3037</v>
      </c>
      <c r="E1118" t="s">
        <v>6</v>
      </c>
      <c r="F1118" t="s">
        <v>26</v>
      </c>
      <c r="G1118" t="s">
        <v>2379</v>
      </c>
      <c r="H1118">
        <v>13</v>
      </c>
      <c r="I1118">
        <f t="shared" si="19"/>
        <v>17</v>
      </c>
    </row>
    <row r="1119" spans="1:9">
      <c r="A1119" s="1">
        <v>42779.540277777778</v>
      </c>
      <c r="B1119" s="19">
        <v>42496</v>
      </c>
      <c r="C1119" s="21">
        <v>0.20902777777777778</v>
      </c>
      <c r="D1119" s="20" t="s">
        <v>3055</v>
      </c>
      <c r="E1119" t="s">
        <v>6</v>
      </c>
      <c r="F1119" t="s">
        <v>15</v>
      </c>
      <c r="G1119" t="s">
        <v>2380</v>
      </c>
      <c r="H1119" t="e">
        <v>#VALUE!</v>
      </c>
      <c r="I1119" t="e">
        <f t="shared" si="19"/>
        <v>#VALUE!</v>
      </c>
    </row>
    <row r="1120" spans="1:9">
      <c r="A1120" s="1">
        <v>42779.527777777781</v>
      </c>
      <c r="B1120" s="19">
        <v>42499</v>
      </c>
      <c r="C1120" s="21">
        <v>0.90902777777777777</v>
      </c>
      <c r="D1120" s="20" t="s">
        <v>3048</v>
      </c>
      <c r="E1120" t="s">
        <v>0</v>
      </c>
      <c r="F1120" t="s">
        <v>10</v>
      </c>
      <c r="G1120" t="s">
        <v>255</v>
      </c>
      <c r="H1120">
        <v>13</v>
      </c>
      <c r="I1120">
        <f t="shared" si="19"/>
        <v>17</v>
      </c>
    </row>
    <row r="1121" spans="1:9">
      <c r="A1121" s="1">
        <v>42779.527777777781</v>
      </c>
      <c r="B1121" s="19">
        <v>42499</v>
      </c>
      <c r="C1121" s="21">
        <v>0.78541666666666665</v>
      </c>
      <c r="D1121" s="20" t="s">
        <v>3045</v>
      </c>
      <c r="E1121" t="s">
        <v>0</v>
      </c>
      <c r="F1121" t="s">
        <v>1</v>
      </c>
      <c r="G1121" t="s">
        <v>2359</v>
      </c>
      <c r="H1121">
        <v>13</v>
      </c>
      <c r="I1121">
        <f t="shared" si="19"/>
        <v>17</v>
      </c>
    </row>
    <row r="1122" spans="1:9">
      <c r="A1122" s="1">
        <v>42779.464583333334</v>
      </c>
      <c r="B1122" s="19">
        <v>42499</v>
      </c>
      <c r="C1122" s="21">
        <v>0.7</v>
      </c>
      <c r="D1122" s="20" t="s">
        <v>3043</v>
      </c>
      <c r="E1122" t="s">
        <v>33</v>
      </c>
      <c r="F1122" t="s">
        <v>155</v>
      </c>
      <c r="G1122" t="s">
        <v>2363</v>
      </c>
      <c r="H1122">
        <v>3</v>
      </c>
      <c r="I1122">
        <f t="shared" si="19"/>
        <v>4</v>
      </c>
    </row>
    <row r="1123" spans="1:9">
      <c r="A1123" s="1">
        <v>42779.429861111108</v>
      </c>
      <c r="B1123" s="19">
        <v>42499</v>
      </c>
      <c r="C1123" s="21">
        <v>0.69236111111111109</v>
      </c>
      <c r="D1123" s="20" t="s">
        <v>3043</v>
      </c>
      <c r="E1123" t="s">
        <v>0</v>
      </c>
      <c r="G1123" t="s">
        <v>454</v>
      </c>
      <c r="H1123">
        <v>5</v>
      </c>
      <c r="I1123">
        <f t="shared" si="19"/>
        <v>7</v>
      </c>
    </row>
    <row r="1124" spans="1:9">
      <c r="A1124" s="1">
        <v>42779.375694444447</v>
      </c>
      <c r="B1124" s="19">
        <v>42499</v>
      </c>
      <c r="C1124" s="21">
        <v>0.66874999999999996</v>
      </c>
      <c r="D1124" s="20" t="s">
        <v>3043</v>
      </c>
      <c r="E1124" t="s">
        <v>0</v>
      </c>
      <c r="G1124" t="s">
        <v>2364</v>
      </c>
      <c r="H1124">
        <v>2</v>
      </c>
      <c r="I1124">
        <f t="shared" si="19"/>
        <v>3</v>
      </c>
    </row>
    <row r="1125" spans="1:9">
      <c r="A1125" s="1">
        <v>42779.338888888888</v>
      </c>
      <c r="B1125" s="19">
        <v>42499</v>
      </c>
      <c r="C1125" s="21">
        <v>0.60069444444444442</v>
      </c>
      <c r="D1125" s="20" t="s">
        <v>3040</v>
      </c>
      <c r="E1125" t="s">
        <v>33</v>
      </c>
      <c r="F1125" t="s">
        <v>44</v>
      </c>
      <c r="G1125" t="s">
        <v>2365</v>
      </c>
      <c r="H1125">
        <v>10</v>
      </c>
      <c r="I1125">
        <f t="shared" si="19"/>
        <v>13</v>
      </c>
    </row>
    <row r="1126" spans="1:9">
      <c r="A1126" s="1">
        <v>42779.284722222219</v>
      </c>
      <c r="B1126" s="19">
        <v>42499</v>
      </c>
      <c r="C1126" s="21">
        <v>0.58472222222222225</v>
      </c>
      <c r="D1126" s="20" t="s">
        <v>3040</v>
      </c>
      <c r="E1126" t="s">
        <v>0</v>
      </c>
      <c r="G1126" t="s">
        <v>2366</v>
      </c>
      <c r="H1126">
        <v>2</v>
      </c>
      <c r="I1126">
        <f t="shared" si="19"/>
        <v>3</v>
      </c>
    </row>
    <row r="1127" spans="1:9">
      <c r="A1127" s="1">
        <v>42779.283333333333</v>
      </c>
      <c r="B1127" s="19">
        <v>42499</v>
      </c>
      <c r="C1127" s="21">
        <v>0.48888888888888887</v>
      </c>
      <c r="D1127" s="20" t="s">
        <v>3037</v>
      </c>
      <c r="E1127" t="s">
        <v>0</v>
      </c>
      <c r="F1127" t="s">
        <v>1</v>
      </c>
      <c r="G1127" t="s">
        <v>2367</v>
      </c>
      <c r="H1127" t="e">
        <v>#VALUE!</v>
      </c>
      <c r="I1127" t="e">
        <f t="shared" si="19"/>
        <v>#VALUE!</v>
      </c>
    </row>
    <row r="1128" spans="1:9">
      <c r="A1128" s="1">
        <v>42779.916666666664</v>
      </c>
      <c r="B1128" s="19">
        <v>42499</v>
      </c>
      <c r="C1128" s="21">
        <v>0.38958333333333334</v>
      </c>
      <c r="D1128" s="20" t="s">
        <v>3035</v>
      </c>
      <c r="E1128" t="s">
        <v>0</v>
      </c>
      <c r="F1128" t="s">
        <v>1</v>
      </c>
      <c r="G1128" t="s">
        <v>2368</v>
      </c>
      <c r="H1128">
        <v>13</v>
      </c>
      <c r="I1128">
        <f t="shared" si="19"/>
        <v>17</v>
      </c>
    </row>
    <row r="1129" spans="1:9">
      <c r="A1129" s="1">
        <v>42779.584027777775</v>
      </c>
      <c r="B1129" s="19">
        <v>42499</v>
      </c>
      <c r="C1129" s="21">
        <v>0.25347222222222221</v>
      </c>
      <c r="D1129" s="20" t="s">
        <v>3031</v>
      </c>
      <c r="E1129" t="s">
        <v>0</v>
      </c>
      <c r="G1129" t="s">
        <v>1905</v>
      </c>
      <c r="H1129">
        <v>7</v>
      </c>
      <c r="I1129">
        <f t="shared" si="19"/>
        <v>9</v>
      </c>
    </row>
    <row r="1130" spans="1:9">
      <c r="A1130" s="1">
        <v>42779.339583333334</v>
      </c>
      <c r="B1130" s="19">
        <v>42499</v>
      </c>
      <c r="C1130" s="21">
        <v>0.85277777777777775</v>
      </c>
      <c r="D1130" s="20" t="s">
        <v>3047</v>
      </c>
      <c r="E1130" t="s">
        <v>6</v>
      </c>
      <c r="F1130" t="s">
        <v>12</v>
      </c>
      <c r="G1130" t="s">
        <v>2058</v>
      </c>
      <c r="H1130">
        <v>2</v>
      </c>
      <c r="I1130">
        <f t="shared" si="19"/>
        <v>3</v>
      </c>
    </row>
    <row r="1131" spans="1:9">
      <c r="A1131" s="1">
        <v>42779.304166666669</v>
      </c>
      <c r="B1131" s="19">
        <v>42499</v>
      </c>
      <c r="C1131" s="21">
        <v>0.77847222222222223</v>
      </c>
      <c r="D1131" s="20" t="s">
        <v>3045</v>
      </c>
      <c r="E1131" t="s">
        <v>6</v>
      </c>
      <c r="F1131" t="s">
        <v>12</v>
      </c>
      <c r="G1131" t="s">
        <v>2360</v>
      </c>
      <c r="H1131">
        <v>4</v>
      </c>
      <c r="I1131">
        <f t="shared" si="19"/>
        <v>5</v>
      </c>
    </row>
    <row r="1132" spans="1:9">
      <c r="A1132" s="1">
        <v>42779.258333333331</v>
      </c>
      <c r="B1132" s="19">
        <v>42499</v>
      </c>
      <c r="C1132" s="21">
        <v>0.75208333333333333</v>
      </c>
      <c r="D1132" s="20" t="s">
        <v>3045</v>
      </c>
      <c r="E1132" t="s">
        <v>2</v>
      </c>
      <c r="G1132" t="s">
        <v>2361</v>
      </c>
      <c r="H1132">
        <v>2</v>
      </c>
      <c r="I1132">
        <f t="shared" si="19"/>
        <v>3</v>
      </c>
    </row>
    <row r="1133" spans="1:9">
      <c r="A1133" s="1">
        <v>42776.959027777775</v>
      </c>
      <c r="B1133" s="19">
        <v>42499</v>
      </c>
      <c r="C1133" s="21">
        <v>0.71458333333333335</v>
      </c>
      <c r="D1133" s="20" t="s">
        <v>3044</v>
      </c>
      <c r="E1133" t="s">
        <v>2</v>
      </c>
      <c r="G1133" t="s">
        <v>2362</v>
      </c>
      <c r="H1133">
        <v>13</v>
      </c>
      <c r="I1133">
        <f t="shared" si="19"/>
        <v>17</v>
      </c>
    </row>
    <row r="1134" spans="1:9">
      <c r="A1134" s="1">
        <v>42776.769444444442</v>
      </c>
      <c r="B1134" s="19">
        <v>42499</v>
      </c>
      <c r="C1134" s="21">
        <v>0.37291666666666667</v>
      </c>
      <c r="D1134" s="20" t="s">
        <v>3034</v>
      </c>
      <c r="E1134" t="s">
        <v>2</v>
      </c>
      <c r="G1134" t="s">
        <v>2369</v>
      </c>
      <c r="H1134">
        <v>7</v>
      </c>
      <c r="I1134">
        <f t="shared" si="19"/>
        <v>9</v>
      </c>
    </row>
    <row r="1135" spans="1:9">
      <c r="A1135" s="1">
        <v>42776.763194444444</v>
      </c>
      <c r="B1135" s="19">
        <v>42499</v>
      </c>
      <c r="C1135" s="21">
        <v>0.28958333333333336</v>
      </c>
      <c r="D1135" s="20" t="s">
        <v>3031</v>
      </c>
      <c r="E1135" t="s">
        <v>2</v>
      </c>
      <c r="F1135" t="s">
        <v>56</v>
      </c>
      <c r="G1135" t="s">
        <v>2370</v>
      </c>
      <c r="H1135" t="e">
        <v>#VALUE!</v>
      </c>
      <c r="I1135" t="e">
        <f t="shared" si="19"/>
        <v>#VALUE!</v>
      </c>
    </row>
    <row r="1136" spans="1:9">
      <c r="A1136" s="1">
        <v>42776.708333333336</v>
      </c>
      <c r="B1136" s="19">
        <v>42499</v>
      </c>
      <c r="C1136" s="21">
        <v>0.25347222222222221</v>
      </c>
      <c r="D1136" s="20" t="s">
        <v>3031</v>
      </c>
      <c r="E1136" t="s">
        <v>6</v>
      </c>
      <c r="G1136" t="s">
        <v>2371</v>
      </c>
      <c r="H1136">
        <v>65</v>
      </c>
      <c r="I1136">
        <f t="shared" si="19"/>
        <v>81</v>
      </c>
    </row>
    <row r="1137" spans="1:9">
      <c r="A1137" s="1">
        <v>42776.356249999997</v>
      </c>
      <c r="B1137" s="19">
        <v>42500</v>
      </c>
      <c r="C1137" s="21">
        <v>0.91874999999999996</v>
      </c>
      <c r="D1137" s="20" t="s">
        <v>3049</v>
      </c>
      <c r="E1137" t="s">
        <v>0</v>
      </c>
      <c r="F1137" t="s">
        <v>10</v>
      </c>
      <c r="G1137" t="s">
        <v>2350</v>
      </c>
      <c r="H1137">
        <v>13</v>
      </c>
      <c r="I1137">
        <f t="shared" si="19"/>
        <v>17</v>
      </c>
    </row>
    <row r="1138" spans="1:9">
      <c r="A1138" s="1">
        <v>42776.333333333336</v>
      </c>
      <c r="B1138" s="19">
        <v>42500</v>
      </c>
      <c r="C1138" s="21">
        <v>0.90902777777777777</v>
      </c>
      <c r="D1138" s="20" t="s">
        <v>3048</v>
      </c>
      <c r="E1138" t="s">
        <v>0</v>
      </c>
      <c r="F1138" t="s">
        <v>10</v>
      </c>
      <c r="G1138" t="s">
        <v>11</v>
      </c>
      <c r="H1138">
        <v>13</v>
      </c>
      <c r="I1138">
        <f t="shared" si="19"/>
        <v>17</v>
      </c>
    </row>
    <row r="1139" spans="1:9">
      <c r="A1139" s="1">
        <v>42776.194444444445</v>
      </c>
      <c r="B1139" s="19">
        <v>42500</v>
      </c>
      <c r="C1139" s="21">
        <v>0.64236111111111116</v>
      </c>
      <c r="D1139" s="20" t="s">
        <v>3042</v>
      </c>
      <c r="E1139" t="s">
        <v>18</v>
      </c>
      <c r="G1139" t="s">
        <v>2352</v>
      </c>
      <c r="H1139">
        <v>112</v>
      </c>
      <c r="I1139">
        <f t="shared" si="19"/>
        <v>139</v>
      </c>
    </row>
    <row r="1140" spans="1:9">
      <c r="A1140" s="1">
        <v>42776.001388888886</v>
      </c>
      <c r="B1140" s="19">
        <v>42500</v>
      </c>
      <c r="C1140" s="21">
        <v>0.53055555555555556</v>
      </c>
      <c r="D1140" s="20" t="s">
        <v>3038</v>
      </c>
      <c r="E1140" t="s">
        <v>18</v>
      </c>
      <c r="G1140" t="s">
        <v>2353</v>
      </c>
      <c r="H1140" t="e">
        <v>#VALUE!</v>
      </c>
      <c r="I1140" t="e">
        <f t="shared" si="19"/>
        <v>#VALUE!</v>
      </c>
    </row>
    <row r="1141" spans="1:9">
      <c r="A1141" s="1">
        <v>42776.929861111108</v>
      </c>
      <c r="B1141" s="19">
        <v>42500</v>
      </c>
      <c r="C1141" s="21">
        <v>0.45</v>
      </c>
      <c r="D1141" s="20" t="s">
        <v>3036</v>
      </c>
      <c r="E1141" t="s">
        <v>77</v>
      </c>
      <c r="F1141" t="s">
        <v>78</v>
      </c>
      <c r="G1141" t="s">
        <v>1598</v>
      </c>
      <c r="H1141">
        <v>4</v>
      </c>
      <c r="I1141">
        <f t="shared" si="19"/>
        <v>5</v>
      </c>
    </row>
    <row r="1142" spans="1:9">
      <c r="A1142" s="1">
        <v>42776.905555555553</v>
      </c>
      <c r="B1142" s="19">
        <v>42500</v>
      </c>
      <c r="C1142" s="21">
        <v>0.34236111111111112</v>
      </c>
      <c r="D1142" s="20" t="s">
        <v>3034</v>
      </c>
      <c r="E1142" t="s">
        <v>0</v>
      </c>
      <c r="G1142" t="s">
        <v>2354</v>
      </c>
      <c r="H1142" t="e">
        <v>#VALUE!</v>
      </c>
      <c r="I1142" t="e">
        <f t="shared" si="19"/>
        <v>#VALUE!</v>
      </c>
    </row>
    <row r="1143" spans="1:9">
      <c r="A1143" s="1">
        <v>42776.70208333333</v>
      </c>
      <c r="B1143" s="19">
        <v>42500</v>
      </c>
      <c r="C1143" s="21">
        <v>0.27708333333333335</v>
      </c>
      <c r="D1143" s="20" t="s">
        <v>3031</v>
      </c>
      <c r="E1143" t="s">
        <v>149</v>
      </c>
      <c r="G1143" t="s">
        <v>2355</v>
      </c>
      <c r="H1143">
        <v>13</v>
      </c>
      <c r="I1143">
        <f t="shared" si="19"/>
        <v>17</v>
      </c>
    </row>
    <row r="1144" spans="1:9">
      <c r="A1144" s="1">
        <v>42776.584722222222</v>
      </c>
      <c r="B1144" s="19">
        <v>42500</v>
      </c>
      <c r="C1144" s="21">
        <v>0.26111111111111113</v>
      </c>
      <c r="D1144" s="20" t="s">
        <v>3031</v>
      </c>
      <c r="E1144" t="s">
        <v>0</v>
      </c>
      <c r="G1144" t="s">
        <v>2356</v>
      </c>
      <c r="H1144">
        <v>13</v>
      </c>
      <c r="I1144">
        <f t="shared" si="19"/>
        <v>17</v>
      </c>
    </row>
    <row r="1145" spans="1:9">
      <c r="A1145" s="1">
        <v>42776.582638888889</v>
      </c>
      <c r="B1145" s="19">
        <v>42500</v>
      </c>
      <c r="C1145" s="21">
        <v>0.25069444444444444</v>
      </c>
      <c r="D1145" s="20" t="s">
        <v>3031</v>
      </c>
      <c r="E1145" t="s">
        <v>0</v>
      </c>
      <c r="F1145" t="s">
        <v>10</v>
      </c>
      <c r="G1145" t="s">
        <v>2357</v>
      </c>
      <c r="H1145">
        <v>13</v>
      </c>
      <c r="I1145">
        <f t="shared" si="19"/>
        <v>17</v>
      </c>
    </row>
    <row r="1146" spans="1:9">
      <c r="A1146" s="1">
        <v>42776.579861111109</v>
      </c>
      <c r="B1146" s="19">
        <v>42500</v>
      </c>
      <c r="C1146" s="21">
        <v>0.24236111111111111</v>
      </c>
      <c r="D1146" s="20" t="s">
        <v>3055</v>
      </c>
      <c r="E1146" t="s">
        <v>0</v>
      </c>
      <c r="F1146" t="s">
        <v>10</v>
      </c>
      <c r="G1146" t="s">
        <v>2358</v>
      </c>
      <c r="H1146">
        <v>13</v>
      </c>
      <c r="I1146">
        <f t="shared" si="19"/>
        <v>17</v>
      </c>
    </row>
    <row r="1147" spans="1:9">
      <c r="A1147" s="1">
        <v>42776.431944444441</v>
      </c>
      <c r="B1147" s="19">
        <v>42500</v>
      </c>
      <c r="C1147" s="21">
        <v>0.95902777777777781</v>
      </c>
      <c r="D1147" s="20" t="s">
        <v>3063</v>
      </c>
      <c r="E1147" t="s">
        <v>6</v>
      </c>
      <c r="F1147" t="s">
        <v>21</v>
      </c>
      <c r="G1147" t="s">
        <v>2348</v>
      </c>
      <c r="H1147">
        <v>7</v>
      </c>
      <c r="I1147">
        <f t="shared" si="19"/>
        <v>9</v>
      </c>
    </row>
    <row r="1148" spans="1:9">
      <c r="A1148" s="1">
        <v>42776.192361111112</v>
      </c>
      <c r="B1148" s="19">
        <v>42500</v>
      </c>
      <c r="C1148" s="21">
        <v>0.94861111111111107</v>
      </c>
      <c r="D1148" s="20" t="s">
        <v>3049</v>
      </c>
      <c r="E1148" t="s">
        <v>6</v>
      </c>
      <c r="F1148" t="s">
        <v>21</v>
      </c>
      <c r="G1148" t="s">
        <v>2349</v>
      </c>
      <c r="H1148">
        <v>19</v>
      </c>
      <c r="I1148">
        <f t="shared" si="19"/>
        <v>24</v>
      </c>
    </row>
    <row r="1149" spans="1:9">
      <c r="A1149" s="1">
        <v>42775.879861111112</v>
      </c>
      <c r="B1149" s="19">
        <v>42500</v>
      </c>
      <c r="C1149" s="21">
        <v>0.71458333333333335</v>
      </c>
      <c r="D1149" s="20" t="s">
        <v>3044</v>
      </c>
      <c r="E1149" t="s">
        <v>6</v>
      </c>
      <c r="F1149" t="s">
        <v>12</v>
      </c>
      <c r="G1149" t="s">
        <v>2058</v>
      </c>
      <c r="H1149">
        <v>7</v>
      </c>
      <c r="I1149">
        <f t="shared" si="19"/>
        <v>9</v>
      </c>
    </row>
    <row r="1150" spans="1:9">
      <c r="A1150" s="1">
        <v>42775.706944444442</v>
      </c>
      <c r="B1150" s="19">
        <v>42500</v>
      </c>
      <c r="C1150" s="21">
        <v>0.68680555555555556</v>
      </c>
      <c r="D1150" s="20" t="s">
        <v>3043</v>
      </c>
      <c r="E1150" t="s">
        <v>6</v>
      </c>
      <c r="F1150" t="s">
        <v>12</v>
      </c>
      <c r="G1150" t="s">
        <v>2351</v>
      </c>
      <c r="H1150">
        <v>3</v>
      </c>
      <c r="I1150">
        <f t="shared" si="19"/>
        <v>4</v>
      </c>
    </row>
    <row r="1151" spans="1:9">
      <c r="A1151" s="1">
        <v>42775.697222222225</v>
      </c>
      <c r="B1151" s="19">
        <v>42500</v>
      </c>
      <c r="C1151" s="21">
        <v>0.28749999999999998</v>
      </c>
      <c r="D1151" s="20" t="s">
        <v>3031</v>
      </c>
      <c r="E1151" t="s">
        <v>2</v>
      </c>
      <c r="F1151" t="s">
        <v>3</v>
      </c>
      <c r="H1151">
        <v>7</v>
      </c>
      <c r="I1151">
        <f t="shared" si="19"/>
        <v>9</v>
      </c>
    </row>
    <row r="1152" spans="1:9">
      <c r="A1152" s="1">
        <v>42775.64166666667</v>
      </c>
      <c r="B1152" s="19">
        <v>42501</v>
      </c>
      <c r="C1152" s="21">
        <v>0.90902777777777777</v>
      </c>
      <c r="D1152" s="20" t="s">
        <v>3048</v>
      </c>
      <c r="E1152" t="s">
        <v>0</v>
      </c>
      <c r="F1152" t="s">
        <v>10</v>
      </c>
      <c r="G1152" t="s">
        <v>448</v>
      </c>
      <c r="H1152">
        <v>13</v>
      </c>
      <c r="I1152">
        <f t="shared" si="19"/>
        <v>17</v>
      </c>
    </row>
    <row r="1153" spans="1:9">
      <c r="A1153" s="1">
        <v>42775.633333333331</v>
      </c>
      <c r="B1153" s="19">
        <v>42501</v>
      </c>
      <c r="C1153" s="21">
        <v>0.88680555555555551</v>
      </c>
      <c r="D1153" s="20" t="s">
        <v>3048</v>
      </c>
      <c r="E1153" t="s">
        <v>0</v>
      </c>
      <c r="F1153" t="s">
        <v>1</v>
      </c>
      <c r="H1153">
        <v>13</v>
      </c>
      <c r="I1153">
        <f t="shared" si="19"/>
        <v>17</v>
      </c>
    </row>
    <row r="1154" spans="1:9">
      <c r="A1154" s="1">
        <v>42775.433333333334</v>
      </c>
      <c r="B1154" s="19">
        <v>42501</v>
      </c>
      <c r="C1154" s="21">
        <v>0.88472222222222219</v>
      </c>
      <c r="D1154" s="20" t="s">
        <v>3048</v>
      </c>
      <c r="E1154" t="s">
        <v>0</v>
      </c>
      <c r="G1154" t="s">
        <v>2333</v>
      </c>
      <c r="H1154">
        <v>2</v>
      </c>
      <c r="I1154">
        <f t="shared" si="19"/>
        <v>3</v>
      </c>
    </row>
    <row r="1155" spans="1:9">
      <c r="A1155" s="1">
        <v>42775.429861111108</v>
      </c>
      <c r="B1155" s="19">
        <v>42501</v>
      </c>
      <c r="C1155" s="21">
        <v>0.8305555555555556</v>
      </c>
      <c r="D1155" s="20" t="s">
        <v>3046</v>
      </c>
      <c r="E1155" t="s">
        <v>0</v>
      </c>
      <c r="F1155" t="s">
        <v>10</v>
      </c>
      <c r="G1155" t="s">
        <v>2336</v>
      </c>
      <c r="H1155">
        <v>13</v>
      </c>
      <c r="I1155">
        <f t="shared" ref="I1155:I1218" si="20">ROUNDUP((H1155*1.24), 0)</f>
        <v>17</v>
      </c>
    </row>
    <row r="1156" spans="1:9">
      <c r="A1156" s="1">
        <v>42775.345833333333</v>
      </c>
      <c r="B1156" s="19">
        <v>42501</v>
      </c>
      <c r="C1156" s="21">
        <v>0.79027777777777775</v>
      </c>
      <c r="D1156" s="20" t="s">
        <v>3045</v>
      </c>
      <c r="E1156" t="s">
        <v>33</v>
      </c>
      <c r="F1156" t="s">
        <v>44</v>
      </c>
      <c r="G1156" t="s">
        <v>2337</v>
      </c>
      <c r="H1156">
        <v>8</v>
      </c>
      <c r="I1156">
        <f t="shared" si="20"/>
        <v>10</v>
      </c>
    </row>
    <row r="1157" spans="1:9">
      <c r="A1157" s="1">
        <v>42775.327777777777</v>
      </c>
      <c r="B1157" s="19">
        <v>42501</v>
      </c>
      <c r="C1157" s="21">
        <v>0.71944444444444444</v>
      </c>
      <c r="D1157" s="20" t="s">
        <v>3044</v>
      </c>
      <c r="E1157" t="s">
        <v>0</v>
      </c>
      <c r="G1157" t="s">
        <v>2338</v>
      </c>
      <c r="H1157">
        <v>2</v>
      </c>
      <c r="I1157">
        <f t="shared" si="20"/>
        <v>3</v>
      </c>
    </row>
    <row r="1158" spans="1:9">
      <c r="A1158" s="1">
        <v>42775.191666666666</v>
      </c>
      <c r="B1158" s="19">
        <v>42501</v>
      </c>
      <c r="C1158" s="21">
        <v>0.70763888888888893</v>
      </c>
      <c r="D1158" s="20" t="s">
        <v>3043</v>
      </c>
      <c r="E1158" t="s">
        <v>0</v>
      </c>
      <c r="G1158" t="s">
        <v>2339</v>
      </c>
      <c r="H1158">
        <v>5</v>
      </c>
      <c r="I1158">
        <f t="shared" si="20"/>
        <v>7</v>
      </c>
    </row>
    <row r="1159" spans="1:9">
      <c r="A1159" s="1">
        <v>42775.918055555558</v>
      </c>
      <c r="B1159" s="19">
        <v>42501</v>
      </c>
      <c r="C1159" s="21">
        <v>0.66388888888888886</v>
      </c>
      <c r="D1159" s="20" t="s">
        <v>3042</v>
      </c>
      <c r="E1159" t="s">
        <v>0</v>
      </c>
      <c r="F1159" t="s">
        <v>10</v>
      </c>
      <c r="G1159" t="s">
        <v>2340</v>
      </c>
      <c r="H1159">
        <v>13</v>
      </c>
      <c r="I1159">
        <f t="shared" si="20"/>
        <v>17</v>
      </c>
    </row>
    <row r="1160" spans="1:9">
      <c r="A1160" s="1">
        <v>42775.918055555558</v>
      </c>
      <c r="B1160" s="19">
        <v>42501</v>
      </c>
      <c r="C1160" s="21">
        <v>0.60138888888888886</v>
      </c>
      <c r="D1160" s="20" t="s">
        <v>3040</v>
      </c>
      <c r="E1160" t="s">
        <v>0</v>
      </c>
      <c r="G1160" t="s">
        <v>2339</v>
      </c>
      <c r="H1160">
        <v>9</v>
      </c>
      <c r="I1160">
        <f t="shared" si="20"/>
        <v>12</v>
      </c>
    </row>
    <row r="1161" spans="1:9">
      <c r="A1161" s="1">
        <v>42775.909722222219</v>
      </c>
      <c r="B1161" s="19">
        <v>42501</v>
      </c>
      <c r="C1161" s="21">
        <v>0.58472222222222225</v>
      </c>
      <c r="D1161" s="20" t="s">
        <v>3040</v>
      </c>
      <c r="E1161" t="s">
        <v>0</v>
      </c>
      <c r="G1161" t="s">
        <v>2341</v>
      </c>
      <c r="H1161">
        <v>25</v>
      </c>
      <c r="I1161">
        <f t="shared" si="20"/>
        <v>31</v>
      </c>
    </row>
    <row r="1162" spans="1:9">
      <c r="A1162" s="1">
        <v>42775.686111111114</v>
      </c>
      <c r="B1162" s="19">
        <v>42501</v>
      </c>
      <c r="C1162" s="21">
        <v>0.50277777777777777</v>
      </c>
      <c r="D1162" s="20" t="s">
        <v>3038</v>
      </c>
      <c r="E1162" t="s">
        <v>0</v>
      </c>
      <c r="F1162" t="s">
        <v>10</v>
      </c>
      <c r="G1162" t="s">
        <v>59</v>
      </c>
      <c r="H1162">
        <v>13</v>
      </c>
      <c r="I1162">
        <f t="shared" si="20"/>
        <v>17</v>
      </c>
    </row>
    <row r="1163" spans="1:9">
      <c r="A1163" s="1">
        <v>42775.643055555556</v>
      </c>
      <c r="B1163" s="19">
        <v>42501</v>
      </c>
      <c r="C1163" s="21">
        <v>0.35625000000000001</v>
      </c>
      <c r="D1163" s="20" t="s">
        <v>3034</v>
      </c>
      <c r="E1163" t="s">
        <v>0</v>
      </c>
      <c r="G1163" t="s">
        <v>2344</v>
      </c>
      <c r="H1163">
        <v>2</v>
      </c>
      <c r="I1163">
        <f t="shared" si="20"/>
        <v>3</v>
      </c>
    </row>
    <row r="1164" spans="1:9">
      <c r="A1164" s="1">
        <v>42775.586805555555</v>
      </c>
      <c r="B1164" s="19">
        <v>42501</v>
      </c>
      <c r="C1164" s="21">
        <v>0.34166666666666667</v>
      </c>
      <c r="D1164" s="20" t="s">
        <v>3034</v>
      </c>
      <c r="E1164" t="s">
        <v>77</v>
      </c>
      <c r="F1164" t="s">
        <v>78</v>
      </c>
      <c r="G1164" t="s">
        <v>1598</v>
      </c>
      <c r="H1164">
        <v>3</v>
      </c>
      <c r="I1164">
        <f t="shared" si="20"/>
        <v>4</v>
      </c>
    </row>
    <row r="1165" spans="1:9">
      <c r="A1165" s="1">
        <v>42775.25</v>
      </c>
      <c r="B1165" s="19">
        <v>42501</v>
      </c>
      <c r="C1165" s="21">
        <v>0.88611111111111107</v>
      </c>
      <c r="D1165" s="20" t="s">
        <v>3048</v>
      </c>
      <c r="E1165" t="s">
        <v>6</v>
      </c>
      <c r="F1165" t="s">
        <v>21</v>
      </c>
      <c r="G1165" t="s">
        <v>2332</v>
      </c>
      <c r="H1165">
        <v>3</v>
      </c>
      <c r="I1165">
        <f t="shared" si="20"/>
        <v>4</v>
      </c>
    </row>
    <row r="1166" spans="1:9">
      <c r="A1166" s="1">
        <v>42775.25</v>
      </c>
      <c r="B1166" s="19">
        <v>42501</v>
      </c>
      <c r="C1166" s="21">
        <v>0.88263888888888886</v>
      </c>
      <c r="D1166" s="20" t="s">
        <v>3048</v>
      </c>
      <c r="E1166" t="s">
        <v>6</v>
      </c>
      <c r="F1166" t="s">
        <v>167</v>
      </c>
      <c r="G1166" t="s">
        <v>2334</v>
      </c>
      <c r="H1166">
        <v>7</v>
      </c>
      <c r="I1166">
        <f t="shared" si="20"/>
        <v>9</v>
      </c>
    </row>
    <row r="1167" spans="1:9">
      <c r="A1167" s="1">
        <v>42774.984027777777</v>
      </c>
      <c r="B1167" s="19">
        <v>42501</v>
      </c>
      <c r="C1167" s="21">
        <v>0.86736111111111114</v>
      </c>
      <c r="D1167" s="20" t="s">
        <v>3047</v>
      </c>
      <c r="E1167" t="s">
        <v>6</v>
      </c>
      <c r="F1167" t="s">
        <v>7</v>
      </c>
      <c r="G1167" t="s">
        <v>2335</v>
      </c>
      <c r="H1167">
        <v>24</v>
      </c>
      <c r="I1167">
        <f t="shared" si="20"/>
        <v>30</v>
      </c>
    </row>
    <row r="1168" spans="1:9">
      <c r="A1168" s="1">
        <v>42774.854166666664</v>
      </c>
      <c r="B1168" s="19">
        <v>42501</v>
      </c>
      <c r="C1168" s="21">
        <v>0.46875</v>
      </c>
      <c r="D1168" s="20" t="s">
        <v>3037</v>
      </c>
      <c r="E1168" t="s">
        <v>6</v>
      </c>
      <c r="F1168" t="s">
        <v>167</v>
      </c>
      <c r="G1168" t="s">
        <v>2342</v>
      </c>
      <c r="H1168">
        <v>7</v>
      </c>
      <c r="I1168">
        <f t="shared" si="20"/>
        <v>9</v>
      </c>
    </row>
    <row r="1169" spans="1:9">
      <c r="A1169" s="1">
        <v>42774.472222222219</v>
      </c>
      <c r="B1169" s="19">
        <v>42501</v>
      </c>
      <c r="C1169" s="21">
        <v>0.41944444444444445</v>
      </c>
      <c r="D1169" s="20" t="s">
        <v>3036</v>
      </c>
      <c r="E1169" t="s">
        <v>2</v>
      </c>
      <c r="F1169" t="s">
        <v>56</v>
      </c>
      <c r="G1169" t="s">
        <v>57</v>
      </c>
      <c r="H1169">
        <v>38</v>
      </c>
      <c r="I1169">
        <f t="shared" si="20"/>
        <v>48</v>
      </c>
    </row>
    <row r="1170" spans="1:9">
      <c r="A1170" s="1">
        <v>42774.444444444445</v>
      </c>
      <c r="B1170" s="19">
        <v>42501</v>
      </c>
      <c r="C1170" s="21">
        <v>0.3923611111111111</v>
      </c>
      <c r="D1170" s="20" t="s">
        <v>3035</v>
      </c>
      <c r="E1170" t="s">
        <v>2</v>
      </c>
      <c r="F1170" t="s">
        <v>48</v>
      </c>
      <c r="G1170" t="s">
        <v>1853</v>
      </c>
      <c r="H1170">
        <v>7</v>
      </c>
      <c r="I1170">
        <f t="shared" si="20"/>
        <v>9</v>
      </c>
    </row>
    <row r="1171" spans="1:9">
      <c r="A1171" s="1">
        <v>42774.920138888891</v>
      </c>
      <c r="B1171" s="19">
        <v>42501</v>
      </c>
      <c r="C1171" s="21">
        <v>0.36041666666666666</v>
      </c>
      <c r="D1171" s="20" t="s">
        <v>3034</v>
      </c>
      <c r="E1171" t="s">
        <v>6</v>
      </c>
      <c r="G1171" t="s">
        <v>2343</v>
      </c>
      <c r="H1171">
        <v>7</v>
      </c>
      <c r="I1171">
        <f t="shared" si="20"/>
        <v>9</v>
      </c>
    </row>
    <row r="1172" spans="1:9">
      <c r="A1172" s="1">
        <v>42774.919444444444</v>
      </c>
      <c r="B1172" s="19">
        <v>42501</v>
      </c>
      <c r="C1172" s="21">
        <v>0.34166666666666667</v>
      </c>
      <c r="D1172" s="20" t="s">
        <v>3034</v>
      </c>
      <c r="E1172" t="s">
        <v>6</v>
      </c>
      <c r="F1172" t="s">
        <v>12</v>
      </c>
      <c r="G1172" t="s">
        <v>2345</v>
      </c>
      <c r="H1172">
        <v>5</v>
      </c>
      <c r="I1172">
        <f t="shared" si="20"/>
        <v>7</v>
      </c>
    </row>
    <row r="1173" spans="1:9">
      <c r="A1173" s="1">
        <v>42774.912499999999</v>
      </c>
      <c r="B1173" s="19">
        <v>42501</v>
      </c>
      <c r="C1173" s="21">
        <v>0.30625000000000002</v>
      </c>
      <c r="D1173" s="20" t="s">
        <v>3033</v>
      </c>
      <c r="E1173" t="s">
        <v>6</v>
      </c>
      <c r="F1173" t="s">
        <v>26</v>
      </c>
      <c r="G1173" t="s">
        <v>2346</v>
      </c>
      <c r="H1173">
        <v>3</v>
      </c>
      <c r="I1173">
        <f t="shared" si="20"/>
        <v>4</v>
      </c>
    </row>
    <row r="1174" spans="1:9">
      <c r="A1174" s="1">
        <v>42774.584027777775</v>
      </c>
      <c r="B1174" s="19">
        <v>42501</v>
      </c>
      <c r="C1174" s="21">
        <v>0.27500000000000002</v>
      </c>
      <c r="D1174" s="20" t="s">
        <v>3031</v>
      </c>
      <c r="E1174" t="s">
        <v>6</v>
      </c>
      <c r="F1174" t="s">
        <v>12</v>
      </c>
      <c r="G1174" t="s">
        <v>1675</v>
      </c>
      <c r="H1174">
        <v>3</v>
      </c>
      <c r="I1174">
        <f t="shared" si="20"/>
        <v>4</v>
      </c>
    </row>
    <row r="1175" spans="1:9">
      <c r="A1175" s="1">
        <v>42774.583333333336</v>
      </c>
      <c r="B1175" s="19">
        <v>42501</v>
      </c>
      <c r="C1175" s="21">
        <v>0.11319444444444444</v>
      </c>
      <c r="D1175" s="20" t="s">
        <v>3052</v>
      </c>
      <c r="E1175" t="s">
        <v>2</v>
      </c>
      <c r="F1175" t="s">
        <v>5</v>
      </c>
      <c r="G1175" t="s">
        <v>2347</v>
      </c>
      <c r="H1175">
        <v>15</v>
      </c>
      <c r="I1175">
        <f t="shared" si="20"/>
        <v>19</v>
      </c>
    </row>
    <row r="1176" spans="1:9">
      <c r="A1176" s="1">
        <v>42774.336111111108</v>
      </c>
      <c r="B1176" s="19">
        <v>42501</v>
      </c>
      <c r="C1176" s="21">
        <v>9.0972222222222218E-2</v>
      </c>
      <c r="D1176" s="20" t="s">
        <v>3052</v>
      </c>
      <c r="E1176" t="s">
        <v>6</v>
      </c>
      <c r="F1176" t="s">
        <v>12</v>
      </c>
      <c r="G1176" t="s">
        <v>82</v>
      </c>
      <c r="H1176">
        <v>39</v>
      </c>
      <c r="I1176">
        <f t="shared" si="20"/>
        <v>49</v>
      </c>
    </row>
    <row r="1177" spans="1:9">
      <c r="A1177" s="1">
        <v>42774.117361111108</v>
      </c>
      <c r="B1177" s="19">
        <v>42502</v>
      </c>
      <c r="C1177" s="21">
        <v>0.9819444444444444</v>
      </c>
      <c r="D1177" s="20" t="s">
        <v>3063</v>
      </c>
      <c r="E1177" t="s">
        <v>33</v>
      </c>
      <c r="F1177" t="s">
        <v>44</v>
      </c>
      <c r="G1177" t="s">
        <v>2313</v>
      </c>
      <c r="H1177">
        <v>7</v>
      </c>
      <c r="I1177">
        <f t="shared" si="20"/>
        <v>9</v>
      </c>
    </row>
    <row r="1178" spans="1:9">
      <c r="A1178" s="1">
        <v>42774.063194444447</v>
      </c>
      <c r="B1178" s="19">
        <v>42502</v>
      </c>
      <c r="C1178" s="21">
        <v>0.67569444444444449</v>
      </c>
      <c r="D1178" s="20" t="s">
        <v>3043</v>
      </c>
      <c r="E1178" t="s">
        <v>33</v>
      </c>
      <c r="F1178" t="s">
        <v>44</v>
      </c>
      <c r="G1178" t="s">
        <v>2316</v>
      </c>
      <c r="H1178">
        <v>10</v>
      </c>
      <c r="I1178">
        <f t="shared" si="20"/>
        <v>13</v>
      </c>
    </row>
    <row r="1179" spans="1:9">
      <c r="A1179" s="1">
        <v>42773.918749999997</v>
      </c>
      <c r="B1179" s="19">
        <v>42502</v>
      </c>
      <c r="C1179" s="21">
        <v>0.53055555555555556</v>
      </c>
      <c r="D1179" s="20" t="s">
        <v>3038</v>
      </c>
      <c r="E1179" t="s">
        <v>33</v>
      </c>
      <c r="F1179" t="s">
        <v>44</v>
      </c>
      <c r="G1179" t="s">
        <v>2317</v>
      </c>
      <c r="H1179" t="e">
        <v>#VALUE!</v>
      </c>
      <c r="I1179" t="e">
        <f t="shared" si="20"/>
        <v>#VALUE!</v>
      </c>
    </row>
    <row r="1180" spans="1:9">
      <c r="A1180" s="1">
        <v>42773.84097222222</v>
      </c>
      <c r="B1180" s="19">
        <v>42502</v>
      </c>
      <c r="C1180" s="21">
        <v>0.48194444444444445</v>
      </c>
      <c r="D1180" s="20" t="s">
        <v>3037</v>
      </c>
      <c r="E1180" t="s">
        <v>18</v>
      </c>
      <c r="G1180" t="s">
        <v>2319</v>
      </c>
      <c r="H1180">
        <v>44</v>
      </c>
      <c r="I1180">
        <f t="shared" si="20"/>
        <v>55</v>
      </c>
    </row>
    <row r="1181" spans="1:9">
      <c r="A1181" s="1">
        <v>42773.818055555559</v>
      </c>
      <c r="B1181" s="19">
        <v>42502</v>
      </c>
      <c r="C1181" s="21">
        <v>0.45208333333333334</v>
      </c>
      <c r="D1181" s="20" t="s">
        <v>3036</v>
      </c>
      <c r="E1181" t="s">
        <v>0</v>
      </c>
      <c r="G1181" t="s">
        <v>1057</v>
      </c>
      <c r="H1181">
        <v>3</v>
      </c>
      <c r="I1181">
        <f t="shared" si="20"/>
        <v>4</v>
      </c>
    </row>
    <row r="1182" spans="1:9">
      <c r="A1182" s="1">
        <v>42773.8</v>
      </c>
      <c r="B1182" s="19">
        <v>42502</v>
      </c>
      <c r="C1182" s="21">
        <v>0.34166666666666667</v>
      </c>
      <c r="D1182" s="20" t="s">
        <v>3034</v>
      </c>
      <c r="E1182" t="s">
        <v>0</v>
      </c>
      <c r="G1182" t="s">
        <v>2321</v>
      </c>
      <c r="H1182">
        <v>7</v>
      </c>
      <c r="I1182">
        <f t="shared" si="20"/>
        <v>9</v>
      </c>
    </row>
    <row r="1183" spans="1:9">
      <c r="A1183" s="1">
        <v>42773.643750000003</v>
      </c>
      <c r="B1183" s="19">
        <v>42502</v>
      </c>
      <c r="C1183" s="21">
        <v>0.30416666666666664</v>
      </c>
      <c r="D1183" s="20" t="s">
        <v>3033</v>
      </c>
      <c r="E1183" t="s">
        <v>0</v>
      </c>
      <c r="F1183" t="s">
        <v>1</v>
      </c>
      <c r="H1183">
        <v>19</v>
      </c>
      <c r="I1183">
        <f t="shared" si="20"/>
        <v>24</v>
      </c>
    </row>
    <row r="1184" spans="1:9">
      <c r="A1184" s="1">
        <v>42773.502083333333</v>
      </c>
      <c r="B1184" s="19">
        <v>42502</v>
      </c>
      <c r="C1184" s="21">
        <v>0.20416666666666666</v>
      </c>
      <c r="D1184" s="20" t="s">
        <v>3054</v>
      </c>
      <c r="E1184" t="s">
        <v>0</v>
      </c>
      <c r="G1184" t="s">
        <v>2324</v>
      </c>
      <c r="H1184">
        <v>75</v>
      </c>
      <c r="I1184">
        <f t="shared" si="20"/>
        <v>93</v>
      </c>
    </row>
    <row r="1185" spans="1:9">
      <c r="A1185" s="1">
        <v>42773.26666666667</v>
      </c>
      <c r="B1185" s="19">
        <v>42502</v>
      </c>
      <c r="C1185" s="21">
        <v>0.14027777777777778</v>
      </c>
      <c r="D1185" s="20" t="s">
        <v>3053</v>
      </c>
      <c r="E1185" t="s">
        <v>0</v>
      </c>
      <c r="F1185" t="s">
        <v>1</v>
      </c>
      <c r="H1185">
        <v>19</v>
      </c>
      <c r="I1185">
        <f t="shared" si="20"/>
        <v>24</v>
      </c>
    </row>
    <row r="1186" spans="1:9">
      <c r="A1186" s="1">
        <v>42773.194444444445</v>
      </c>
      <c r="B1186" s="19">
        <v>42502</v>
      </c>
      <c r="C1186" s="21">
        <v>9.375E-2</v>
      </c>
      <c r="D1186" s="20" t="s">
        <v>3052</v>
      </c>
      <c r="E1186" t="s">
        <v>77</v>
      </c>
      <c r="G1186" t="s">
        <v>2330</v>
      </c>
      <c r="H1186">
        <v>59</v>
      </c>
      <c r="I1186">
        <f t="shared" si="20"/>
        <v>74</v>
      </c>
    </row>
    <row r="1187" spans="1:9">
      <c r="A1187" s="1">
        <v>42773.189583333333</v>
      </c>
      <c r="B1187" s="19">
        <v>42502</v>
      </c>
      <c r="C1187" s="21">
        <v>0.97291666666666665</v>
      </c>
      <c r="D1187" s="20" t="s">
        <v>3063</v>
      </c>
      <c r="E1187" t="s">
        <v>6</v>
      </c>
      <c r="F1187" t="s">
        <v>754</v>
      </c>
      <c r="G1187" t="s">
        <v>2314</v>
      </c>
      <c r="H1187" t="e">
        <v>#VALUE!</v>
      </c>
      <c r="I1187" t="e">
        <f t="shared" si="20"/>
        <v>#VALUE!</v>
      </c>
    </row>
    <row r="1188" spans="1:9">
      <c r="A1188" s="1">
        <v>42773.974305555559</v>
      </c>
      <c r="B1188" s="19">
        <v>42502</v>
      </c>
      <c r="C1188" s="21">
        <v>0.94166666666666665</v>
      </c>
      <c r="D1188" s="20" t="s">
        <v>3049</v>
      </c>
      <c r="E1188" t="s">
        <v>6</v>
      </c>
      <c r="F1188" t="s">
        <v>21</v>
      </c>
      <c r="G1188" t="s">
        <v>65</v>
      </c>
      <c r="H1188">
        <v>7</v>
      </c>
      <c r="I1188">
        <f t="shared" si="20"/>
        <v>9</v>
      </c>
    </row>
    <row r="1189" spans="1:9">
      <c r="A1189" s="1">
        <v>42773.918749999997</v>
      </c>
      <c r="B1189" s="19">
        <v>42502</v>
      </c>
      <c r="C1189" s="21">
        <v>0.77916666666666667</v>
      </c>
      <c r="D1189" s="20" t="s">
        <v>3045</v>
      </c>
      <c r="E1189" t="s">
        <v>2</v>
      </c>
      <c r="G1189" t="s">
        <v>2315</v>
      </c>
      <c r="H1189">
        <v>14</v>
      </c>
      <c r="I1189">
        <f t="shared" si="20"/>
        <v>18</v>
      </c>
    </row>
    <row r="1190" spans="1:9">
      <c r="A1190" s="1">
        <v>42773.841666666667</v>
      </c>
      <c r="B1190" s="19">
        <v>42502</v>
      </c>
      <c r="C1190" s="21">
        <v>0.54236111111111107</v>
      </c>
      <c r="D1190" s="20" t="s">
        <v>3039</v>
      </c>
      <c r="E1190" t="s">
        <v>6</v>
      </c>
      <c r="F1190" t="s">
        <v>26</v>
      </c>
      <c r="G1190" t="s">
        <v>453</v>
      </c>
      <c r="H1190">
        <v>38</v>
      </c>
      <c r="I1190">
        <f t="shared" si="20"/>
        <v>48</v>
      </c>
    </row>
    <row r="1191" spans="1:9">
      <c r="A1191" s="1">
        <v>42773.680555555555</v>
      </c>
      <c r="B1191" s="19">
        <v>42502</v>
      </c>
      <c r="C1191" s="21">
        <v>0.52986111111111112</v>
      </c>
      <c r="D1191" s="20" t="s">
        <v>3038</v>
      </c>
      <c r="E1191" t="s">
        <v>6</v>
      </c>
      <c r="F1191" t="s">
        <v>15</v>
      </c>
      <c r="G1191" t="s">
        <v>2318</v>
      </c>
      <c r="H1191">
        <v>13</v>
      </c>
      <c r="I1191">
        <f t="shared" si="20"/>
        <v>17</v>
      </c>
    </row>
    <row r="1192" spans="1:9">
      <c r="A1192" s="1">
        <v>42773.634027777778</v>
      </c>
      <c r="B1192" s="19">
        <v>42502</v>
      </c>
      <c r="C1192" s="21">
        <v>0.42499999999999999</v>
      </c>
      <c r="D1192" s="20" t="s">
        <v>3036</v>
      </c>
      <c r="E1192" t="s">
        <v>2</v>
      </c>
      <c r="F1192" t="s">
        <v>48</v>
      </c>
      <c r="G1192" t="s">
        <v>2320</v>
      </c>
      <c r="H1192">
        <v>25</v>
      </c>
      <c r="I1192">
        <f t="shared" si="20"/>
        <v>31</v>
      </c>
    </row>
    <row r="1193" spans="1:9">
      <c r="A1193" s="1">
        <v>42773.566666666666</v>
      </c>
      <c r="B1193" s="19">
        <v>42502</v>
      </c>
      <c r="C1193" s="21">
        <v>0.25347222222222221</v>
      </c>
      <c r="D1193" s="20" t="s">
        <v>3031</v>
      </c>
      <c r="E1193" t="s">
        <v>6</v>
      </c>
      <c r="F1193" t="s">
        <v>12</v>
      </c>
      <c r="G1193" t="s">
        <v>2322</v>
      </c>
      <c r="H1193" t="e">
        <v>#VALUE!</v>
      </c>
      <c r="I1193" t="e">
        <f t="shared" si="20"/>
        <v>#VALUE!</v>
      </c>
    </row>
    <row r="1194" spans="1:9">
      <c r="A1194" s="1">
        <v>42773.533333333333</v>
      </c>
      <c r="B1194" s="19">
        <v>42502</v>
      </c>
      <c r="C1194" s="21">
        <v>0.2326388888888889</v>
      </c>
      <c r="D1194" s="20" t="s">
        <v>3055</v>
      </c>
      <c r="E1194" t="s">
        <v>6</v>
      </c>
      <c r="F1194" t="s">
        <v>12</v>
      </c>
      <c r="G1194" t="s">
        <v>2323</v>
      </c>
      <c r="H1194">
        <v>75</v>
      </c>
      <c r="I1194">
        <f t="shared" si="20"/>
        <v>93</v>
      </c>
    </row>
    <row r="1195" spans="1:9">
      <c r="A1195" s="1">
        <v>42773.365972222222</v>
      </c>
      <c r="B1195" s="19">
        <v>42502</v>
      </c>
      <c r="C1195" s="21">
        <v>0.19722222222222222</v>
      </c>
      <c r="D1195" s="20" t="s">
        <v>3054</v>
      </c>
      <c r="E1195" t="s">
        <v>6</v>
      </c>
      <c r="F1195" t="s">
        <v>12</v>
      </c>
      <c r="G1195" t="s">
        <v>2325</v>
      </c>
      <c r="H1195">
        <v>25</v>
      </c>
      <c r="I1195">
        <f t="shared" si="20"/>
        <v>31</v>
      </c>
    </row>
    <row r="1196" spans="1:9">
      <c r="A1196" s="1">
        <v>42773.223611111112</v>
      </c>
      <c r="B1196" s="19">
        <v>42502</v>
      </c>
      <c r="C1196" s="21">
        <v>0.17916666666666667</v>
      </c>
      <c r="D1196" s="20" t="s">
        <v>3054</v>
      </c>
      <c r="E1196" t="s">
        <v>6</v>
      </c>
      <c r="F1196" t="s">
        <v>12</v>
      </c>
      <c r="G1196" t="s">
        <v>2326</v>
      </c>
      <c r="H1196">
        <v>38</v>
      </c>
      <c r="I1196">
        <f t="shared" si="20"/>
        <v>48</v>
      </c>
    </row>
    <row r="1197" spans="1:9">
      <c r="A1197" s="1">
        <v>42772.82916666667</v>
      </c>
      <c r="B1197" s="19">
        <v>42502</v>
      </c>
      <c r="C1197" s="21">
        <v>0.16250000000000001</v>
      </c>
      <c r="D1197" s="20" t="s">
        <v>3053</v>
      </c>
      <c r="E1197" t="s">
        <v>6</v>
      </c>
      <c r="F1197" t="s">
        <v>273</v>
      </c>
      <c r="G1197" t="s">
        <v>2327</v>
      </c>
      <c r="H1197">
        <v>25</v>
      </c>
      <c r="I1197">
        <f t="shared" si="20"/>
        <v>31</v>
      </c>
    </row>
    <row r="1198" spans="1:9">
      <c r="A1198" s="1">
        <v>42772.809027777781</v>
      </c>
      <c r="B1198" s="19">
        <v>42502</v>
      </c>
      <c r="C1198" s="21">
        <v>0.15486111111111112</v>
      </c>
      <c r="D1198" s="20" t="s">
        <v>3053</v>
      </c>
      <c r="E1198" t="s">
        <v>2</v>
      </c>
      <c r="F1198" t="s">
        <v>5</v>
      </c>
      <c r="G1198" t="s">
        <v>2328</v>
      </c>
      <c r="H1198">
        <v>22</v>
      </c>
      <c r="I1198">
        <f t="shared" si="20"/>
        <v>28</v>
      </c>
    </row>
    <row r="1199" spans="1:9">
      <c r="A1199" s="1">
        <v>42772.51458333333</v>
      </c>
      <c r="B1199" s="19">
        <v>42502</v>
      </c>
      <c r="C1199" s="21">
        <v>0.15069444444444444</v>
      </c>
      <c r="D1199" s="20" t="s">
        <v>3053</v>
      </c>
      <c r="E1199" t="s">
        <v>6</v>
      </c>
      <c r="F1199" t="s">
        <v>26</v>
      </c>
      <c r="H1199">
        <v>7</v>
      </c>
      <c r="I1199">
        <f t="shared" si="20"/>
        <v>9</v>
      </c>
    </row>
    <row r="1200" spans="1:9">
      <c r="A1200" s="1">
        <v>42772.396527777775</v>
      </c>
      <c r="B1200" s="19">
        <v>42502</v>
      </c>
      <c r="C1200" s="21">
        <v>0.14444444444444443</v>
      </c>
      <c r="D1200" s="20" t="s">
        <v>3053</v>
      </c>
      <c r="E1200" t="s">
        <v>6</v>
      </c>
      <c r="F1200" t="s">
        <v>12</v>
      </c>
      <c r="G1200" t="s">
        <v>2329</v>
      </c>
      <c r="H1200">
        <v>19</v>
      </c>
      <c r="I1200">
        <f t="shared" si="20"/>
        <v>24</v>
      </c>
    </row>
    <row r="1201" spans="1:9">
      <c r="A1201" s="1">
        <v>42772.947222222225</v>
      </c>
      <c r="B1201" s="19">
        <v>42502</v>
      </c>
      <c r="C1201" s="21">
        <v>1.3888888888888888E-2</v>
      </c>
      <c r="D1201" s="20" t="s">
        <v>3050</v>
      </c>
      <c r="E1201" t="s">
        <v>2</v>
      </c>
      <c r="F1201" t="s">
        <v>5</v>
      </c>
      <c r="G1201" t="s">
        <v>2331</v>
      </c>
      <c r="H1201">
        <v>45</v>
      </c>
      <c r="I1201">
        <f t="shared" si="20"/>
        <v>56</v>
      </c>
    </row>
    <row r="1202" spans="1:9">
      <c r="A1202" s="1">
        <v>42772.947222222225</v>
      </c>
      <c r="B1202" s="19">
        <v>42503</v>
      </c>
      <c r="C1202" s="21">
        <v>0.91736111111111107</v>
      </c>
      <c r="D1202" s="20" t="s">
        <v>3049</v>
      </c>
      <c r="E1202" t="s">
        <v>0</v>
      </c>
      <c r="F1202" t="s">
        <v>10</v>
      </c>
      <c r="G1202" t="s">
        <v>2300</v>
      </c>
      <c r="H1202">
        <v>13</v>
      </c>
      <c r="I1202">
        <f t="shared" si="20"/>
        <v>17</v>
      </c>
    </row>
    <row r="1203" spans="1:9">
      <c r="A1203" s="1">
        <v>42772.584027777775</v>
      </c>
      <c r="B1203" s="19">
        <v>42503</v>
      </c>
      <c r="C1203" s="21">
        <v>0.90902777777777777</v>
      </c>
      <c r="D1203" s="20" t="s">
        <v>3048</v>
      </c>
      <c r="E1203" t="s">
        <v>0</v>
      </c>
      <c r="F1203" t="s">
        <v>10</v>
      </c>
      <c r="G1203" t="s">
        <v>11</v>
      </c>
      <c r="H1203">
        <v>13</v>
      </c>
      <c r="I1203">
        <f t="shared" si="20"/>
        <v>17</v>
      </c>
    </row>
    <row r="1204" spans="1:9">
      <c r="A1204" s="1">
        <v>42772.250694444447</v>
      </c>
      <c r="B1204" s="19">
        <v>42503</v>
      </c>
      <c r="C1204" s="21">
        <v>0.66249999999999998</v>
      </c>
      <c r="D1204" s="20" t="s">
        <v>3042</v>
      </c>
      <c r="E1204" t="s">
        <v>33</v>
      </c>
      <c r="F1204" t="s">
        <v>44</v>
      </c>
      <c r="G1204" t="s">
        <v>2301</v>
      </c>
      <c r="H1204">
        <v>31</v>
      </c>
      <c r="I1204">
        <f t="shared" si="20"/>
        <v>39</v>
      </c>
    </row>
    <row r="1205" spans="1:9">
      <c r="A1205" s="1">
        <v>42770.05972222222</v>
      </c>
      <c r="B1205" s="19">
        <v>42503</v>
      </c>
      <c r="C1205" s="21">
        <v>0.5395833333333333</v>
      </c>
      <c r="D1205" s="20" t="s">
        <v>3038</v>
      </c>
      <c r="E1205" t="s">
        <v>33</v>
      </c>
      <c r="F1205" t="s">
        <v>44</v>
      </c>
      <c r="G1205" t="s">
        <v>2302</v>
      </c>
      <c r="H1205" t="e">
        <v>#VALUE!</v>
      </c>
      <c r="I1205" t="e">
        <f t="shared" si="20"/>
        <v>#VALUE!</v>
      </c>
    </row>
    <row r="1206" spans="1:9">
      <c r="A1206" s="1">
        <v>42769.995138888888</v>
      </c>
      <c r="B1206" s="19">
        <v>42503</v>
      </c>
      <c r="C1206" s="21">
        <v>0.46458333333333335</v>
      </c>
      <c r="D1206" s="20" t="s">
        <v>3037</v>
      </c>
      <c r="E1206" t="s">
        <v>0</v>
      </c>
      <c r="F1206" t="s">
        <v>313</v>
      </c>
      <c r="G1206" t="s">
        <v>2303</v>
      </c>
      <c r="H1206">
        <v>8</v>
      </c>
      <c r="I1206">
        <f t="shared" si="20"/>
        <v>10</v>
      </c>
    </row>
    <row r="1207" spans="1:9">
      <c r="A1207" s="1">
        <v>42769.859027777777</v>
      </c>
      <c r="B1207" s="19">
        <v>42503</v>
      </c>
      <c r="C1207" s="21">
        <v>0.38958333333333334</v>
      </c>
      <c r="D1207" s="20" t="s">
        <v>3035</v>
      </c>
      <c r="E1207" t="s">
        <v>33</v>
      </c>
      <c r="F1207" t="s">
        <v>44</v>
      </c>
      <c r="G1207" t="s">
        <v>2304</v>
      </c>
      <c r="H1207" t="e">
        <v>#VALUE!</v>
      </c>
      <c r="I1207" t="e">
        <f t="shared" si="20"/>
        <v>#VALUE!</v>
      </c>
    </row>
    <row r="1208" spans="1:9">
      <c r="A1208" s="1">
        <v>42769.822916666664</v>
      </c>
      <c r="B1208" s="19">
        <v>42503</v>
      </c>
      <c r="C1208" s="21">
        <v>0.34791666666666665</v>
      </c>
      <c r="D1208" s="20" t="s">
        <v>3034</v>
      </c>
      <c r="E1208" t="s">
        <v>33</v>
      </c>
      <c r="F1208" t="s">
        <v>44</v>
      </c>
      <c r="G1208" t="s">
        <v>2306</v>
      </c>
      <c r="H1208">
        <v>62</v>
      </c>
      <c r="I1208">
        <f t="shared" si="20"/>
        <v>77</v>
      </c>
    </row>
    <row r="1209" spans="1:9">
      <c r="A1209" s="1">
        <v>42769.561805555553</v>
      </c>
      <c r="B1209" s="19">
        <v>42503</v>
      </c>
      <c r="C1209" s="21">
        <v>0.26805555555555555</v>
      </c>
      <c r="D1209" s="20" t="s">
        <v>3031</v>
      </c>
      <c r="E1209" t="s">
        <v>0</v>
      </c>
      <c r="G1209" t="s">
        <v>3117</v>
      </c>
      <c r="H1209">
        <v>2</v>
      </c>
      <c r="I1209">
        <f t="shared" si="20"/>
        <v>3</v>
      </c>
    </row>
    <row r="1210" spans="1:9">
      <c r="A1210" s="1">
        <v>42769.518055555556</v>
      </c>
      <c r="B1210" s="19">
        <v>42503</v>
      </c>
      <c r="C1210" s="21">
        <v>0.59583333333333333</v>
      </c>
      <c r="D1210" s="20" t="s">
        <v>3040</v>
      </c>
      <c r="E1210" t="s">
        <v>6</v>
      </c>
      <c r="F1210" t="s">
        <v>12</v>
      </c>
      <c r="G1210" t="s">
        <v>2061</v>
      </c>
      <c r="H1210">
        <v>7</v>
      </c>
      <c r="I1210">
        <f t="shared" si="20"/>
        <v>9</v>
      </c>
    </row>
    <row r="1211" spans="1:9">
      <c r="A1211" s="1">
        <v>42769.459027777775</v>
      </c>
      <c r="B1211" s="19">
        <v>42503</v>
      </c>
      <c r="C1211" s="21">
        <v>0.35416666666666669</v>
      </c>
      <c r="D1211" s="20" t="s">
        <v>3034</v>
      </c>
      <c r="E1211" t="s">
        <v>6</v>
      </c>
      <c r="F1211" t="s">
        <v>26</v>
      </c>
      <c r="G1211" t="s">
        <v>2305</v>
      </c>
      <c r="H1211">
        <v>13</v>
      </c>
      <c r="I1211">
        <f t="shared" si="20"/>
        <v>17</v>
      </c>
    </row>
    <row r="1212" spans="1:9">
      <c r="A1212" s="1">
        <v>42769.297222222223</v>
      </c>
      <c r="B1212" s="19">
        <v>42503</v>
      </c>
      <c r="C1212" s="21">
        <v>0.34027777777777779</v>
      </c>
      <c r="D1212" s="20" t="s">
        <v>3034</v>
      </c>
      <c r="E1212" t="s">
        <v>2</v>
      </c>
      <c r="F1212" t="s">
        <v>48</v>
      </c>
      <c r="G1212" t="s">
        <v>662</v>
      </c>
      <c r="H1212">
        <v>8</v>
      </c>
      <c r="I1212">
        <f t="shared" si="20"/>
        <v>10</v>
      </c>
    </row>
    <row r="1213" spans="1:9">
      <c r="A1213" s="1">
        <v>42769.915972222225</v>
      </c>
      <c r="B1213" s="19">
        <v>42503</v>
      </c>
      <c r="C1213" s="21">
        <v>0.25069444444444444</v>
      </c>
      <c r="D1213" s="20" t="s">
        <v>3031</v>
      </c>
      <c r="E1213" t="s">
        <v>6</v>
      </c>
      <c r="F1213" t="s">
        <v>12</v>
      </c>
      <c r="G1213" t="s">
        <v>2307</v>
      </c>
      <c r="H1213" t="e">
        <v>#VALUE!</v>
      </c>
      <c r="I1213" t="e">
        <f t="shared" si="20"/>
        <v>#VALUE!</v>
      </c>
    </row>
    <row r="1214" spans="1:9">
      <c r="A1214" s="1">
        <v>42769.719444444447</v>
      </c>
      <c r="B1214" s="19">
        <v>42503</v>
      </c>
      <c r="C1214" s="21">
        <v>0.25069444444444444</v>
      </c>
      <c r="D1214" s="20" t="s">
        <v>3031</v>
      </c>
      <c r="E1214" t="s">
        <v>6</v>
      </c>
      <c r="F1214" t="s">
        <v>754</v>
      </c>
      <c r="G1214" t="s">
        <v>2308</v>
      </c>
      <c r="H1214" t="e">
        <v>#VALUE!</v>
      </c>
      <c r="I1214" t="e">
        <f t="shared" si="20"/>
        <v>#VALUE!</v>
      </c>
    </row>
    <row r="1215" spans="1:9">
      <c r="A1215" s="1">
        <v>42769.706250000003</v>
      </c>
      <c r="B1215" s="19">
        <v>42503</v>
      </c>
      <c r="C1215" s="21">
        <v>7.9861111111111105E-2</v>
      </c>
      <c r="D1215" s="20" t="s">
        <v>3051</v>
      </c>
      <c r="E1215" t="s">
        <v>2</v>
      </c>
      <c r="G1215" t="s">
        <v>2309</v>
      </c>
      <c r="H1215" t="e">
        <v>#VALUE!</v>
      </c>
      <c r="I1215" t="e">
        <f t="shared" si="20"/>
        <v>#VALUE!</v>
      </c>
    </row>
    <row r="1216" spans="1:9">
      <c r="A1216" s="1">
        <v>42769.375</v>
      </c>
      <c r="B1216" s="19">
        <v>42503</v>
      </c>
      <c r="C1216" s="21">
        <v>4.9305555555555554E-2</v>
      </c>
      <c r="D1216" s="20" t="s">
        <v>3051</v>
      </c>
      <c r="E1216" t="s">
        <v>2</v>
      </c>
      <c r="F1216" t="s">
        <v>5</v>
      </c>
      <c r="G1216" t="s">
        <v>2310</v>
      </c>
      <c r="H1216">
        <v>50</v>
      </c>
      <c r="I1216">
        <f t="shared" si="20"/>
        <v>62</v>
      </c>
    </row>
    <row r="1217" spans="1:9">
      <c r="A1217" s="1">
        <v>42769.304166666669</v>
      </c>
      <c r="B1217" s="19">
        <v>42503</v>
      </c>
      <c r="C1217" s="21">
        <v>2.7083333333333334E-2</v>
      </c>
      <c r="D1217" s="20" t="s">
        <v>3050</v>
      </c>
      <c r="E1217" t="s">
        <v>2</v>
      </c>
      <c r="F1217" t="s">
        <v>5</v>
      </c>
      <c r="G1217" t="s">
        <v>2310</v>
      </c>
      <c r="H1217">
        <v>27</v>
      </c>
      <c r="I1217">
        <f t="shared" si="20"/>
        <v>34</v>
      </c>
    </row>
    <row r="1218" spans="1:9">
      <c r="A1218" s="1">
        <v>42769.288888888892</v>
      </c>
      <c r="B1218" s="19">
        <v>42503</v>
      </c>
      <c r="C1218" s="21">
        <v>2.0833333333333332E-2</v>
      </c>
      <c r="D1218" s="20" t="s">
        <v>3050</v>
      </c>
      <c r="E1218" t="s">
        <v>6</v>
      </c>
      <c r="F1218" t="s">
        <v>12</v>
      </c>
      <c r="G1218" t="s">
        <v>2311</v>
      </c>
      <c r="H1218">
        <v>12</v>
      </c>
      <c r="I1218">
        <f t="shared" si="20"/>
        <v>15</v>
      </c>
    </row>
    <row r="1219" spans="1:9">
      <c r="A1219" s="1">
        <v>42768.979861111111</v>
      </c>
      <c r="B1219" s="19">
        <v>42503</v>
      </c>
      <c r="C1219" s="21">
        <v>3.472222222222222E-3</v>
      </c>
      <c r="D1219" s="20" t="s">
        <v>3050</v>
      </c>
      <c r="E1219" t="s">
        <v>6</v>
      </c>
      <c r="F1219" t="s">
        <v>754</v>
      </c>
      <c r="G1219" t="s">
        <v>2312</v>
      </c>
      <c r="H1219">
        <v>13</v>
      </c>
      <c r="I1219">
        <f t="shared" ref="I1219:I1282" si="21">ROUNDUP((H1219*1.24), 0)</f>
        <v>17</v>
      </c>
    </row>
    <row r="1220" spans="1:9">
      <c r="A1220" s="1">
        <v>42768.888194444444</v>
      </c>
      <c r="B1220" s="19">
        <v>42506</v>
      </c>
      <c r="C1220" s="21">
        <v>0.94097222222222221</v>
      </c>
      <c r="D1220" s="20" t="s">
        <v>3049</v>
      </c>
      <c r="E1220" t="s">
        <v>77</v>
      </c>
      <c r="F1220" t="s">
        <v>78</v>
      </c>
      <c r="G1220" t="s">
        <v>235</v>
      </c>
      <c r="H1220">
        <v>3</v>
      </c>
      <c r="I1220">
        <f t="shared" si="21"/>
        <v>4</v>
      </c>
    </row>
    <row r="1221" spans="1:9">
      <c r="A1221" s="1">
        <v>42768.884722222225</v>
      </c>
      <c r="B1221" s="19">
        <v>42506</v>
      </c>
      <c r="C1221" s="21">
        <v>0.9194444444444444</v>
      </c>
      <c r="D1221" s="20" t="s">
        <v>3049</v>
      </c>
      <c r="E1221" t="s">
        <v>0</v>
      </c>
      <c r="F1221" t="s">
        <v>10</v>
      </c>
      <c r="G1221" t="s">
        <v>2285</v>
      </c>
      <c r="H1221">
        <v>13</v>
      </c>
      <c r="I1221">
        <f t="shared" si="21"/>
        <v>17</v>
      </c>
    </row>
    <row r="1222" spans="1:9">
      <c r="A1222" s="1">
        <v>42768.803472222222</v>
      </c>
      <c r="B1222" s="19">
        <v>42506</v>
      </c>
      <c r="C1222" s="21">
        <v>0.90763888888888888</v>
      </c>
      <c r="D1222" s="20" t="s">
        <v>3048</v>
      </c>
      <c r="E1222" t="s">
        <v>0</v>
      </c>
      <c r="F1222" t="s">
        <v>10</v>
      </c>
      <c r="G1222" t="s">
        <v>2286</v>
      </c>
      <c r="H1222">
        <v>13</v>
      </c>
      <c r="I1222">
        <f t="shared" si="21"/>
        <v>17</v>
      </c>
    </row>
    <row r="1223" spans="1:9">
      <c r="A1223" s="1">
        <v>42768.695138888892</v>
      </c>
      <c r="B1223" s="19">
        <v>42506</v>
      </c>
      <c r="C1223" s="21">
        <v>0.875</v>
      </c>
      <c r="D1223" s="20" t="s">
        <v>3048</v>
      </c>
      <c r="E1223" t="s">
        <v>0</v>
      </c>
      <c r="F1223" t="s">
        <v>75</v>
      </c>
      <c r="G1223" t="s">
        <v>2287</v>
      </c>
      <c r="H1223">
        <v>5</v>
      </c>
      <c r="I1223">
        <f t="shared" si="21"/>
        <v>7</v>
      </c>
    </row>
    <row r="1224" spans="1:9">
      <c r="A1224" s="1">
        <v>42768.689583333333</v>
      </c>
      <c r="B1224" s="19">
        <v>42506</v>
      </c>
      <c r="C1224" s="21">
        <v>0.79513888888888884</v>
      </c>
      <c r="D1224" s="20" t="s">
        <v>3046</v>
      </c>
      <c r="E1224" t="s">
        <v>33</v>
      </c>
      <c r="F1224" t="s">
        <v>44</v>
      </c>
      <c r="G1224" t="s">
        <v>2288</v>
      </c>
      <c r="H1224">
        <v>5</v>
      </c>
      <c r="I1224">
        <f t="shared" si="21"/>
        <v>7</v>
      </c>
    </row>
    <row r="1225" spans="1:9">
      <c r="A1225" s="1">
        <v>42768.430555555555</v>
      </c>
      <c r="B1225" s="19">
        <v>42506</v>
      </c>
      <c r="C1225" s="21">
        <v>0.72430555555555554</v>
      </c>
      <c r="D1225" s="20" t="s">
        <v>3044</v>
      </c>
      <c r="E1225" t="s">
        <v>33</v>
      </c>
      <c r="F1225" t="s">
        <v>44</v>
      </c>
      <c r="G1225" t="s">
        <v>2290</v>
      </c>
      <c r="H1225">
        <v>13</v>
      </c>
      <c r="I1225">
        <f t="shared" si="21"/>
        <v>17</v>
      </c>
    </row>
    <row r="1226" spans="1:9">
      <c r="A1226" s="1">
        <v>42768.42083333333</v>
      </c>
      <c r="B1226" s="19">
        <v>42506</v>
      </c>
      <c r="C1226" s="21">
        <v>0.65694444444444444</v>
      </c>
      <c r="D1226" s="20" t="s">
        <v>3042</v>
      </c>
      <c r="E1226" t="s">
        <v>0</v>
      </c>
      <c r="F1226" t="s">
        <v>10</v>
      </c>
      <c r="G1226" t="s">
        <v>2291</v>
      </c>
      <c r="H1226">
        <v>13</v>
      </c>
      <c r="I1226">
        <f t="shared" si="21"/>
        <v>17</v>
      </c>
    </row>
    <row r="1227" spans="1:9">
      <c r="A1227" s="1">
        <v>42768.044444444444</v>
      </c>
      <c r="B1227" s="19">
        <v>42506</v>
      </c>
      <c r="C1227" s="21">
        <v>0.65555555555555556</v>
      </c>
      <c r="D1227" s="20" t="s">
        <v>3042</v>
      </c>
      <c r="E1227" t="s">
        <v>0</v>
      </c>
      <c r="F1227" t="s">
        <v>75</v>
      </c>
      <c r="G1227" t="s">
        <v>2292</v>
      </c>
      <c r="H1227">
        <v>8</v>
      </c>
      <c r="I1227">
        <f t="shared" si="21"/>
        <v>10</v>
      </c>
    </row>
    <row r="1228" spans="1:9">
      <c r="A1228" s="1">
        <v>42768.011111111111</v>
      </c>
      <c r="B1228" s="19">
        <v>42506</v>
      </c>
      <c r="C1228" s="21">
        <v>0.27291666666666664</v>
      </c>
      <c r="D1228" s="20" t="s">
        <v>3031</v>
      </c>
      <c r="E1228" t="s">
        <v>149</v>
      </c>
      <c r="F1228" t="s">
        <v>150</v>
      </c>
      <c r="G1228" t="s">
        <v>2298</v>
      </c>
      <c r="H1228">
        <v>5</v>
      </c>
      <c r="I1228">
        <f t="shared" si="21"/>
        <v>7</v>
      </c>
    </row>
    <row r="1229" spans="1:9">
      <c r="A1229" s="1">
        <v>42768.934027777781</v>
      </c>
      <c r="B1229" s="19">
        <v>42506</v>
      </c>
      <c r="C1229" s="21">
        <v>0.24722222222222223</v>
      </c>
      <c r="D1229" s="20" t="s">
        <v>3055</v>
      </c>
      <c r="E1229" t="s">
        <v>0</v>
      </c>
      <c r="F1229" t="s">
        <v>10</v>
      </c>
      <c r="G1229" t="s">
        <v>2299</v>
      </c>
      <c r="H1229">
        <v>13</v>
      </c>
      <c r="I1229">
        <f t="shared" si="21"/>
        <v>17</v>
      </c>
    </row>
    <row r="1230" spans="1:9">
      <c r="A1230" s="1">
        <v>42768.76458333333</v>
      </c>
      <c r="B1230" s="19">
        <v>42506</v>
      </c>
      <c r="C1230" s="21">
        <v>0.75416666666666665</v>
      </c>
      <c r="D1230" s="20" t="s">
        <v>3045</v>
      </c>
      <c r="E1230" t="s">
        <v>6</v>
      </c>
      <c r="F1230" t="s">
        <v>273</v>
      </c>
      <c r="G1230" t="s">
        <v>2289</v>
      </c>
      <c r="H1230">
        <v>9</v>
      </c>
      <c r="I1230">
        <f t="shared" si="21"/>
        <v>12</v>
      </c>
    </row>
    <row r="1231" spans="1:9">
      <c r="A1231" s="1">
        <v>42768.540277777778</v>
      </c>
      <c r="B1231" s="19">
        <v>42506</v>
      </c>
      <c r="C1231" s="21">
        <v>0.56388888888888888</v>
      </c>
      <c r="D1231" s="20" t="s">
        <v>3039</v>
      </c>
      <c r="E1231" t="s">
        <v>6</v>
      </c>
      <c r="F1231" t="s">
        <v>76</v>
      </c>
      <c r="G1231" t="s">
        <v>2293</v>
      </c>
      <c r="H1231">
        <v>25</v>
      </c>
      <c r="I1231">
        <f t="shared" si="21"/>
        <v>31</v>
      </c>
    </row>
    <row r="1232" spans="1:9">
      <c r="A1232" s="1">
        <v>42768.381944444445</v>
      </c>
      <c r="B1232" s="19">
        <v>42506</v>
      </c>
      <c r="C1232" s="21">
        <v>0.46527777777777779</v>
      </c>
      <c r="D1232" s="20" t="s">
        <v>3037</v>
      </c>
      <c r="E1232" t="s">
        <v>2</v>
      </c>
      <c r="F1232" t="s">
        <v>48</v>
      </c>
      <c r="G1232" t="s">
        <v>2294</v>
      </c>
      <c r="H1232">
        <v>7</v>
      </c>
      <c r="I1232">
        <f t="shared" si="21"/>
        <v>9</v>
      </c>
    </row>
    <row r="1233" spans="1:9">
      <c r="A1233" s="1">
        <v>42768.250694444447</v>
      </c>
      <c r="B1233" s="19">
        <v>42506</v>
      </c>
      <c r="C1233" s="21">
        <v>0.4465277777777778</v>
      </c>
      <c r="D1233" s="20" t="s">
        <v>3036</v>
      </c>
      <c r="E1233" t="s">
        <v>2</v>
      </c>
      <c r="F1233" t="s">
        <v>48</v>
      </c>
      <c r="G1233" t="s">
        <v>51</v>
      </c>
      <c r="H1233">
        <v>13</v>
      </c>
      <c r="I1233">
        <f t="shared" si="21"/>
        <v>17</v>
      </c>
    </row>
    <row r="1234" spans="1:9">
      <c r="A1234" s="1">
        <v>42767.964583333334</v>
      </c>
      <c r="B1234" s="19">
        <v>42506</v>
      </c>
      <c r="C1234" s="21">
        <v>0.43819444444444444</v>
      </c>
      <c r="D1234" s="20" t="s">
        <v>3036</v>
      </c>
      <c r="E1234" t="s">
        <v>6</v>
      </c>
      <c r="F1234" t="s">
        <v>12</v>
      </c>
      <c r="G1234" t="s">
        <v>2295</v>
      </c>
      <c r="H1234">
        <v>7</v>
      </c>
      <c r="I1234">
        <f t="shared" si="21"/>
        <v>9</v>
      </c>
    </row>
    <row r="1235" spans="1:9">
      <c r="A1235" s="1">
        <v>42767.865972222222</v>
      </c>
      <c r="B1235" s="19">
        <v>42506</v>
      </c>
      <c r="C1235" s="21">
        <v>0.34444444444444444</v>
      </c>
      <c r="D1235" s="20" t="s">
        <v>3034</v>
      </c>
      <c r="E1235" t="s">
        <v>6</v>
      </c>
      <c r="F1235" t="s">
        <v>12</v>
      </c>
      <c r="G1235" t="s">
        <v>2296</v>
      </c>
      <c r="H1235">
        <v>7</v>
      </c>
      <c r="I1235">
        <f t="shared" si="21"/>
        <v>9</v>
      </c>
    </row>
    <row r="1236" spans="1:9">
      <c r="A1236" s="1">
        <v>42767.670138888891</v>
      </c>
      <c r="B1236" s="19">
        <v>42506</v>
      </c>
      <c r="C1236" s="21">
        <v>0.31458333333333333</v>
      </c>
      <c r="D1236" s="20" t="s">
        <v>3033</v>
      </c>
      <c r="E1236" t="s">
        <v>6</v>
      </c>
      <c r="F1236" t="s">
        <v>12</v>
      </c>
      <c r="G1236" t="s">
        <v>2297</v>
      </c>
      <c r="H1236">
        <v>7</v>
      </c>
      <c r="I1236">
        <f t="shared" si="21"/>
        <v>9</v>
      </c>
    </row>
    <row r="1237" spans="1:9">
      <c r="A1237" s="1">
        <v>42767.571527777778</v>
      </c>
      <c r="B1237" s="19">
        <v>42507</v>
      </c>
      <c r="C1237" s="21">
        <v>0.91805555555555551</v>
      </c>
      <c r="D1237" s="20" t="s">
        <v>3049</v>
      </c>
      <c r="E1237" t="s">
        <v>0</v>
      </c>
      <c r="F1237" t="s">
        <v>10</v>
      </c>
      <c r="G1237" t="s">
        <v>2269</v>
      </c>
      <c r="H1237">
        <v>13</v>
      </c>
      <c r="I1237">
        <f t="shared" si="21"/>
        <v>17</v>
      </c>
    </row>
    <row r="1238" spans="1:9">
      <c r="A1238" s="1">
        <v>42767.34375</v>
      </c>
      <c r="B1238" s="19">
        <v>42507</v>
      </c>
      <c r="C1238" s="21">
        <v>0.90694444444444444</v>
      </c>
      <c r="D1238" s="20" t="s">
        <v>3048</v>
      </c>
      <c r="H1238">
        <v>0</v>
      </c>
      <c r="I1238">
        <f t="shared" si="21"/>
        <v>0</v>
      </c>
    </row>
    <row r="1239" spans="1:9">
      <c r="A1239" s="1">
        <v>42767.211805555555</v>
      </c>
      <c r="B1239" s="19">
        <v>42507</v>
      </c>
      <c r="C1239" s="21">
        <v>0.84513888888888888</v>
      </c>
      <c r="D1239" s="20" t="s">
        <v>3047</v>
      </c>
      <c r="E1239" t="s">
        <v>33</v>
      </c>
      <c r="F1239" t="s">
        <v>44</v>
      </c>
      <c r="G1239" t="s">
        <v>2270</v>
      </c>
      <c r="H1239">
        <v>2</v>
      </c>
      <c r="I1239">
        <f t="shared" si="21"/>
        <v>3</v>
      </c>
    </row>
    <row r="1240" spans="1:9">
      <c r="A1240" s="1">
        <v>42767.121527777781</v>
      </c>
      <c r="B1240" s="19">
        <v>42507</v>
      </c>
      <c r="C1240" s="21">
        <v>0.81597222222222221</v>
      </c>
      <c r="D1240" s="20" t="s">
        <v>3046</v>
      </c>
      <c r="E1240" t="s">
        <v>33</v>
      </c>
      <c r="F1240" t="s">
        <v>44</v>
      </c>
      <c r="G1240" t="s">
        <v>2270</v>
      </c>
      <c r="H1240">
        <v>2</v>
      </c>
      <c r="I1240">
        <f t="shared" si="21"/>
        <v>3</v>
      </c>
    </row>
    <row r="1241" spans="1:9">
      <c r="A1241" s="1">
        <v>42767.116666666669</v>
      </c>
      <c r="B1241" s="19">
        <v>42507</v>
      </c>
      <c r="C1241" s="21">
        <v>0.57638888888888884</v>
      </c>
      <c r="D1241" s="20" t="s">
        <v>3039</v>
      </c>
      <c r="E1241" t="s">
        <v>0</v>
      </c>
      <c r="F1241" t="s">
        <v>10</v>
      </c>
      <c r="G1241" t="s">
        <v>145</v>
      </c>
      <c r="H1241">
        <v>13</v>
      </c>
      <c r="I1241">
        <f t="shared" si="21"/>
        <v>17</v>
      </c>
    </row>
    <row r="1242" spans="1:9">
      <c r="A1242" s="1">
        <v>42767.018055555556</v>
      </c>
      <c r="B1242" s="19">
        <v>42507</v>
      </c>
      <c r="C1242" s="21">
        <v>0.25347222222222221</v>
      </c>
      <c r="D1242" s="20" t="s">
        <v>3031</v>
      </c>
      <c r="E1242" t="s">
        <v>0</v>
      </c>
      <c r="F1242" t="s">
        <v>10</v>
      </c>
      <c r="G1242" t="s">
        <v>84</v>
      </c>
      <c r="H1242">
        <v>13</v>
      </c>
      <c r="I1242">
        <f t="shared" si="21"/>
        <v>17</v>
      </c>
    </row>
    <row r="1243" spans="1:9">
      <c r="A1243" s="1">
        <v>42767.009722222225</v>
      </c>
      <c r="B1243" s="19">
        <v>42507</v>
      </c>
      <c r="C1243" s="21">
        <v>0.24305555555555555</v>
      </c>
      <c r="D1243" s="20" t="s">
        <v>3055</v>
      </c>
      <c r="E1243" t="s">
        <v>0</v>
      </c>
      <c r="F1243" t="s">
        <v>10</v>
      </c>
      <c r="G1243" t="s">
        <v>84</v>
      </c>
      <c r="H1243">
        <v>13</v>
      </c>
      <c r="I1243">
        <f t="shared" si="21"/>
        <v>17</v>
      </c>
    </row>
    <row r="1244" spans="1:9">
      <c r="A1244" s="1">
        <v>42767.952777777777</v>
      </c>
      <c r="B1244" s="19">
        <v>42507</v>
      </c>
      <c r="C1244" s="21">
        <v>9.6527777777777782E-2</v>
      </c>
      <c r="D1244" s="20" t="s">
        <v>3052</v>
      </c>
      <c r="E1244" t="s">
        <v>0</v>
      </c>
      <c r="G1244" t="s">
        <v>2284</v>
      </c>
      <c r="H1244">
        <v>8</v>
      </c>
      <c r="I1244">
        <f t="shared" si="21"/>
        <v>10</v>
      </c>
    </row>
    <row r="1245" spans="1:9">
      <c r="A1245" s="1">
        <v>42767.915972222225</v>
      </c>
      <c r="B1245" s="19">
        <v>42507</v>
      </c>
      <c r="C1245" s="21">
        <v>0.62916666666666665</v>
      </c>
      <c r="D1245" s="20" t="s">
        <v>3042</v>
      </c>
      <c r="E1245" t="s">
        <v>6</v>
      </c>
      <c r="F1245" t="s">
        <v>89</v>
      </c>
      <c r="G1245" t="s">
        <v>2271</v>
      </c>
      <c r="H1245">
        <v>13</v>
      </c>
      <c r="I1245">
        <f t="shared" si="21"/>
        <v>17</v>
      </c>
    </row>
    <row r="1246" spans="1:9">
      <c r="A1246" s="1">
        <v>42767.915972222225</v>
      </c>
      <c r="B1246" s="19">
        <v>42507</v>
      </c>
      <c r="C1246" s="21">
        <v>0.62916666666666665</v>
      </c>
      <c r="D1246" s="20" t="s">
        <v>3042</v>
      </c>
      <c r="E1246" t="s">
        <v>6</v>
      </c>
      <c r="F1246" t="s">
        <v>89</v>
      </c>
      <c r="G1246" t="s">
        <v>2272</v>
      </c>
      <c r="H1246" t="e">
        <v>#VALUE!</v>
      </c>
      <c r="I1246" t="e">
        <f t="shared" si="21"/>
        <v>#VALUE!</v>
      </c>
    </row>
    <row r="1247" spans="1:9">
      <c r="A1247" s="1">
        <v>42767.90902777778</v>
      </c>
      <c r="B1247" s="19">
        <v>42507</v>
      </c>
      <c r="C1247" s="21">
        <v>0.59027777777777779</v>
      </c>
      <c r="D1247" s="20" t="s">
        <v>3040</v>
      </c>
      <c r="E1247" t="s">
        <v>6</v>
      </c>
      <c r="F1247" t="s">
        <v>89</v>
      </c>
      <c r="G1247" t="s">
        <v>2273</v>
      </c>
      <c r="H1247">
        <v>75</v>
      </c>
      <c r="I1247">
        <f t="shared" si="21"/>
        <v>93</v>
      </c>
    </row>
    <row r="1248" spans="1:9">
      <c r="A1248" s="1">
        <v>42767.680555555555</v>
      </c>
      <c r="B1248" s="19">
        <v>42507</v>
      </c>
      <c r="C1248" s="21">
        <v>0.54791666666666672</v>
      </c>
      <c r="D1248" s="20" t="s">
        <v>3039</v>
      </c>
      <c r="E1248" t="s">
        <v>2</v>
      </c>
      <c r="F1248" t="s">
        <v>3</v>
      </c>
      <c r="G1248" t="s">
        <v>2274</v>
      </c>
      <c r="H1248">
        <v>38</v>
      </c>
      <c r="I1248">
        <f t="shared" si="21"/>
        <v>48</v>
      </c>
    </row>
    <row r="1249" spans="1:9">
      <c r="A1249" s="1">
        <v>42767.604166666664</v>
      </c>
      <c r="B1249" s="19">
        <v>42507</v>
      </c>
      <c r="C1249" s="21">
        <v>0.53125</v>
      </c>
      <c r="D1249" s="20" t="s">
        <v>3038</v>
      </c>
      <c r="E1249" t="s">
        <v>6</v>
      </c>
      <c r="F1249" t="s">
        <v>89</v>
      </c>
      <c r="G1249" t="s">
        <v>2275</v>
      </c>
      <c r="H1249" t="e">
        <v>#VALUE!</v>
      </c>
      <c r="I1249" t="e">
        <f t="shared" si="21"/>
        <v>#VALUE!</v>
      </c>
    </row>
    <row r="1250" spans="1:9">
      <c r="A1250" s="1">
        <v>42767.581944444442</v>
      </c>
      <c r="B1250" s="19">
        <v>42507</v>
      </c>
      <c r="C1250" s="21">
        <v>0.34375</v>
      </c>
      <c r="D1250" s="20" t="s">
        <v>3034</v>
      </c>
      <c r="E1250" t="s">
        <v>6</v>
      </c>
      <c r="G1250" t="s">
        <v>2276</v>
      </c>
      <c r="H1250">
        <v>13</v>
      </c>
      <c r="I1250">
        <f t="shared" si="21"/>
        <v>17</v>
      </c>
    </row>
    <row r="1251" spans="1:9">
      <c r="A1251" s="1">
        <v>42767.411111111112</v>
      </c>
      <c r="B1251" s="19">
        <v>42507</v>
      </c>
      <c r="C1251" s="21">
        <v>0.33333333333333331</v>
      </c>
      <c r="D1251" s="20" t="s">
        <v>3034</v>
      </c>
      <c r="E1251" t="s">
        <v>2</v>
      </c>
      <c r="F1251" t="s">
        <v>48</v>
      </c>
      <c r="G1251" t="s">
        <v>2277</v>
      </c>
      <c r="H1251">
        <v>7</v>
      </c>
      <c r="I1251">
        <f t="shared" si="21"/>
        <v>9</v>
      </c>
    </row>
    <row r="1252" spans="1:9">
      <c r="A1252" s="1">
        <v>42767.25277777778</v>
      </c>
      <c r="B1252" s="19">
        <v>42507</v>
      </c>
      <c r="C1252" s="21">
        <v>0.32291666666666669</v>
      </c>
      <c r="D1252" s="20" t="s">
        <v>3033</v>
      </c>
      <c r="E1252" t="s">
        <v>2</v>
      </c>
      <c r="F1252" t="s">
        <v>5</v>
      </c>
      <c r="G1252" t="s">
        <v>2278</v>
      </c>
      <c r="H1252" t="e">
        <v>#VALUE!</v>
      </c>
      <c r="I1252" t="e">
        <f t="shared" si="21"/>
        <v>#VALUE!</v>
      </c>
    </row>
    <row r="1253" spans="1:9">
      <c r="A1253" s="1">
        <v>42767.049305555556</v>
      </c>
      <c r="B1253" s="19">
        <v>42507</v>
      </c>
      <c r="C1253" s="21">
        <v>0.31666666666666665</v>
      </c>
      <c r="D1253" s="20" t="s">
        <v>3033</v>
      </c>
      <c r="E1253" t="s">
        <v>6</v>
      </c>
      <c r="F1253" t="s">
        <v>12</v>
      </c>
      <c r="G1253" t="s">
        <v>2279</v>
      </c>
      <c r="H1253">
        <v>5</v>
      </c>
      <c r="I1253">
        <f t="shared" si="21"/>
        <v>7</v>
      </c>
    </row>
    <row r="1254" spans="1:9">
      <c r="A1254" s="1">
        <v>42767.043055555558</v>
      </c>
      <c r="B1254" s="19">
        <v>42507</v>
      </c>
      <c r="C1254" s="21">
        <v>0.24930555555555556</v>
      </c>
      <c r="D1254" s="20" t="s">
        <v>3055</v>
      </c>
      <c r="E1254" t="s">
        <v>6</v>
      </c>
      <c r="F1254" t="s">
        <v>7</v>
      </c>
      <c r="G1254" t="s">
        <v>2280</v>
      </c>
      <c r="H1254">
        <v>2</v>
      </c>
      <c r="I1254">
        <f t="shared" si="21"/>
        <v>3</v>
      </c>
    </row>
    <row r="1255" spans="1:9">
      <c r="A1255" s="1">
        <v>42766.222222222219</v>
      </c>
      <c r="B1255" s="19">
        <v>42507</v>
      </c>
      <c r="C1255" s="21">
        <v>0.21527777777777779</v>
      </c>
      <c r="D1255" s="20" t="s">
        <v>3055</v>
      </c>
      <c r="E1255" t="s">
        <v>2</v>
      </c>
      <c r="F1255" t="s">
        <v>5</v>
      </c>
      <c r="G1255" t="s">
        <v>2281</v>
      </c>
      <c r="H1255">
        <v>19</v>
      </c>
      <c r="I1255">
        <f t="shared" si="21"/>
        <v>24</v>
      </c>
    </row>
    <row r="1256" spans="1:9">
      <c r="A1256" s="1">
        <v>42766.217361111114</v>
      </c>
      <c r="B1256" s="19">
        <v>42507</v>
      </c>
      <c r="C1256" s="21">
        <v>0.1875</v>
      </c>
      <c r="D1256" s="20" t="s">
        <v>3054</v>
      </c>
      <c r="E1256" t="s">
        <v>6</v>
      </c>
      <c r="F1256" t="s">
        <v>273</v>
      </c>
      <c r="G1256" t="s">
        <v>2282</v>
      </c>
      <c r="H1256">
        <v>35</v>
      </c>
      <c r="I1256">
        <f t="shared" si="21"/>
        <v>44</v>
      </c>
    </row>
    <row r="1257" spans="1:9">
      <c r="A1257" s="1">
        <v>42766.049305555556</v>
      </c>
      <c r="B1257" s="19">
        <v>42507</v>
      </c>
      <c r="C1257" s="21">
        <v>0.13541666666666666</v>
      </c>
      <c r="D1257" s="20" t="s">
        <v>3053</v>
      </c>
      <c r="E1257" t="s">
        <v>2</v>
      </c>
      <c r="F1257" t="s">
        <v>3</v>
      </c>
      <c r="G1257" t="s">
        <v>2283</v>
      </c>
      <c r="H1257">
        <v>50</v>
      </c>
      <c r="I1257">
        <f t="shared" si="21"/>
        <v>62</v>
      </c>
    </row>
    <row r="1258" spans="1:9">
      <c r="A1258" s="1">
        <v>42766.916666666664</v>
      </c>
      <c r="B1258" s="19">
        <v>42508</v>
      </c>
      <c r="C1258" s="21">
        <v>0.99444444444444446</v>
      </c>
      <c r="D1258" s="20" t="s">
        <v>3063</v>
      </c>
      <c r="E1258" t="s">
        <v>33</v>
      </c>
      <c r="F1258" t="s">
        <v>44</v>
      </c>
      <c r="H1258" t="e">
        <v>#VALUE!</v>
      </c>
      <c r="I1258" t="e">
        <f t="shared" si="21"/>
        <v>#VALUE!</v>
      </c>
    </row>
    <row r="1259" spans="1:9">
      <c r="A1259" s="1">
        <v>42766.645833333336</v>
      </c>
      <c r="B1259" s="19">
        <v>42508</v>
      </c>
      <c r="C1259" s="21">
        <v>0.94305555555555554</v>
      </c>
      <c r="D1259" s="20" t="s">
        <v>3049</v>
      </c>
      <c r="E1259" t="s">
        <v>33</v>
      </c>
      <c r="F1259" t="s">
        <v>44</v>
      </c>
      <c r="G1259" t="s">
        <v>1940</v>
      </c>
      <c r="H1259" t="e">
        <v>#VALUE!</v>
      </c>
      <c r="I1259" t="e">
        <f t="shared" si="21"/>
        <v>#VALUE!</v>
      </c>
    </row>
    <row r="1260" spans="1:9">
      <c r="A1260" s="1">
        <v>42766.254166666666</v>
      </c>
      <c r="B1260" s="19">
        <v>42508</v>
      </c>
      <c r="C1260" s="21">
        <v>0.91527777777777775</v>
      </c>
      <c r="D1260" s="20" t="s">
        <v>3048</v>
      </c>
      <c r="E1260" t="s">
        <v>0</v>
      </c>
      <c r="F1260" t="s">
        <v>10</v>
      </c>
      <c r="G1260" t="s">
        <v>2249</v>
      </c>
      <c r="H1260">
        <v>13</v>
      </c>
      <c r="I1260">
        <f t="shared" si="21"/>
        <v>17</v>
      </c>
    </row>
    <row r="1261" spans="1:9">
      <c r="A1261" s="1">
        <v>42766.240277777775</v>
      </c>
      <c r="B1261" s="19">
        <v>42508</v>
      </c>
      <c r="C1261" s="21">
        <v>0.90555555555555556</v>
      </c>
      <c r="D1261" s="20" t="s">
        <v>3048</v>
      </c>
      <c r="E1261" t="s">
        <v>0</v>
      </c>
      <c r="F1261" t="s">
        <v>10</v>
      </c>
      <c r="G1261" t="s">
        <v>2250</v>
      </c>
      <c r="H1261">
        <v>13</v>
      </c>
      <c r="I1261">
        <f t="shared" si="21"/>
        <v>17</v>
      </c>
    </row>
    <row r="1262" spans="1:9">
      <c r="A1262" s="1">
        <v>42765.966666666667</v>
      </c>
      <c r="B1262" s="19">
        <v>42508</v>
      </c>
      <c r="C1262" s="21">
        <v>0.86111111111111116</v>
      </c>
      <c r="D1262" s="20" t="s">
        <v>3047</v>
      </c>
      <c r="E1262" t="s">
        <v>77</v>
      </c>
      <c r="F1262" t="s">
        <v>78</v>
      </c>
      <c r="G1262" t="s">
        <v>2251</v>
      </c>
      <c r="H1262">
        <v>7</v>
      </c>
      <c r="I1262">
        <f t="shared" si="21"/>
        <v>9</v>
      </c>
    </row>
    <row r="1263" spans="1:9">
      <c r="A1263" s="1">
        <v>42765.862500000003</v>
      </c>
      <c r="B1263" s="19">
        <v>42508</v>
      </c>
      <c r="C1263" s="21">
        <v>0.62430555555555556</v>
      </c>
      <c r="D1263" s="20" t="s">
        <v>3040</v>
      </c>
      <c r="E1263" t="s">
        <v>33</v>
      </c>
      <c r="F1263" t="s">
        <v>44</v>
      </c>
      <c r="G1263" t="s">
        <v>2253</v>
      </c>
      <c r="H1263" t="e">
        <v>#VALUE!</v>
      </c>
      <c r="I1263" t="e">
        <f t="shared" si="21"/>
        <v>#VALUE!</v>
      </c>
    </row>
    <row r="1264" spans="1:9">
      <c r="A1264" s="1">
        <v>42765.513888888891</v>
      </c>
      <c r="B1264" s="19">
        <v>42508</v>
      </c>
      <c r="C1264" s="21">
        <v>0.54166666666666663</v>
      </c>
      <c r="D1264" s="20" t="s">
        <v>3039</v>
      </c>
      <c r="E1264" t="s">
        <v>149</v>
      </c>
      <c r="F1264" t="s">
        <v>150</v>
      </c>
      <c r="G1264" t="s">
        <v>2240</v>
      </c>
      <c r="H1264">
        <v>38</v>
      </c>
      <c r="I1264">
        <f t="shared" si="21"/>
        <v>48</v>
      </c>
    </row>
    <row r="1265" spans="1:9">
      <c r="A1265" s="1">
        <v>42765.334722222222</v>
      </c>
      <c r="B1265" s="19">
        <v>42508</v>
      </c>
      <c r="C1265" s="21">
        <v>0.27083333333333331</v>
      </c>
      <c r="D1265" s="20" t="s">
        <v>3031</v>
      </c>
      <c r="E1265" t="s">
        <v>33</v>
      </c>
      <c r="G1265" t="s">
        <v>2258</v>
      </c>
      <c r="H1265">
        <v>2</v>
      </c>
      <c r="I1265">
        <f t="shared" si="21"/>
        <v>3</v>
      </c>
    </row>
    <row r="1266" spans="1:9">
      <c r="A1266" s="1">
        <v>42765.286111111112</v>
      </c>
      <c r="B1266" s="19">
        <v>42508</v>
      </c>
      <c r="C1266" s="21">
        <v>0.25208333333333333</v>
      </c>
      <c r="D1266" s="20" t="s">
        <v>3031</v>
      </c>
      <c r="E1266" t="s">
        <v>0</v>
      </c>
      <c r="F1266" t="s">
        <v>10</v>
      </c>
      <c r="G1266" t="s">
        <v>2260</v>
      </c>
      <c r="H1266">
        <v>13</v>
      </c>
      <c r="I1266">
        <f t="shared" si="21"/>
        <v>17</v>
      </c>
    </row>
    <row r="1267" spans="1:9">
      <c r="A1267" s="1">
        <v>42765.915972222225</v>
      </c>
      <c r="B1267" s="19">
        <v>42508</v>
      </c>
      <c r="C1267" s="21">
        <v>0.24305555555555555</v>
      </c>
      <c r="D1267" s="20" t="s">
        <v>3055</v>
      </c>
      <c r="E1267" t="s">
        <v>0</v>
      </c>
      <c r="F1267" t="s">
        <v>10</v>
      </c>
      <c r="G1267" t="s">
        <v>2261</v>
      </c>
      <c r="H1267">
        <v>13</v>
      </c>
      <c r="I1267">
        <f t="shared" si="21"/>
        <v>17</v>
      </c>
    </row>
    <row r="1268" spans="1:9">
      <c r="A1268" s="1">
        <v>42765.915972222225</v>
      </c>
      <c r="B1268" s="19">
        <v>42508</v>
      </c>
      <c r="C1268" s="21">
        <v>0.18680555555555556</v>
      </c>
      <c r="D1268" s="20" t="s">
        <v>3054</v>
      </c>
      <c r="E1268" t="s">
        <v>0</v>
      </c>
      <c r="G1268" t="s">
        <v>2263</v>
      </c>
      <c r="H1268">
        <v>19</v>
      </c>
      <c r="I1268">
        <f t="shared" si="21"/>
        <v>24</v>
      </c>
    </row>
    <row r="1269" spans="1:9">
      <c r="A1269" s="1">
        <v>42765.909722222219</v>
      </c>
      <c r="B1269" s="19">
        <v>42508</v>
      </c>
      <c r="C1269" s="21">
        <v>0.14097222222222222</v>
      </c>
      <c r="D1269" s="20" t="s">
        <v>3053</v>
      </c>
      <c r="E1269" t="s">
        <v>149</v>
      </c>
      <c r="F1269" t="s">
        <v>150</v>
      </c>
      <c r="G1269" t="s">
        <v>2264</v>
      </c>
      <c r="H1269">
        <v>7</v>
      </c>
      <c r="I1269">
        <f t="shared" si="21"/>
        <v>9</v>
      </c>
    </row>
    <row r="1270" spans="1:9">
      <c r="A1270" s="1">
        <v>42765.256944444445</v>
      </c>
      <c r="B1270" s="19">
        <v>42508</v>
      </c>
      <c r="C1270" s="21">
        <v>0.12291666666666666</v>
      </c>
      <c r="D1270" s="20" t="s">
        <v>3052</v>
      </c>
      <c r="E1270" t="s">
        <v>77</v>
      </c>
      <c r="F1270" t="s">
        <v>159</v>
      </c>
      <c r="G1270" t="s">
        <v>2265</v>
      </c>
      <c r="H1270">
        <v>9</v>
      </c>
      <c r="I1270">
        <f t="shared" si="21"/>
        <v>12</v>
      </c>
    </row>
    <row r="1271" spans="1:9">
      <c r="A1271" s="1">
        <v>42763.088194444441</v>
      </c>
      <c r="B1271" s="19">
        <v>42508</v>
      </c>
      <c r="C1271" s="21">
        <v>9.0972222222222218E-2</v>
      </c>
      <c r="D1271" s="20" t="s">
        <v>3052</v>
      </c>
      <c r="E1271" t="s">
        <v>77</v>
      </c>
      <c r="F1271" t="s">
        <v>159</v>
      </c>
      <c r="G1271" t="s">
        <v>2266</v>
      </c>
      <c r="H1271" t="e">
        <v>#VALUE!</v>
      </c>
      <c r="I1271" t="e">
        <f t="shared" si="21"/>
        <v>#VALUE!</v>
      </c>
    </row>
    <row r="1272" spans="1:9">
      <c r="A1272" s="1">
        <v>42762.918055555558</v>
      </c>
      <c r="B1272" s="19">
        <v>42508</v>
      </c>
      <c r="C1272" s="21">
        <v>3.2638888888888891E-2</v>
      </c>
      <c r="D1272" s="20" t="s">
        <v>3050</v>
      </c>
      <c r="E1272" t="s">
        <v>33</v>
      </c>
      <c r="F1272" t="s">
        <v>44</v>
      </c>
      <c r="G1272" t="s">
        <v>2268</v>
      </c>
      <c r="H1272">
        <v>17</v>
      </c>
      <c r="I1272">
        <f t="shared" si="21"/>
        <v>22</v>
      </c>
    </row>
    <row r="1273" spans="1:9">
      <c r="A1273" s="1">
        <v>42762.589583333334</v>
      </c>
      <c r="B1273" s="19">
        <v>42508</v>
      </c>
      <c r="C1273" s="21">
        <v>0.68541666666666667</v>
      </c>
      <c r="D1273" s="20" t="s">
        <v>3043</v>
      </c>
      <c r="E1273" t="s">
        <v>6</v>
      </c>
      <c r="F1273" t="s">
        <v>26</v>
      </c>
      <c r="G1273" t="s">
        <v>2252</v>
      </c>
      <c r="H1273">
        <v>10</v>
      </c>
      <c r="I1273">
        <f t="shared" si="21"/>
        <v>13</v>
      </c>
    </row>
    <row r="1274" spans="1:9">
      <c r="A1274" s="1">
        <v>42762.249305555553</v>
      </c>
      <c r="B1274" s="19">
        <v>42508</v>
      </c>
      <c r="C1274" s="21">
        <v>0.6645833333333333</v>
      </c>
      <c r="D1274" s="20" t="s">
        <v>3042</v>
      </c>
      <c r="E1274" t="s">
        <v>6</v>
      </c>
      <c r="F1274" t="s">
        <v>26</v>
      </c>
      <c r="G1274" t="s">
        <v>2252</v>
      </c>
      <c r="H1274">
        <v>10</v>
      </c>
      <c r="I1274">
        <f t="shared" si="21"/>
        <v>13</v>
      </c>
    </row>
    <row r="1275" spans="1:9">
      <c r="A1275" s="1">
        <v>42762.208333333336</v>
      </c>
      <c r="B1275" s="19">
        <v>42508</v>
      </c>
      <c r="C1275" s="21">
        <v>0.49305555555555558</v>
      </c>
      <c r="D1275" s="20" t="s">
        <v>3037</v>
      </c>
      <c r="E1275" t="s">
        <v>2</v>
      </c>
      <c r="G1275" t="s">
        <v>2254</v>
      </c>
      <c r="H1275">
        <v>56</v>
      </c>
      <c r="I1275">
        <f t="shared" si="21"/>
        <v>70</v>
      </c>
    </row>
    <row r="1276" spans="1:9">
      <c r="A1276" s="1">
        <v>42762.900694444441</v>
      </c>
      <c r="B1276" s="19">
        <v>42508</v>
      </c>
      <c r="C1276" s="21">
        <v>0.43263888888888891</v>
      </c>
      <c r="D1276" s="20" t="s">
        <v>3036</v>
      </c>
      <c r="E1276" t="s">
        <v>2</v>
      </c>
      <c r="G1276" t="s">
        <v>2255</v>
      </c>
      <c r="H1276">
        <v>25</v>
      </c>
      <c r="I1276">
        <f t="shared" si="21"/>
        <v>31</v>
      </c>
    </row>
    <row r="1277" spans="1:9">
      <c r="A1277" s="1">
        <v>42762.666666666664</v>
      </c>
      <c r="B1277" s="19">
        <v>42508</v>
      </c>
      <c r="C1277" s="21">
        <v>0.37569444444444444</v>
      </c>
      <c r="D1277" s="20" t="s">
        <v>3035</v>
      </c>
      <c r="E1277" t="s">
        <v>2</v>
      </c>
      <c r="F1277" t="s">
        <v>48</v>
      </c>
      <c r="G1277" t="s">
        <v>2256</v>
      </c>
      <c r="H1277">
        <v>36</v>
      </c>
      <c r="I1277">
        <f t="shared" si="21"/>
        <v>45</v>
      </c>
    </row>
    <row r="1278" spans="1:9">
      <c r="A1278" s="1">
        <v>42762.587500000001</v>
      </c>
      <c r="B1278" s="19">
        <v>42508</v>
      </c>
      <c r="C1278" s="21">
        <v>0.30555555555555558</v>
      </c>
      <c r="D1278" s="20" t="s">
        <v>3033</v>
      </c>
      <c r="E1278" t="s">
        <v>6</v>
      </c>
      <c r="F1278" t="s">
        <v>7</v>
      </c>
      <c r="G1278" t="s">
        <v>2257</v>
      </c>
      <c r="H1278">
        <v>7</v>
      </c>
      <c r="I1278">
        <f t="shared" si="21"/>
        <v>9</v>
      </c>
    </row>
    <row r="1279" spans="1:9">
      <c r="A1279" s="1">
        <v>42762.249305555553</v>
      </c>
      <c r="B1279" s="19">
        <v>42508</v>
      </c>
      <c r="C1279" s="21">
        <v>0.26666666666666666</v>
      </c>
      <c r="D1279" s="20" t="s">
        <v>3031</v>
      </c>
      <c r="E1279" t="s">
        <v>6</v>
      </c>
      <c r="F1279" t="s">
        <v>89</v>
      </c>
      <c r="G1279" t="s">
        <v>2259</v>
      </c>
      <c r="H1279" t="e">
        <v>#VALUE!</v>
      </c>
      <c r="I1279" t="e">
        <f t="shared" si="21"/>
        <v>#VALUE!</v>
      </c>
    </row>
    <row r="1280" spans="1:9">
      <c r="A1280" s="1">
        <v>42762.243055555555</v>
      </c>
      <c r="B1280" s="19">
        <v>42508</v>
      </c>
      <c r="C1280" s="21">
        <v>0.26527777777777778</v>
      </c>
      <c r="D1280" s="20" t="s">
        <v>3031</v>
      </c>
      <c r="E1280" t="s">
        <v>2</v>
      </c>
      <c r="F1280" t="s">
        <v>5</v>
      </c>
      <c r="H1280">
        <v>5</v>
      </c>
      <c r="I1280">
        <f t="shared" si="21"/>
        <v>7</v>
      </c>
    </row>
    <row r="1281" spans="1:9">
      <c r="A1281" s="1">
        <v>42761.919444444444</v>
      </c>
      <c r="B1281" s="19">
        <v>42508</v>
      </c>
      <c r="C1281" s="21">
        <v>0.25208333333333333</v>
      </c>
      <c r="D1281" s="20" t="s">
        <v>3031</v>
      </c>
      <c r="E1281" t="s">
        <v>6</v>
      </c>
      <c r="F1281" t="s">
        <v>26</v>
      </c>
      <c r="G1281" t="s">
        <v>1918</v>
      </c>
      <c r="H1281">
        <v>28</v>
      </c>
      <c r="I1281">
        <f t="shared" si="21"/>
        <v>35</v>
      </c>
    </row>
    <row r="1282" spans="1:9">
      <c r="A1282" s="1">
        <v>42761.640277777777</v>
      </c>
      <c r="B1282" s="19">
        <v>42508</v>
      </c>
      <c r="C1282" s="21">
        <v>0.19722222222222222</v>
      </c>
      <c r="D1282" s="20" t="s">
        <v>3054</v>
      </c>
      <c r="E1282" t="s">
        <v>6</v>
      </c>
      <c r="F1282" t="s">
        <v>26</v>
      </c>
      <c r="G1282" t="s">
        <v>2262</v>
      </c>
      <c r="H1282" t="e">
        <v>#VALUE!</v>
      </c>
      <c r="I1282" t="e">
        <f t="shared" si="21"/>
        <v>#VALUE!</v>
      </c>
    </row>
    <row r="1283" spans="1:9">
      <c r="A1283" s="1">
        <v>42761.565972222219</v>
      </c>
      <c r="B1283" s="19">
        <v>42508</v>
      </c>
      <c r="C1283" s="21">
        <v>0.17986111111111111</v>
      </c>
      <c r="D1283" s="20" t="s">
        <v>3054</v>
      </c>
      <c r="E1283" t="s">
        <v>6</v>
      </c>
      <c r="F1283" t="s">
        <v>12</v>
      </c>
      <c r="G1283" t="s">
        <v>1675</v>
      </c>
      <c r="H1283">
        <v>4</v>
      </c>
      <c r="I1283">
        <f t="shared" ref="I1283:I1346" si="22">ROUNDUP((H1283*1.24), 0)</f>
        <v>5</v>
      </c>
    </row>
    <row r="1284" spans="1:9">
      <c r="A1284" s="1">
        <v>42761.48333333333</v>
      </c>
      <c r="B1284" s="19">
        <v>42508</v>
      </c>
      <c r="C1284" s="21">
        <v>5.9027777777777776E-2</v>
      </c>
      <c r="D1284" s="20" t="s">
        <v>3051</v>
      </c>
      <c r="E1284" t="s">
        <v>2</v>
      </c>
      <c r="F1284" t="s">
        <v>5</v>
      </c>
      <c r="G1284" t="s">
        <v>2267</v>
      </c>
      <c r="H1284">
        <v>28</v>
      </c>
      <c r="I1284">
        <f t="shared" si="22"/>
        <v>35</v>
      </c>
    </row>
    <row r="1285" spans="1:9">
      <c r="A1285" s="1">
        <v>42761.478472222225</v>
      </c>
      <c r="B1285" s="19">
        <v>42509</v>
      </c>
      <c r="C1285" s="21">
        <v>0.71666666666666667</v>
      </c>
      <c r="D1285" s="20" t="s">
        <v>3044</v>
      </c>
      <c r="E1285" t="s">
        <v>77</v>
      </c>
      <c r="F1285" t="s">
        <v>78</v>
      </c>
      <c r="G1285" t="s">
        <v>2229</v>
      </c>
      <c r="H1285">
        <v>4</v>
      </c>
      <c r="I1285">
        <f t="shared" si="22"/>
        <v>5</v>
      </c>
    </row>
    <row r="1286" spans="1:9">
      <c r="A1286" s="1">
        <v>42761.441666666666</v>
      </c>
      <c r="B1286" s="19">
        <v>42509</v>
      </c>
      <c r="C1286" s="21">
        <v>0.70347222222222228</v>
      </c>
      <c r="D1286" s="20" t="s">
        <v>3043</v>
      </c>
      <c r="E1286" t="s">
        <v>33</v>
      </c>
      <c r="F1286" t="s">
        <v>44</v>
      </c>
      <c r="G1286" t="s">
        <v>2230</v>
      </c>
      <c r="H1286" t="e">
        <v>#VALUE!</v>
      </c>
      <c r="I1286" t="e">
        <f t="shared" si="22"/>
        <v>#VALUE!</v>
      </c>
    </row>
    <row r="1287" spans="1:9">
      <c r="A1287" s="1">
        <v>42761.395833333336</v>
      </c>
      <c r="B1287" s="19">
        <v>42509</v>
      </c>
      <c r="C1287" s="21">
        <v>0.67361111111111116</v>
      </c>
      <c r="D1287" s="20" t="s">
        <v>3043</v>
      </c>
      <c r="E1287" t="s">
        <v>0</v>
      </c>
      <c r="F1287" t="s">
        <v>10</v>
      </c>
      <c r="G1287" t="s">
        <v>2232</v>
      </c>
      <c r="H1287">
        <v>13</v>
      </c>
      <c r="I1287">
        <f t="shared" si="22"/>
        <v>17</v>
      </c>
    </row>
    <row r="1288" spans="1:9">
      <c r="A1288" s="1">
        <v>42761.338194444441</v>
      </c>
      <c r="B1288" s="19">
        <v>42509</v>
      </c>
      <c r="C1288" s="21">
        <v>0.64930555555555558</v>
      </c>
      <c r="D1288" s="20" t="s">
        <v>3042</v>
      </c>
      <c r="E1288" t="s">
        <v>77</v>
      </c>
      <c r="F1288" t="s">
        <v>78</v>
      </c>
      <c r="G1288" t="s">
        <v>2229</v>
      </c>
      <c r="H1288">
        <v>7</v>
      </c>
      <c r="I1288">
        <f t="shared" si="22"/>
        <v>9</v>
      </c>
    </row>
    <row r="1289" spans="1:9">
      <c r="A1289" s="1">
        <v>42761.25277777778</v>
      </c>
      <c r="B1289" s="19">
        <v>42509</v>
      </c>
      <c r="C1289" s="21">
        <v>0.6166666666666667</v>
      </c>
      <c r="D1289" s="20" t="s">
        <v>3040</v>
      </c>
      <c r="E1289" t="s">
        <v>18</v>
      </c>
      <c r="F1289" t="s">
        <v>19</v>
      </c>
      <c r="H1289">
        <v>7</v>
      </c>
      <c r="I1289">
        <f t="shared" si="22"/>
        <v>9</v>
      </c>
    </row>
    <row r="1290" spans="1:9">
      <c r="A1290" s="1">
        <v>42761.895138888889</v>
      </c>
      <c r="B1290" s="19">
        <v>42509</v>
      </c>
      <c r="C1290" s="21">
        <v>0.59166666666666667</v>
      </c>
      <c r="D1290" s="20" t="s">
        <v>3040</v>
      </c>
      <c r="E1290" t="s">
        <v>18</v>
      </c>
      <c r="F1290" t="s">
        <v>71</v>
      </c>
      <c r="G1290" t="s">
        <v>2233</v>
      </c>
      <c r="H1290">
        <v>9</v>
      </c>
      <c r="I1290">
        <f t="shared" si="22"/>
        <v>12</v>
      </c>
    </row>
    <row r="1291" spans="1:9">
      <c r="A1291" s="1">
        <v>42761.693749999999</v>
      </c>
      <c r="B1291" s="19">
        <v>42509</v>
      </c>
      <c r="C1291" s="21">
        <v>0.52083333333333337</v>
      </c>
      <c r="D1291" s="20" t="s">
        <v>3038</v>
      </c>
      <c r="E1291" t="s">
        <v>18</v>
      </c>
      <c r="G1291" t="s">
        <v>2235</v>
      </c>
      <c r="H1291">
        <v>56</v>
      </c>
      <c r="I1291">
        <f t="shared" si="22"/>
        <v>70</v>
      </c>
    </row>
    <row r="1292" spans="1:9">
      <c r="A1292" s="1">
        <v>42761.593055555553</v>
      </c>
      <c r="B1292" s="19">
        <v>42509</v>
      </c>
      <c r="C1292" s="21">
        <v>0.51527777777777772</v>
      </c>
      <c r="D1292" s="20" t="s">
        <v>3038</v>
      </c>
      <c r="E1292" t="s">
        <v>0</v>
      </c>
      <c r="F1292" t="s">
        <v>75</v>
      </c>
      <c r="H1292">
        <v>20</v>
      </c>
      <c r="I1292">
        <f t="shared" si="22"/>
        <v>25</v>
      </c>
    </row>
    <row r="1293" spans="1:9">
      <c r="A1293" s="1">
        <v>42761.584722222222</v>
      </c>
      <c r="B1293" s="19">
        <v>42509</v>
      </c>
      <c r="C1293" s="21">
        <v>0.44236111111111109</v>
      </c>
      <c r="D1293" s="20" t="s">
        <v>3036</v>
      </c>
      <c r="E1293" t="s">
        <v>33</v>
      </c>
      <c r="F1293" t="s">
        <v>34</v>
      </c>
      <c r="G1293" t="s">
        <v>2237</v>
      </c>
      <c r="H1293" t="e">
        <v>#VALUE!</v>
      </c>
      <c r="I1293" t="e">
        <f t="shared" si="22"/>
        <v>#VALUE!</v>
      </c>
    </row>
    <row r="1294" spans="1:9">
      <c r="A1294" s="1">
        <v>42761.305555555555</v>
      </c>
      <c r="B1294" s="19">
        <v>42509</v>
      </c>
      <c r="C1294" s="21">
        <v>0.34930555555555554</v>
      </c>
      <c r="D1294" s="20" t="s">
        <v>3034</v>
      </c>
      <c r="E1294" t="s">
        <v>0</v>
      </c>
      <c r="F1294" t="s">
        <v>1</v>
      </c>
      <c r="H1294">
        <v>15</v>
      </c>
      <c r="I1294">
        <f t="shared" si="22"/>
        <v>19</v>
      </c>
    </row>
    <row r="1295" spans="1:9">
      <c r="A1295" s="1">
        <v>42761.25277777778</v>
      </c>
      <c r="B1295" s="19">
        <v>42509</v>
      </c>
      <c r="C1295" s="21">
        <v>0.32847222222222222</v>
      </c>
      <c r="D1295" s="20" t="s">
        <v>3033</v>
      </c>
      <c r="E1295" t="s">
        <v>149</v>
      </c>
      <c r="F1295" t="s">
        <v>150</v>
      </c>
      <c r="G1295" t="s">
        <v>2240</v>
      </c>
      <c r="H1295">
        <v>40</v>
      </c>
      <c r="I1295">
        <f t="shared" si="22"/>
        <v>50</v>
      </c>
    </row>
    <row r="1296" spans="1:9">
      <c r="A1296" s="1">
        <v>42761.243055555555</v>
      </c>
      <c r="B1296" s="19">
        <v>42509</v>
      </c>
      <c r="C1296" s="21">
        <v>0.24583333333333332</v>
      </c>
      <c r="D1296" s="20" t="s">
        <v>3055</v>
      </c>
      <c r="E1296" t="s">
        <v>0</v>
      </c>
      <c r="F1296" t="s">
        <v>10</v>
      </c>
      <c r="G1296" t="s">
        <v>2241</v>
      </c>
      <c r="H1296">
        <v>13</v>
      </c>
      <c r="I1296">
        <f t="shared" si="22"/>
        <v>17</v>
      </c>
    </row>
    <row r="1297" spans="1:9">
      <c r="A1297" s="1">
        <v>42760.918749999997</v>
      </c>
      <c r="B1297" s="19">
        <v>42509</v>
      </c>
      <c r="C1297" s="21">
        <v>0.24305555555555555</v>
      </c>
      <c r="D1297" s="20" t="s">
        <v>3055</v>
      </c>
      <c r="E1297" t="s">
        <v>0</v>
      </c>
      <c r="F1297" t="s">
        <v>10</v>
      </c>
      <c r="G1297" t="s">
        <v>2242</v>
      </c>
      <c r="H1297">
        <v>13</v>
      </c>
      <c r="I1297">
        <f t="shared" si="22"/>
        <v>17</v>
      </c>
    </row>
    <row r="1298" spans="1:9">
      <c r="A1298" s="1">
        <v>42760.7</v>
      </c>
      <c r="B1298" s="19">
        <v>42509</v>
      </c>
      <c r="C1298" s="21">
        <v>0.23958333333333334</v>
      </c>
      <c r="D1298" s="20" t="s">
        <v>3055</v>
      </c>
      <c r="E1298" t="s">
        <v>77</v>
      </c>
      <c r="F1298" t="s">
        <v>78</v>
      </c>
      <c r="G1298" t="s">
        <v>662</v>
      </c>
      <c r="H1298">
        <v>4</v>
      </c>
      <c r="I1298">
        <f t="shared" si="22"/>
        <v>5</v>
      </c>
    </row>
    <row r="1299" spans="1:9">
      <c r="A1299" s="1">
        <v>42760.6875</v>
      </c>
      <c r="B1299" s="19">
        <v>42509</v>
      </c>
      <c r="C1299" s="21">
        <v>0.23472222222222222</v>
      </c>
      <c r="D1299" s="20" t="s">
        <v>3055</v>
      </c>
      <c r="E1299" t="s">
        <v>18</v>
      </c>
      <c r="F1299" t="s">
        <v>19</v>
      </c>
      <c r="G1299" t="s">
        <v>2243</v>
      </c>
      <c r="H1299">
        <v>7</v>
      </c>
      <c r="I1299">
        <f t="shared" si="22"/>
        <v>9</v>
      </c>
    </row>
    <row r="1300" spans="1:9">
      <c r="A1300" s="1">
        <v>42760.647222222222</v>
      </c>
      <c r="B1300" s="19">
        <v>42509</v>
      </c>
      <c r="C1300" s="21">
        <v>0.13263888888888889</v>
      </c>
      <c r="D1300" s="20" t="s">
        <v>3053</v>
      </c>
      <c r="E1300" t="s">
        <v>0</v>
      </c>
      <c r="F1300" t="s">
        <v>1</v>
      </c>
      <c r="H1300">
        <v>13</v>
      </c>
      <c r="I1300">
        <f t="shared" si="22"/>
        <v>17</v>
      </c>
    </row>
    <row r="1301" spans="1:9">
      <c r="A1301" s="1">
        <v>42760.582638888889</v>
      </c>
      <c r="B1301" s="19">
        <v>42509</v>
      </c>
      <c r="C1301" s="21">
        <v>0.11319444444444444</v>
      </c>
      <c r="D1301" s="20" t="s">
        <v>3052</v>
      </c>
      <c r="E1301" t="s">
        <v>0</v>
      </c>
      <c r="G1301" t="s">
        <v>2245</v>
      </c>
      <c r="H1301">
        <v>13</v>
      </c>
      <c r="I1301">
        <f t="shared" si="22"/>
        <v>17</v>
      </c>
    </row>
    <row r="1302" spans="1:9">
      <c r="A1302" s="1">
        <v>42760.368750000001</v>
      </c>
      <c r="B1302" s="19">
        <v>42509</v>
      </c>
      <c r="C1302" s="21">
        <v>0.10625</v>
      </c>
      <c r="D1302" s="20" t="s">
        <v>3052</v>
      </c>
      <c r="E1302" t="s">
        <v>33</v>
      </c>
      <c r="F1302" t="s">
        <v>155</v>
      </c>
      <c r="G1302" t="s">
        <v>2246</v>
      </c>
      <c r="H1302">
        <v>19</v>
      </c>
      <c r="I1302">
        <f t="shared" si="22"/>
        <v>24</v>
      </c>
    </row>
    <row r="1303" spans="1:9">
      <c r="A1303" s="1">
        <v>42760.364583333336</v>
      </c>
      <c r="B1303" s="19">
        <v>42509</v>
      </c>
      <c r="C1303" s="21">
        <v>4.1666666666666664E-2</v>
      </c>
      <c r="D1303" s="20" t="s">
        <v>3051</v>
      </c>
      <c r="E1303" t="s">
        <v>33</v>
      </c>
      <c r="F1303" t="s">
        <v>44</v>
      </c>
      <c r="H1303" t="e">
        <v>#VALUE!</v>
      </c>
      <c r="I1303" t="e">
        <f t="shared" si="22"/>
        <v>#VALUE!</v>
      </c>
    </row>
    <row r="1304" spans="1:9">
      <c r="A1304" s="1">
        <v>42760.254861111112</v>
      </c>
      <c r="B1304" s="19">
        <v>42509</v>
      </c>
      <c r="C1304" s="21">
        <v>0.80625000000000002</v>
      </c>
      <c r="D1304" s="20" t="s">
        <v>3046</v>
      </c>
      <c r="E1304" t="s">
        <v>6</v>
      </c>
      <c r="F1304" t="s">
        <v>7</v>
      </c>
      <c r="G1304" t="s">
        <v>2228</v>
      </c>
      <c r="H1304">
        <v>25</v>
      </c>
      <c r="I1304">
        <f t="shared" si="22"/>
        <v>31</v>
      </c>
    </row>
    <row r="1305" spans="1:9">
      <c r="A1305" s="1">
        <v>42760.043749999997</v>
      </c>
      <c r="B1305" s="19">
        <v>42509</v>
      </c>
      <c r="C1305" s="21">
        <v>0.75</v>
      </c>
      <c r="D1305" s="20" t="s">
        <v>3045</v>
      </c>
      <c r="E1305" t="s">
        <v>6</v>
      </c>
      <c r="F1305" t="s">
        <v>76</v>
      </c>
      <c r="H1305">
        <v>19</v>
      </c>
      <c r="I1305">
        <f t="shared" si="22"/>
        <v>24</v>
      </c>
    </row>
    <row r="1306" spans="1:9">
      <c r="A1306" s="1">
        <v>42760.902777777781</v>
      </c>
      <c r="B1306" s="19">
        <v>42509</v>
      </c>
      <c r="C1306" s="21">
        <v>0.68541666666666667</v>
      </c>
      <c r="D1306" s="20" t="s">
        <v>3043</v>
      </c>
      <c r="E1306" t="s">
        <v>6</v>
      </c>
      <c r="F1306" t="s">
        <v>7</v>
      </c>
      <c r="G1306" t="s">
        <v>2231</v>
      </c>
      <c r="H1306">
        <v>17</v>
      </c>
      <c r="I1306">
        <f t="shared" si="22"/>
        <v>22</v>
      </c>
    </row>
    <row r="1307" spans="1:9">
      <c r="A1307" s="1">
        <v>42760.63958333333</v>
      </c>
      <c r="B1307" s="19">
        <v>42509</v>
      </c>
      <c r="C1307" s="21">
        <v>0.5854166666666667</v>
      </c>
      <c r="D1307" s="20" t="s">
        <v>3040</v>
      </c>
      <c r="E1307" t="s">
        <v>2</v>
      </c>
      <c r="F1307" t="s">
        <v>56</v>
      </c>
      <c r="G1307" t="s">
        <v>529</v>
      </c>
      <c r="H1307">
        <v>13</v>
      </c>
      <c r="I1307">
        <f t="shared" si="22"/>
        <v>17</v>
      </c>
    </row>
    <row r="1308" spans="1:9">
      <c r="A1308" s="1">
        <v>42760.255555555559</v>
      </c>
      <c r="B1308" s="19">
        <v>42509</v>
      </c>
      <c r="C1308" s="21">
        <v>0.56458333333333333</v>
      </c>
      <c r="D1308" s="20" t="s">
        <v>3039</v>
      </c>
      <c r="E1308" t="s">
        <v>6</v>
      </c>
      <c r="F1308" t="s">
        <v>21</v>
      </c>
      <c r="G1308" t="s">
        <v>2234</v>
      </c>
      <c r="H1308">
        <v>34</v>
      </c>
      <c r="I1308">
        <f t="shared" si="22"/>
        <v>43</v>
      </c>
    </row>
    <row r="1309" spans="1:9">
      <c r="A1309" s="1">
        <v>42760.245138888888</v>
      </c>
      <c r="B1309" s="19">
        <v>42509</v>
      </c>
      <c r="C1309" s="21">
        <v>0.49513888888888891</v>
      </c>
      <c r="D1309" s="20" t="s">
        <v>3037</v>
      </c>
      <c r="E1309" t="s">
        <v>6</v>
      </c>
      <c r="F1309" t="s">
        <v>12</v>
      </c>
      <c r="G1309" t="s">
        <v>2236</v>
      </c>
      <c r="H1309">
        <v>22</v>
      </c>
      <c r="I1309">
        <f t="shared" si="22"/>
        <v>28</v>
      </c>
    </row>
    <row r="1310" spans="1:9">
      <c r="A1310" s="1">
        <v>42759.917361111111</v>
      </c>
      <c r="B1310" s="19">
        <v>42509</v>
      </c>
      <c r="C1310" s="21">
        <v>0.43819444444444444</v>
      </c>
      <c r="D1310" s="20" t="s">
        <v>3036</v>
      </c>
      <c r="E1310" t="s">
        <v>6</v>
      </c>
      <c r="F1310" t="s">
        <v>15</v>
      </c>
      <c r="G1310" t="s">
        <v>2238</v>
      </c>
      <c r="H1310">
        <v>7</v>
      </c>
      <c r="I1310">
        <f t="shared" si="22"/>
        <v>9</v>
      </c>
    </row>
    <row r="1311" spans="1:9">
      <c r="A1311" s="1">
        <v>42759.84652777778</v>
      </c>
      <c r="B1311" s="19">
        <v>42509</v>
      </c>
      <c r="C1311" s="21">
        <v>0.43194444444444446</v>
      </c>
      <c r="D1311" s="20" t="s">
        <v>3036</v>
      </c>
      <c r="E1311" t="s">
        <v>6</v>
      </c>
      <c r="F1311" t="s">
        <v>12</v>
      </c>
      <c r="G1311" t="s">
        <v>2239</v>
      </c>
      <c r="H1311">
        <v>4</v>
      </c>
      <c r="I1311">
        <f t="shared" si="22"/>
        <v>5</v>
      </c>
    </row>
    <row r="1312" spans="1:9">
      <c r="A1312" s="1">
        <v>42759.769444444442</v>
      </c>
      <c r="B1312" s="19">
        <v>42509</v>
      </c>
      <c r="C1312" s="21">
        <v>0.22291666666666668</v>
      </c>
      <c r="D1312" s="20" t="s">
        <v>3055</v>
      </c>
      <c r="E1312" t="s">
        <v>6</v>
      </c>
      <c r="F1312" t="s">
        <v>12</v>
      </c>
      <c r="G1312" t="s">
        <v>2244</v>
      </c>
      <c r="H1312">
        <v>4</v>
      </c>
      <c r="I1312">
        <f t="shared" si="22"/>
        <v>5</v>
      </c>
    </row>
    <row r="1313" spans="1:9">
      <c r="A1313" s="1">
        <v>42759.670138888891</v>
      </c>
      <c r="B1313" s="19">
        <v>42509</v>
      </c>
      <c r="C1313" s="21">
        <v>0.14583333333333334</v>
      </c>
      <c r="D1313" s="20" t="s">
        <v>3053</v>
      </c>
      <c r="E1313" t="s">
        <v>6</v>
      </c>
      <c r="F1313" t="s">
        <v>12</v>
      </c>
      <c r="G1313" t="s">
        <v>2179</v>
      </c>
      <c r="H1313">
        <v>4</v>
      </c>
      <c r="I1313">
        <f t="shared" si="22"/>
        <v>5</v>
      </c>
    </row>
    <row r="1314" spans="1:9">
      <c r="A1314" s="1">
        <v>42759.643750000003</v>
      </c>
      <c r="B1314" s="19">
        <v>42509</v>
      </c>
      <c r="C1314" s="21">
        <v>0.10277777777777777</v>
      </c>
      <c r="D1314" s="20" t="s">
        <v>3052</v>
      </c>
      <c r="E1314" t="s">
        <v>6</v>
      </c>
      <c r="F1314" t="s">
        <v>26</v>
      </c>
      <c r="G1314" t="s">
        <v>2247</v>
      </c>
      <c r="H1314">
        <v>13</v>
      </c>
      <c r="I1314">
        <f t="shared" si="22"/>
        <v>17</v>
      </c>
    </row>
    <row r="1315" spans="1:9">
      <c r="A1315" s="1">
        <v>42759.458333333336</v>
      </c>
      <c r="B1315" s="19">
        <v>42509</v>
      </c>
      <c r="C1315" s="21">
        <v>9.166666666666666E-2</v>
      </c>
      <c r="D1315" s="20" t="s">
        <v>3052</v>
      </c>
      <c r="E1315" t="s">
        <v>6</v>
      </c>
      <c r="F1315" t="s">
        <v>15</v>
      </c>
      <c r="G1315" t="s">
        <v>2248</v>
      </c>
      <c r="H1315">
        <v>13</v>
      </c>
      <c r="I1315">
        <f t="shared" si="22"/>
        <v>17</v>
      </c>
    </row>
    <row r="1316" spans="1:9">
      <c r="A1316" s="1">
        <v>42759.447916666664</v>
      </c>
      <c r="B1316" s="19">
        <v>42509</v>
      </c>
      <c r="C1316" s="21">
        <v>1.1111111111111112E-2</v>
      </c>
      <c r="D1316" s="20" t="s">
        <v>3050</v>
      </c>
      <c r="E1316" t="s">
        <v>6</v>
      </c>
      <c r="F1316" t="s">
        <v>12</v>
      </c>
      <c r="G1316" t="s">
        <v>1675</v>
      </c>
      <c r="H1316">
        <v>5</v>
      </c>
      <c r="I1316">
        <f t="shared" si="22"/>
        <v>7</v>
      </c>
    </row>
    <row r="1317" spans="1:9">
      <c r="A1317" s="1">
        <v>42759.443055555559</v>
      </c>
      <c r="B1317" s="19">
        <v>42510</v>
      </c>
      <c r="C1317" s="21">
        <v>0.83680555555555558</v>
      </c>
      <c r="D1317" s="20" t="s">
        <v>3047</v>
      </c>
      <c r="E1317" t="s">
        <v>0</v>
      </c>
      <c r="F1317" t="s">
        <v>10</v>
      </c>
      <c r="G1317" t="s">
        <v>64</v>
      </c>
      <c r="H1317">
        <v>13</v>
      </c>
      <c r="I1317">
        <f t="shared" si="22"/>
        <v>17</v>
      </c>
    </row>
    <row r="1318" spans="1:9">
      <c r="A1318" s="1">
        <v>42759.379861111112</v>
      </c>
      <c r="B1318" s="19">
        <v>42510</v>
      </c>
      <c r="C1318" s="21">
        <v>0.65833333333333333</v>
      </c>
      <c r="D1318" s="20" t="s">
        <v>3042</v>
      </c>
      <c r="E1318" t="s">
        <v>0</v>
      </c>
      <c r="F1318" t="s">
        <v>10</v>
      </c>
      <c r="G1318" t="s">
        <v>64</v>
      </c>
      <c r="H1318">
        <v>13</v>
      </c>
      <c r="I1318">
        <f t="shared" si="22"/>
        <v>17</v>
      </c>
    </row>
    <row r="1319" spans="1:9">
      <c r="A1319" s="1">
        <v>42759.359027777777</v>
      </c>
      <c r="B1319" s="19">
        <v>42510</v>
      </c>
      <c r="C1319" s="21">
        <v>0.58750000000000002</v>
      </c>
      <c r="D1319" s="20" t="s">
        <v>3040</v>
      </c>
      <c r="E1319" t="s">
        <v>0</v>
      </c>
      <c r="F1319" t="s">
        <v>10</v>
      </c>
      <c r="G1319" t="s">
        <v>145</v>
      </c>
      <c r="H1319">
        <v>13</v>
      </c>
      <c r="I1319">
        <f t="shared" si="22"/>
        <v>17</v>
      </c>
    </row>
    <row r="1320" spans="1:9">
      <c r="A1320" s="1">
        <v>42759.345833333333</v>
      </c>
      <c r="B1320" s="19">
        <v>42510</v>
      </c>
      <c r="C1320" s="21">
        <v>0.57916666666666672</v>
      </c>
      <c r="D1320" s="20" t="s">
        <v>3039</v>
      </c>
      <c r="E1320" t="s">
        <v>0</v>
      </c>
      <c r="F1320" t="s">
        <v>10</v>
      </c>
      <c r="G1320" t="s">
        <v>2217</v>
      </c>
      <c r="H1320">
        <v>13</v>
      </c>
      <c r="I1320">
        <f t="shared" si="22"/>
        <v>17</v>
      </c>
    </row>
    <row r="1321" spans="1:9">
      <c r="A1321" s="1">
        <v>42759.321527777778</v>
      </c>
      <c r="B1321" s="19">
        <v>42510</v>
      </c>
      <c r="C1321" s="21">
        <v>0.53333333333333333</v>
      </c>
      <c r="D1321" s="20" t="s">
        <v>3038</v>
      </c>
      <c r="E1321" t="s">
        <v>18</v>
      </c>
      <c r="F1321" t="s">
        <v>71</v>
      </c>
      <c r="G1321" t="s">
        <v>2218</v>
      </c>
      <c r="H1321">
        <v>13</v>
      </c>
      <c r="I1321">
        <f t="shared" si="22"/>
        <v>17</v>
      </c>
    </row>
    <row r="1322" spans="1:9">
      <c r="A1322" s="1">
        <v>42759.125</v>
      </c>
      <c r="B1322" s="19">
        <v>42510</v>
      </c>
      <c r="C1322" s="21">
        <v>0.22291666666666668</v>
      </c>
      <c r="D1322" s="20" t="s">
        <v>3055</v>
      </c>
      <c r="E1322" t="s">
        <v>0</v>
      </c>
      <c r="G1322" t="s">
        <v>2225</v>
      </c>
      <c r="H1322">
        <v>19</v>
      </c>
      <c r="I1322">
        <f t="shared" si="22"/>
        <v>24</v>
      </c>
    </row>
    <row r="1323" spans="1:9">
      <c r="A1323" s="1">
        <v>42759.000694444447</v>
      </c>
      <c r="B1323" s="19">
        <v>42510</v>
      </c>
      <c r="C1323" s="21">
        <v>0.20555555555555555</v>
      </c>
      <c r="D1323" s="20" t="s">
        <v>3054</v>
      </c>
      <c r="E1323" t="s">
        <v>77</v>
      </c>
      <c r="F1323" t="s">
        <v>159</v>
      </c>
      <c r="G1323" t="s">
        <v>2226</v>
      </c>
      <c r="H1323">
        <v>4</v>
      </c>
      <c r="I1323">
        <f t="shared" si="22"/>
        <v>5</v>
      </c>
    </row>
    <row r="1324" spans="1:9">
      <c r="A1324" s="1">
        <v>42759.897916666669</v>
      </c>
      <c r="B1324" s="19">
        <v>42510</v>
      </c>
      <c r="C1324" s="21">
        <v>0.19722222222222222</v>
      </c>
      <c r="D1324" s="20" t="s">
        <v>3054</v>
      </c>
      <c r="E1324" t="s">
        <v>33</v>
      </c>
      <c r="F1324" t="s">
        <v>44</v>
      </c>
      <c r="G1324" t="s">
        <v>1940</v>
      </c>
      <c r="H1324">
        <v>18</v>
      </c>
      <c r="I1324">
        <f t="shared" si="22"/>
        <v>23</v>
      </c>
    </row>
    <row r="1325" spans="1:9">
      <c r="A1325" s="1">
        <v>42759.844444444447</v>
      </c>
      <c r="B1325" s="19">
        <v>42510</v>
      </c>
      <c r="C1325" s="21">
        <v>0.11805555555555555</v>
      </c>
      <c r="D1325" s="20" t="s">
        <v>3052</v>
      </c>
      <c r="E1325" t="s">
        <v>77</v>
      </c>
      <c r="F1325" t="s">
        <v>159</v>
      </c>
      <c r="G1325" t="s">
        <v>2226</v>
      </c>
      <c r="H1325">
        <v>5</v>
      </c>
      <c r="I1325">
        <f t="shared" si="22"/>
        <v>7</v>
      </c>
    </row>
    <row r="1326" spans="1:9">
      <c r="A1326" s="1">
        <v>42759.731249999997</v>
      </c>
      <c r="B1326" s="19">
        <v>42510</v>
      </c>
      <c r="C1326" s="21">
        <v>0.10694444444444444</v>
      </c>
      <c r="D1326" s="20" t="s">
        <v>3052</v>
      </c>
      <c r="E1326" t="s">
        <v>77</v>
      </c>
      <c r="F1326" t="s">
        <v>78</v>
      </c>
      <c r="G1326" t="s">
        <v>662</v>
      </c>
      <c r="H1326">
        <v>4</v>
      </c>
      <c r="I1326">
        <f t="shared" si="22"/>
        <v>5</v>
      </c>
    </row>
    <row r="1327" spans="1:9">
      <c r="A1327" s="1">
        <v>42759.588194444441</v>
      </c>
      <c r="B1327" s="19">
        <v>42510</v>
      </c>
      <c r="C1327" s="21">
        <v>0.85138888888888886</v>
      </c>
      <c r="D1327" s="20" t="s">
        <v>3047</v>
      </c>
      <c r="E1327" t="s">
        <v>6</v>
      </c>
      <c r="F1327" t="s">
        <v>12</v>
      </c>
      <c r="G1327" t="s">
        <v>2213</v>
      </c>
      <c r="H1327">
        <v>7</v>
      </c>
      <c r="I1327">
        <f t="shared" si="22"/>
        <v>9</v>
      </c>
    </row>
    <row r="1328" spans="1:9">
      <c r="A1328" s="1">
        <v>42759.504861111112</v>
      </c>
      <c r="B1328" s="19">
        <v>42510</v>
      </c>
      <c r="C1328" s="21">
        <v>0.75694444444444442</v>
      </c>
      <c r="D1328" s="20" t="s">
        <v>3045</v>
      </c>
      <c r="E1328" t="s">
        <v>6</v>
      </c>
      <c r="F1328" t="s">
        <v>21</v>
      </c>
      <c r="G1328" t="s">
        <v>2214</v>
      </c>
      <c r="H1328">
        <v>7</v>
      </c>
      <c r="I1328">
        <f t="shared" si="22"/>
        <v>9</v>
      </c>
    </row>
    <row r="1329" spans="1:9">
      <c r="A1329" s="1">
        <v>42759.25277777778</v>
      </c>
      <c r="B1329" s="19">
        <v>42510</v>
      </c>
      <c r="C1329" s="21">
        <v>0.69374999999999998</v>
      </c>
      <c r="D1329" s="20" t="s">
        <v>3043</v>
      </c>
      <c r="E1329" t="s">
        <v>6</v>
      </c>
      <c r="F1329" t="s">
        <v>21</v>
      </c>
      <c r="G1329" t="s">
        <v>2215</v>
      </c>
      <c r="H1329">
        <v>112</v>
      </c>
      <c r="I1329">
        <f t="shared" si="22"/>
        <v>139</v>
      </c>
    </row>
    <row r="1330" spans="1:9">
      <c r="A1330" s="1">
        <v>42759.01458333333</v>
      </c>
      <c r="B1330" s="19">
        <v>42510</v>
      </c>
      <c r="C1330" s="21">
        <v>0.60902777777777772</v>
      </c>
      <c r="D1330" s="20" t="s">
        <v>3040</v>
      </c>
      <c r="E1330" t="s">
        <v>2</v>
      </c>
      <c r="F1330" t="s">
        <v>5</v>
      </c>
      <c r="G1330" t="s">
        <v>2216</v>
      </c>
      <c r="H1330">
        <v>75</v>
      </c>
      <c r="I1330">
        <f t="shared" si="22"/>
        <v>93</v>
      </c>
    </row>
    <row r="1331" spans="1:9">
      <c r="A1331" s="1">
        <v>42758.567361111112</v>
      </c>
      <c r="B1331" s="19">
        <v>42510</v>
      </c>
      <c r="C1331" s="21">
        <v>0.52986111111111112</v>
      </c>
      <c r="D1331" s="20" t="s">
        <v>3038</v>
      </c>
      <c r="E1331" t="s">
        <v>6</v>
      </c>
      <c r="F1331" t="s">
        <v>167</v>
      </c>
      <c r="G1331" t="s">
        <v>2219</v>
      </c>
      <c r="H1331">
        <v>0</v>
      </c>
      <c r="I1331">
        <f t="shared" si="22"/>
        <v>0</v>
      </c>
    </row>
    <row r="1332" spans="1:9">
      <c r="A1332" s="1">
        <v>42758.462500000001</v>
      </c>
      <c r="B1332" s="19">
        <v>42510</v>
      </c>
      <c r="C1332" s="21">
        <v>0.33541666666666664</v>
      </c>
      <c r="D1332" s="20" t="s">
        <v>3034</v>
      </c>
      <c r="E1332" t="s">
        <v>2</v>
      </c>
      <c r="F1332" t="s">
        <v>5</v>
      </c>
      <c r="G1332" t="s">
        <v>2220</v>
      </c>
      <c r="H1332">
        <v>50</v>
      </c>
      <c r="I1332">
        <f t="shared" si="22"/>
        <v>62</v>
      </c>
    </row>
    <row r="1333" spans="1:9">
      <c r="A1333" s="1">
        <v>42758.425694444442</v>
      </c>
      <c r="B1333" s="19">
        <v>42510</v>
      </c>
      <c r="C1333" s="21">
        <v>0.32430555555555557</v>
      </c>
      <c r="D1333" s="20" t="s">
        <v>3033</v>
      </c>
      <c r="E1333" t="s">
        <v>2</v>
      </c>
      <c r="F1333" t="s">
        <v>5</v>
      </c>
      <c r="G1333" t="s">
        <v>2221</v>
      </c>
      <c r="H1333" t="e">
        <v>#VALUE!</v>
      </c>
      <c r="I1333" t="e">
        <f t="shared" si="22"/>
        <v>#VALUE!</v>
      </c>
    </row>
    <row r="1334" spans="1:9">
      <c r="A1334" s="1">
        <v>42758.39166666667</v>
      </c>
      <c r="B1334" s="19">
        <v>42510</v>
      </c>
      <c r="C1334" s="21">
        <v>0.31666666666666665</v>
      </c>
      <c r="D1334" s="20" t="s">
        <v>3033</v>
      </c>
      <c r="E1334" t="s">
        <v>6</v>
      </c>
      <c r="F1334" t="s">
        <v>21</v>
      </c>
      <c r="G1334" t="s">
        <v>2222</v>
      </c>
      <c r="H1334">
        <v>9</v>
      </c>
      <c r="I1334">
        <f t="shared" si="22"/>
        <v>12</v>
      </c>
    </row>
    <row r="1335" spans="1:9">
      <c r="A1335" s="1">
        <v>42758.328472222223</v>
      </c>
      <c r="B1335" s="19">
        <v>42510</v>
      </c>
      <c r="C1335" s="21">
        <v>0.3034722222222222</v>
      </c>
      <c r="D1335" s="20" t="s">
        <v>3033</v>
      </c>
      <c r="E1335" t="s">
        <v>6</v>
      </c>
      <c r="F1335" t="s">
        <v>7</v>
      </c>
      <c r="G1335" t="s">
        <v>44</v>
      </c>
      <c r="H1335">
        <v>2</v>
      </c>
      <c r="I1335">
        <f t="shared" si="22"/>
        <v>3</v>
      </c>
    </row>
    <row r="1336" spans="1:9">
      <c r="A1336" s="1">
        <v>42758.314583333333</v>
      </c>
      <c r="B1336" s="19">
        <v>42510</v>
      </c>
      <c r="C1336" s="21">
        <v>0.2673611111111111</v>
      </c>
      <c r="D1336" s="20" t="s">
        <v>3031</v>
      </c>
      <c r="E1336" t="s">
        <v>6</v>
      </c>
      <c r="F1336" t="s">
        <v>21</v>
      </c>
      <c r="G1336" t="s">
        <v>2223</v>
      </c>
      <c r="H1336">
        <v>31</v>
      </c>
      <c r="I1336">
        <f t="shared" si="22"/>
        <v>39</v>
      </c>
    </row>
    <row r="1337" spans="1:9">
      <c r="A1337" s="1">
        <v>42758.911111111112</v>
      </c>
      <c r="B1337" s="19">
        <v>42510</v>
      </c>
      <c r="C1337" s="21">
        <v>0.25277777777777777</v>
      </c>
      <c r="D1337" s="20" t="s">
        <v>3031</v>
      </c>
      <c r="E1337" t="s">
        <v>6</v>
      </c>
      <c r="F1337" t="s">
        <v>21</v>
      </c>
      <c r="G1337" t="s">
        <v>2224</v>
      </c>
      <c r="H1337">
        <v>19</v>
      </c>
      <c r="I1337">
        <f t="shared" si="22"/>
        <v>24</v>
      </c>
    </row>
    <row r="1338" spans="1:9">
      <c r="A1338" s="1">
        <v>42758.875694444447</v>
      </c>
      <c r="B1338" s="19">
        <v>42510</v>
      </c>
      <c r="C1338" s="21">
        <v>0.1673611111111111</v>
      </c>
      <c r="D1338" s="20" t="s">
        <v>3054</v>
      </c>
      <c r="E1338" t="s">
        <v>2</v>
      </c>
      <c r="F1338" t="s">
        <v>3</v>
      </c>
      <c r="G1338" t="s">
        <v>2227</v>
      </c>
      <c r="H1338">
        <v>7</v>
      </c>
      <c r="I1338">
        <f t="shared" si="22"/>
        <v>9</v>
      </c>
    </row>
    <row r="1339" spans="1:9">
      <c r="A1339" s="1">
        <v>42758.836805555555</v>
      </c>
      <c r="B1339" s="19">
        <v>42511</v>
      </c>
      <c r="C1339" s="21">
        <v>0.12569444444444444</v>
      </c>
      <c r="D1339" s="20" t="s">
        <v>3053</v>
      </c>
      <c r="E1339" t="s">
        <v>33</v>
      </c>
      <c r="F1339" t="s">
        <v>44</v>
      </c>
      <c r="G1339" t="s">
        <v>2210</v>
      </c>
      <c r="H1339" t="e">
        <v>#VALUE!</v>
      </c>
      <c r="I1339" t="e">
        <f t="shared" si="22"/>
        <v>#VALUE!</v>
      </c>
    </row>
    <row r="1340" spans="1:9">
      <c r="A1340" s="1">
        <v>42758.588194444441</v>
      </c>
      <c r="B1340" s="19">
        <v>42511</v>
      </c>
      <c r="C1340" s="21">
        <v>3.888888888888889E-2</v>
      </c>
      <c r="D1340" s="20" t="s">
        <v>3050</v>
      </c>
      <c r="E1340" t="s">
        <v>33</v>
      </c>
      <c r="F1340" t="s">
        <v>44</v>
      </c>
      <c r="G1340" t="s">
        <v>2211</v>
      </c>
      <c r="H1340">
        <v>56</v>
      </c>
      <c r="I1340">
        <f t="shared" si="22"/>
        <v>70</v>
      </c>
    </row>
    <row r="1341" spans="1:9">
      <c r="A1341" s="1">
        <v>42758.262499999997</v>
      </c>
      <c r="B1341" s="19">
        <v>42511</v>
      </c>
      <c r="C1341" s="21">
        <v>1.2500000000000001E-2</v>
      </c>
      <c r="D1341" s="20" t="s">
        <v>3050</v>
      </c>
      <c r="E1341" t="s">
        <v>33</v>
      </c>
      <c r="F1341" t="s">
        <v>155</v>
      </c>
      <c r="G1341" t="s">
        <v>2212</v>
      </c>
      <c r="H1341">
        <v>19</v>
      </c>
      <c r="I1341">
        <f t="shared" si="22"/>
        <v>24</v>
      </c>
    </row>
    <row r="1342" spans="1:9">
      <c r="A1342" s="1">
        <v>42758.250694444447</v>
      </c>
      <c r="B1342" s="19">
        <v>42511</v>
      </c>
      <c r="C1342" s="21">
        <v>0.25416666666666665</v>
      </c>
      <c r="D1342" s="20" t="s">
        <v>3031</v>
      </c>
      <c r="E1342" t="s">
        <v>6</v>
      </c>
      <c r="F1342" t="s">
        <v>76</v>
      </c>
      <c r="G1342" t="s">
        <v>2208</v>
      </c>
      <c r="H1342">
        <v>9</v>
      </c>
      <c r="I1342">
        <f t="shared" si="22"/>
        <v>12</v>
      </c>
    </row>
    <row r="1343" spans="1:9">
      <c r="A1343" s="1">
        <v>42756.182638888888</v>
      </c>
      <c r="B1343" s="19">
        <v>42511</v>
      </c>
      <c r="C1343" s="21">
        <v>0.24027777777777778</v>
      </c>
      <c r="D1343" s="20" t="s">
        <v>3055</v>
      </c>
      <c r="E1343" t="s">
        <v>6</v>
      </c>
      <c r="F1343" t="s">
        <v>76</v>
      </c>
      <c r="G1343" t="s">
        <v>2209</v>
      </c>
      <c r="H1343">
        <v>18</v>
      </c>
      <c r="I1343">
        <f t="shared" si="22"/>
        <v>23</v>
      </c>
    </row>
    <row r="1344" spans="1:9">
      <c r="A1344" s="1">
        <v>42756.027083333334</v>
      </c>
      <c r="B1344" s="19">
        <v>42513</v>
      </c>
      <c r="C1344" s="21">
        <v>0.90694444444444444</v>
      </c>
      <c r="D1344" s="20" t="s">
        <v>3048</v>
      </c>
      <c r="E1344" t="s">
        <v>0</v>
      </c>
      <c r="G1344" t="s">
        <v>2194</v>
      </c>
      <c r="H1344">
        <v>7</v>
      </c>
      <c r="I1344">
        <f t="shared" si="22"/>
        <v>9</v>
      </c>
    </row>
    <row r="1345" spans="1:9">
      <c r="A1345" s="1">
        <v>42755.839583333334</v>
      </c>
      <c r="B1345" s="19">
        <v>42513</v>
      </c>
      <c r="C1345" s="21">
        <v>0.82638888888888884</v>
      </c>
      <c r="D1345" s="20" t="s">
        <v>3046</v>
      </c>
      <c r="E1345" t="s">
        <v>0</v>
      </c>
      <c r="F1345" t="s">
        <v>10</v>
      </c>
      <c r="G1345" t="s">
        <v>59</v>
      </c>
      <c r="H1345">
        <v>13</v>
      </c>
      <c r="I1345">
        <f t="shared" si="22"/>
        <v>17</v>
      </c>
    </row>
    <row r="1346" spans="1:9">
      <c r="A1346" s="1">
        <v>42755.768750000003</v>
      </c>
      <c r="B1346" s="19">
        <v>42513</v>
      </c>
      <c r="C1346" s="21">
        <v>0.69027777777777777</v>
      </c>
      <c r="D1346" s="20" t="s">
        <v>3043</v>
      </c>
      <c r="E1346" t="s">
        <v>33</v>
      </c>
      <c r="F1346" t="s">
        <v>44</v>
      </c>
      <c r="H1346">
        <v>38</v>
      </c>
      <c r="I1346">
        <f t="shared" si="22"/>
        <v>48</v>
      </c>
    </row>
    <row r="1347" spans="1:9">
      <c r="A1347" s="1">
        <v>42755.712500000001</v>
      </c>
      <c r="B1347" s="19">
        <v>42513</v>
      </c>
      <c r="C1347" s="21">
        <v>0.65972222222222221</v>
      </c>
      <c r="D1347" s="20" t="s">
        <v>3042</v>
      </c>
      <c r="E1347" t="s">
        <v>0</v>
      </c>
      <c r="F1347" t="s">
        <v>10</v>
      </c>
      <c r="G1347" t="s">
        <v>64</v>
      </c>
      <c r="H1347">
        <v>13</v>
      </c>
      <c r="I1347">
        <f t="shared" ref="I1347:I1410" si="23">ROUNDUP((H1347*1.24), 0)</f>
        <v>17</v>
      </c>
    </row>
    <row r="1348" spans="1:9">
      <c r="A1348" s="1">
        <v>42755.675694444442</v>
      </c>
      <c r="B1348" s="19">
        <v>42513</v>
      </c>
      <c r="C1348" s="21">
        <v>0.64444444444444449</v>
      </c>
      <c r="D1348" s="20" t="s">
        <v>3042</v>
      </c>
      <c r="E1348" t="s">
        <v>0</v>
      </c>
      <c r="G1348" t="s">
        <v>2199</v>
      </c>
      <c r="H1348">
        <v>13</v>
      </c>
      <c r="I1348">
        <f t="shared" si="23"/>
        <v>17</v>
      </c>
    </row>
    <row r="1349" spans="1:9">
      <c r="A1349" s="1">
        <v>42755.617361111108</v>
      </c>
      <c r="B1349" s="19">
        <v>42513</v>
      </c>
      <c r="C1349" s="21">
        <v>0.63611111111111107</v>
      </c>
      <c r="D1349" s="20" t="s">
        <v>3042</v>
      </c>
      <c r="E1349" t="s">
        <v>77</v>
      </c>
      <c r="F1349" t="s">
        <v>159</v>
      </c>
      <c r="G1349" t="s">
        <v>2200</v>
      </c>
      <c r="H1349">
        <v>7</v>
      </c>
      <c r="I1349">
        <f t="shared" si="23"/>
        <v>9</v>
      </c>
    </row>
    <row r="1350" spans="1:9">
      <c r="A1350" s="1">
        <v>42755.394444444442</v>
      </c>
      <c r="B1350" s="19">
        <v>42513</v>
      </c>
      <c r="C1350" s="21">
        <v>0.62638888888888888</v>
      </c>
      <c r="D1350" s="20" t="s">
        <v>3042</v>
      </c>
      <c r="E1350" t="s">
        <v>33</v>
      </c>
      <c r="F1350" t="s">
        <v>44</v>
      </c>
      <c r="G1350" t="s">
        <v>2201</v>
      </c>
      <c r="H1350">
        <v>19</v>
      </c>
      <c r="I1350">
        <f t="shared" si="23"/>
        <v>24</v>
      </c>
    </row>
    <row r="1351" spans="1:9">
      <c r="A1351" s="1">
        <v>42755.385416666664</v>
      </c>
      <c r="B1351" s="19">
        <v>42513</v>
      </c>
      <c r="C1351" s="21">
        <v>0.59097222222222223</v>
      </c>
      <c r="D1351" s="20" t="s">
        <v>3040</v>
      </c>
      <c r="E1351" t="s">
        <v>33</v>
      </c>
      <c r="F1351" t="s">
        <v>44</v>
      </c>
      <c r="G1351" t="s">
        <v>2204</v>
      </c>
      <c r="H1351" t="e">
        <v>#VALUE!</v>
      </c>
      <c r="I1351" t="e">
        <f t="shared" si="23"/>
        <v>#VALUE!</v>
      </c>
    </row>
    <row r="1352" spans="1:9">
      <c r="A1352" s="1">
        <v>42755.375694444447</v>
      </c>
      <c r="B1352" s="19">
        <v>42513</v>
      </c>
      <c r="C1352" s="21">
        <v>0.29305555555555557</v>
      </c>
      <c r="D1352" s="20" t="s">
        <v>3033</v>
      </c>
      <c r="E1352" t="s">
        <v>0</v>
      </c>
      <c r="G1352" t="s">
        <v>2207</v>
      </c>
      <c r="H1352">
        <v>25</v>
      </c>
      <c r="I1352">
        <f t="shared" si="23"/>
        <v>31</v>
      </c>
    </row>
    <row r="1353" spans="1:9">
      <c r="A1353" s="1">
        <v>42755.357638888891</v>
      </c>
      <c r="B1353" s="19">
        <v>42513</v>
      </c>
      <c r="C1353" s="21">
        <v>0.90347222222222223</v>
      </c>
      <c r="D1353" s="20" t="s">
        <v>3048</v>
      </c>
      <c r="E1353" t="s">
        <v>6</v>
      </c>
      <c r="F1353" t="s">
        <v>15</v>
      </c>
      <c r="G1353" t="s">
        <v>2195</v>
      </c>
      <c r="H1353">
        <v>7</v>
      </c>
      <c r="I1353">
        <f t="shared" si="23"/>
        <v>9</v>
      </c>
    </row>
    <row r="1354" spans="1:9">
      <c r="A1354" s="1">
        <v>42755.303472222222</v>
      </c>
      <c r="B1354" s="19">
        <v>42513</v>
      </c>
      <c r="C1354" s="21">
        <v>0.89097222222222228</v>
      </c>
      <c r="D1354" s="20" t="s">
        <v>3048</v>
      </c>
      <c r="E1354" t="s">
        <v>6</v>
      </c>
      <c r="F1354" t="s">
        <v>26</v>
      </c>
      <c r="G1354" t="s">
        <v>2196</v>
      </c>
      <c r="H1354">
        <v>23</v>
      </c>
      <c r="I1354">
        <f t="shared" si="23"/>
        <v>29</v>
      </c>
    </row>
    <row r="1355" spans="1:9">
      <c r="A1355" s="1">
        <v>42755.269444444442</v>
      </c>
      <c r="B1355" s="19">
        <v>42513</v>
      </c>
      <c r="C1355" s="21">
        <v>0.88958333333333328</v>
      </c>
      <c r="D1355" s="20" t="s">
        <v>3048</v>
      </c>
      <c r="E1355" t="s">
        <v>6</v>
      </c>
      <c r="F1355" t="s">
        <v>15</v>
      </c>
      <c r="G1355" t="s">
        <v>2197</v>
      </c>
      <c r="H1355" t="e">
        <v>#VALUE!</v>
      </c>
      <c r="I1355" t="e">
        <f t="shared" si="23"/>
        <v>#VALUE!</v>
      </c>
    </row>
    <row r="1356" spans="1:9">
      <c r="A1356" s="1">
        <v>42755.167361111111</v>
      </c>
      <c r="B1356" s="19">
        <v>42513</v>
      </c>
      <c r="C1356" s="21">
        <v>0.87361111111111112</v>
      </c>
      <c r="D1356" s="20" t="s">
        <v>3047</v>
      </c>
      <c r="E1356" t="s">
        <v>6</v>
      </c>
      <c r="F1356" t="s">
        <v>21</v>
      </c>
      <c r="G1356" t="s">
        <v>2198</v>
      </c>
      <c r="H1356">
        <v>17</v>
      </c>
      <c r="I1356">
        <f t="shared" si="23"/>
        <v>22</v>
      </c>
    </row>
    <row r="1357" spans="1:9">
      <c r="A1357" s="1">
        <v>42755.086805555555</v>
      </c>
      <c r="B1357" s="19">
        <v>42513</v>
      </c>
      <c r="C1357" s="21">
        <v>0.64444444444444449</v>
      </c>
      <c r="D1357" s="20" t="s">
        <v>3042</v>
      </c>
      <c r="E1357" t="s">
        <v>2</v>
      </c>
      <c r="F1357" t="s">
        <v>48</v>
      </c>
      <c r="G1357" t="s">
        <v>1612</v>
      </c>
      <c r="H1357">
        <v>5</v>
      </c>
      <c r="I1357">
        <f t="shared" si="23"/>
        <v>7</v>
      </c>
    </row>
    <row r="1358" spans="1:9">
      <c r="A1358" s="1">
        <v>42755.920138888891</v>
      </c>
      <c r="B1358" s="19">
        <v>42513</v>
      </c>
      <c r="C1358" s="21">
        <v>0.62083333333333335</v>
      </c>
      <c r="D1358" s="20" t="s">
        <v>3040</v>
      </c>
      <c r="E1358" t="s">
        <v>6</v>
      </c>
      <c r="F1358" t="s">
        <v>26</v>
      </c>
      <c r="G1358" t="s">
        <v>2202</v>
      </c>
      <c r="H1358">
        <v>9</v>
      </c>
      <c r="I1358">
        <f t="shared" si="23"/>
        <v>12</v>
      </c>
    </row>
    <row r="1359" spans="1:9">
      <c r="A1359" s="1">
        <v>42755.920138888891</v>
      </c>
      <c r="B1359" s="19">
        <v>42513</v>
      </c>
      <c r="C1359" s="21">
        <v>0.61597222222222225</v>
      </c>
      <c r="D1359" s="20" t="s">
        <v>3040</v>
      </c>
      <c r="E1359" t="s">
        <v>6</v>
      </c>
      <c r="F1359" t="s">
        <v>12</v>
      </c>
      <c r="G1359" t="s">
        <v>2203</v>
      </c>
      <c r="H1359">
        <v>13</v>
      </c>
      <c r="I1359">
        <f t="shared" si="23"/>
        <v>17</v>
      </c>
    </row>
    <row r="1360" spans="1:9">
      <c r="A1360" s="1">
        <v>42755.90625</v>
      </c>
      <c r="B1360" s="19">
        <v>42513</v>
      </c>
      <c r="C1360" s="21">
        <v>0.59861111111111109</v>
      </c>
      <c r="D1360" s="20" t="s">
        <v>3040</v>
      </c>
      <c r="E1360" t="s">
        <v>6</v>
      </c>
      <c r="F1360" t="s">
        <v>26</v>
      </c>
      <c r="G1360" t="s">
        <v>2202</v>
      </c>
      <c r="H1360">
        <v>30</v>
      </c>
      <c r="I1360">
        <f t="shared" si="23"/>
        <v>38</v>
      </c>
    </row>
    <row r="1361" spans="1:9">
      <c r="A1361" s="1">
        <v>42755.583333333336</v>
      </c>
      <c r="B1361" s="19">
        <v>42513</v>
      </c>
      <c r="C1361" s="21">
        <v>0.57916666666666672</v>
      </c>
      <c r="D1361" s="20" t="s">
        <v>3039</v>
      </c>
      <c r="E1361" t="s">
        <v>2</v>
      </c>
      <c r="F1361" t="s">
        <v>48</v>
      </c>
      <c r="G1361" t="s">
        <v>2205</v>
      </c>
      <c r="H1361">
        <v>31</v>
      </c>
      <c r="I1361">
        <f t="shared" si="23"/>
        <v>39</v>
      </c>
    </row>
    <row r="1362" spans="1:9">
      <c r="A1362" s="1">
        <v>42755.582638888889</v>
      </c>
      <c r="B1362" s="19">
        <v>42513</v>
      </c>
      <c r="C1362" s="21">
        <v>0.34305555555555556</v>
      </c>
      <c r="D1362" s="20" t="s">
        <v>3034</v>
      </c>
      <c r="E1362" t="s">
        <v>2</v>
      </c>
      <c r="F1362" t="s">
        <v>5</v>
      </c>
      <c r="G1362" t="s">
        <v>2206</v>
      </c>
      <c r="H1362" t="e">
        <v>#VALUE!</v>
      </c>
      <c r="I1362" t="e">
        <f t="shared" si="23"/>
        <v>#VALUE!</v>
      </c>
    </row>
    <row r="1363" spans="1:9">
      <c r="A1363" s="1">
        <v>42755.418749999997</v>
      </c>
      <c r="B1363" s="19">
        <v>42514</v>
      </c>
      <c r="C1363" s="21">
        <v>0.79166666666666663</v>
      </c>
      <c r="D1363" s="20" t="s">
        <v>3046</v>
      </c>
      <c r="E1363" t="s">
        <v>77</v>
      </c>
      <c r="F1363" t="s">
        <v>78</v>
      </c>
      <c r="G1363" t="s">
        <v>1598</v>
      </c>
      <c r="H1363">
        <v>3</v>
      </c>
      <c r="I1363">
        <f t="shared" si="23"/>
        <v>4</v>
      </c>
    </row>
    <row r="1364" spans="1:9">
      <c r="A1364" s="1">
        <v>42755.309027777781</v>
      </c>
      <c r="B1364" s="19">
        <v>42514</v>
      </c>
      <c r="C1364" s="21">
        <v>0.65972222222222221</v>
      </c>
      <c r="D1364" s="20" t="s">
        <v>3042</v>
      </c>
      <c r="E1364" t="s">
        <v>0</v>
      </c>
      <c r="F1364" t="s">
        <v>10</v>
      </c>
      <c r="G1364" t="s">
        <v>64</v>
      </c>
      <c r="H1364">
        <v>13</v>
      </c>
      <c r="I1364">
        <f t="shared" si="23"/>
        <v>17</v>
      </c>
    </row>
    <row r="1365" spans="1:9">
      <c r="A1365" s="1">
        <v>42754.469444444447</v>
      </c>
      <c r="B1365" s="19">
        <v>42514</v>
      </c>
      <c r="C1365" s="21">
        <v>0.53333333333333333</v>
      </c>
      <c r="D1365" s="20" t="s">
        <v>3038</v>
      </c>
      <c r="E1365" t="s">
        <v>18</v>
      </c>
      <c r="F1365" t="s">
        <v>19</v>
      </c>
      <c r="G1365" t="s">
        <v>2187</v>
      </c>
      <c r="H1365">
        <v>7</v>
      </c>
      <c r="I1365">
        <f t="shared" si="23"/>
        <v>9</v>
      </c>
    </row>
    <row r="1366" spans="1:9">
      <c r="A1366" s="1">
        <v>42754.291666666664</v>
      </c>
      <c r="B1366" s="19">
        <v>42514</v>
      </c>
      <c r="C1366" s="21">
        <v>0.5229166666666667</v>
      </c>
      <c r="D1366" s="20" t="s">
        <v>3038</v>
      </c>
      <c r="E1366" t="s">
        <v>0</v>
      </c>
      <c r="G1366" t="s">
        <v>2188</v>
      </c>
      <c r="H1366">
        <v>50</v>
      </c>
      <c r="I1366">
        <f t="shared" si="23"/>
        <v>62</v>
      </c>
    </row>
    <row r="1367" spans="1:9">
      <c r="A1367" s="1">
        <v>42754.956944444442</v>
      </c>
      <c r="B1367" s="19">
        <v>42514</v>
      </c>
      <c r="C1367" s="21">
        <v>0.49027777777777776</v>
      </c>
      <c r="D1367" s="20" t="s">
        <v>3037</v>
      </c>
      <c r="E1367" t="s">
        <v>0</v>
      </c>
      <c r="G1367" t="s">
        <v>2190</v>
      </c>
      <c r="H1367">
        <v>19</v>
      </c>
      <c r="I1367">
        <f t="shared" si="23"/>
        <v>24</v>
      </c>
    </row>
    <row r="1368" spans="1:9">
      <c r="A1368" s="1">
        <v>42754.751388888886</v>
      </c>
      <c r="B1368" s="19">
        <v>42514</v>
      </c>
      <c r="C1368" s="21">
        <v>0.31458333333333333</v>
      </c>
      <c r="D1368" s="20" t="s">
        <v>3033</v>
      </c>
      <c r="E1368" t="s">
        <v>0</v>
      </c>
      <c r="F1368" t="s">
        <v>75</v>
      </c>
      <c r="G1368" t="s">
        <v>75</v>
      </c>
      <c r="H1368">
        <v>3</v>
      </c>
      <c r="I1368">
        <f t="shared" si="23"/>
        <v>4</v>
      </c>
    </row>
    <row r="1369" spans="1:9">
      <c r="A1369" s="1">
        <v>42754.586805555555</v>
      </c>
      <c r="B1369" s="19">
        <v>42514</v>
      </c>
      <c r="C1369" s="21">
        <v>0.98888888888888893</v>
      </c>
      <c r="D1369" s="20" t="s">
        <v>3063</v>
      </c>
      <c r="E1369" t="s">
        <v>6</v>
      </c>
      <c r="F1369" t="s">
        <v>21</v>
      </c>
      <c r="G1369" t="s">
        <v>2181</v>
      </c>
      <c r="H1369">
        <v>20</v>
      </c>
      <c r="I1369">
        <f t="shared" si="23"/>
        <v>25</v>
      </c>
    </row>
    <row r="1370" spans="1:9">
      <c r="A1370" s="1">
        <v>42754.586111111108</v>
      </c>
      <c r="B1370" s="19">
        <v>42514</v>
      </c>
      <c r="C1370" s="21">
        <v>0.93888888888888888</v>
      </c>
      <c r="D1370" s="20" t="s">
        <v>3049</v>
      </c>
      <c r="E1370" t="s">
        <v>6</v>
      </c>
      <c r="F1370" t="s">
        <v>21</v>
      </c>
      <c r="G1370" t="s">
        <v>2182</v>
      </c>
      <c r="H1370">
        <v>7</v>
      </c>
      <c r="I1370">
        <f t="shared" si="23"/>
        <v>9</v>
      </c>
    </row>
    <row r="1371" spans="1:9">
      <c r="A1371" s="1">
        <v>42754.576388888891</v>
      </c>
      <c r="B1371" s="19">
        <v>42514</v>
      </c>
      <c r="C1371" s="21">
        <v>0.84791666666666665</v>
      </c>
      <c r="D1371" s="20" t="s">
        <v>3047</v>
      </c>
      <c r="E1371" t="s">
        <v>6</v>
      </c>
      <c r="F1371" t="s">
        <v>21</v>
      </c>
      <c r="G1371" t="s">
        <v>2183</v>
      </c>
      <c r="H1371">
        <v>4</v>
      </c>
      <c r="I1371">
        <f t="shared" si="23"/>
        <v>5</v>
      </c>
    </row>
    <row r="1372" spans="1:9">
      <c r="A1372" s="1">
        <v>42754.245833333334</v>
      </c>
      <c r="B1372" s="19">
        <v>42514</v>
      </c>
      <c r="C1372" s="21">
        <v>0.8354166666666667</v>
      </c>
      <c r="D1372" s="20" t="s">
        <v>3047</v>
      </c>
      <c r="E1372" t="s">
        <v>6</v>
      </c>
      <c r="F1372" t="s">
        <v>46</v>
      </c>
      <c r="G1372" t="s">
        <v>2184</v>
      </c>
      <c r="H1372">
        <v>3</v>
      </c>
      <c r="I1372">
        <f t="shared" si="23"/>
        <v>4</v>
      </c>
    </row>
    <row r="1373" spans="1:9">
      <c r="A1373" s="1">
        <v>42753.932638888888</v>
      </c>
      <c r="B1373" s="19">
        <v>42514</v>
      </c>
      <c r="C1373" s="21">
        <v>0.79166666666666663</v>
      </c>
      <c r="D1373" s="20" t="s">
        <v>3046</v>
      </c>
      <c r="E1373" t="s">
        <v>6</v>
      </c>
      <c r="F1373" t="s">
        <v>12</v>
      </c>
      <c r="G1373" t="s">
        <v>1675</v>
      </c>
      <c r="H1373">
        <v>4</v>
      </c>
      <c r="I1373">
        <f t="shared" si="23"/>
        <v>5</v>
      </c>
    </row>
    <row r="1374" spans="1:9">
      <c r="A1374" s="1">
        <v>42753.770833333336</v>
      </c>
      <c r="B1374" s="19">
        <v>42514</v>
      </c>
      <c r="C1374" s="21">
        <v>0.72638888888888886</v>
      </c>
      <c r="D1374" s="20" t="s">
        <v>3044</v>
      </c>
      <c r="E1374" t="s">
        <v>6</v>
      </c>
      <c r="F1374" t="s">
        <v>7</v>
      </c>
      <c r="G1374" t="s">
        <v>2185</v>
      </c>
      <c r="H1374">
        <v>4</v>
      </c>
      <c r="I1374">
        <f t="shared" si="23"/>
        <v>5</v>
      </c>
    </row>
    <row r="1375" spans="1:9">
      <c r="A1375" s="1">
        <v>42753.689583333333</v>
      </c>
      <c r="B1375" s="19">
        <v>42514</v>
      </c>
      <c r="C1375" s="21">
        <v>0.72430555555555554</v>
      </c>
      <c r="D1375" s="20" t="s">
        <v>3044</v>
      </c>
      <c r="E1375" t="s">
        <v>6</v>
      </c>
      <c r="F1375" t="s">
        <v>12</v>
      </c>
      <c r="G1375" t="s">
        <v>1675</v>
      </c>
      <c r="H1375">
        <v>4</v>
      </c>
      <c r="I1375">
        <f t="shared" si="23"/>
        <v>5</v>
      </c>
    </row>
    <row r="1376" spans="1:9">
      <c r="A1376" s="1">
        <v>42753.584027777775</v>
      </c>
      <c r="B1376" s="19">
        <v>42514</v>
      </c>
      <c r="C1376" s="21">
        <v>0.67847222222222225</v>
      </c>
      <c r="D1376" s="20" t="s">
        <v>3043</v>
      </c>
      <c r="E1376" t="s">
        <v>6</v>
      </c>
      <c r="F1376" t="s">
        <v>7</v>
      </c>
      <c r="G1376" t="s">
        <v>2186</v>
      </c>
      <c r="H1376">
        <v>3</v>
      </c>
      <c r="I1376">
        <f t="shared" si="23"/>
        <v>4</v>
      </c>
    </row>
    <row r="1377" spans="1:9">
      <c r="A1377" s="1">
        <v>42753.479166666664</v>
      </c>
      <c r="B1377" s="19">
        <v>42514</v>
      </c>
      <c r="C1377" s="21">
        <v>0.5541666666666667</v>
      </c>
      <c r="D1377" s="20" t="s">
        <v>3039</v>
      </c>
      <c r="E1377" t="s">
        <v>6</v>
      </c>
      <c r="F1377" t="s">
        <v>89</v>
      </c>
      <c r="G1377" t="s">
        <v>159</v>
      </c>
      <c r="H1377">
        <v>25</v>
      </c>
      <c r="I1377">
        <f t="shared" si="23"/>
        <v>31</v>
      </c>
    </row>
    <row r="1378" spans="1:9">
      <c r="A1378" s="1">
        <v>42753.022222222222</v>
      </c>
      <c r="B1378" s="19">
        <v>42514</v>
      </c>
      <c r="C1378" s="21">
        <v>0.50972222222222219</v>
      </c>
      <c r="D1378" s="20" t="s">
        <v>3038</v>
      </c>
      <c r="E1378" t="s">
        <v>6</v>
      </c>
      <c r="F1378" t="s">
        <v>12</v>
      </c>
      <c r="G1378" t="s">
        <v>2189</v>
      </c>
      <c r="H1378">
        <v>23</v>
      </c>
      <c r="I1378">
        <f t="shared" si="23"/>
        <v>29</v>
      </c>
    </row>
    <row r="1379" spans="1:9">
      <c r="A1379" s="1">
        <v>42753.932638888888</v>
      </c>
      <c r="B1379" s="19">
        <v>42514</v>
      </c>
      <c r="C1379" s="21">
        <v>0.41736111111111113</v>
      </c>
      <c r="D1379" s="20" t="s">
        <v>3036</v>
      </c>
      <c r="E1379" t="s">
        <v>2</v>
      </c>
      <c r="F1379" t="s">
        <v>5</v>
      </c>
      <c r="G1379" t="s">
        <v>1617</v>
      </c>
      <c r="H1379">
        <v>62</v>
      </c>
      <c r="I1379">
        <f t="shared" si="23"/>
        <v>77</v>
      </c>
    </row>
    <row r="1380" spans="1:9">
      <c r="A1380" s="1">
        <v>42753.904861111114</v>
      </c>
      <c r="B1380" s="19">
        <v>42514</v>
      </c>
      <c r="C1380" s="21">
        <v>0.38750000000000001</v>
      </c>
      <c r="D1380" s="20" t="s">
        <v>3035</v>
      </c>
      <c r="E1380" t="s">
        <v>6</v>
      </c>
      <c r="F1380" t="s">
        <v>7</v>
      </c>
      <c r="G1380" t="s">
        <v>2191</v>
      </c>
      <c r="H1380">
        <v>75</v>
      </c>
      <c r="I1380">
        <f t="shared" si="23"/>
        <v>93</v>
      </c>
    </row>
    <row r="1381" spans="1:9">
      <c r="A1381" s="1">
        <v>42753.609722222223</v>
      </c>
      <c r="B1381" s="19">
        <v>42514</v>
      </c>
      <c r="C1381" s="21">
        <v>0.33333333333333331</v>
      </c>
      <c r="D1381" s="20" t="s">
        <v>3034</v>
      </c>
      <c r="E1381" t="s">
        <v>2</v>
      </c>
      <c r="F1381" t="s">
        <v>5</v>
      </c>
      <c r="G1381" t="s">
        <v>1617</v>
      </c>
      <c r="H1381">
        <v>75</v>
      </c>
      <c r="I1381">
        <f t="shared" si="23"/>
        <v>93</v>
      </c>
    </row>
    <row r="1382" spans="1:9">
      <c r="A1382" s="1">
        <v>42753.606249999997</v>
      </c>
      <c r="B1382" s="19">
        <v>42514</v>
      </c>
      <c r="C1382" s="21">
        <v>0.31597222222222221</v>
      </c>
      <c r="D1382" s="20" t="s">
        <v>3033</v>
      </c>
      <c r="E1382" t="s">
        <v>6</v>
      </c>
      <c r="F1382" t="s">
        <v>7</v>
      </c>
      <c r="G1382" t="s">
        <v>2192</v>
      </c>
      <c r="H1382">
        <v>31</v>
      </c>
      <c r="I1382">
        <f t="shared" si="23"/>
        <v>39</v>
      </c>
    </row>
    <row r="1383" spans="1:9">
      <c r="A1383" s="1">
        <v>42753.563888888886</v>
      </c>
      <c r="B1383" s="19">
        <v>42514</v>
      </c>
      <c r="C1383" s="21">
        <v>0.19583333333333333</v>
      </c>
      <c r="D1383" s="20" t="s">
        <v>3054</v>
      </c>
      <c r="E1383" t="s">
        <v>6</v>
      </c>
      <c r="F1383" t="s">
        <v>89</v>
      </c>
      <c r="G1383" t="s">
        <v>2193</v>
      </c>
      <c r="H1383">
        <v>15</v>
      </c>
      <c r="I1383">
        <f t="shared" si="23"/>
        <v>19</v>
      </c>
    </row>
    <row r="1384" spans="1:9">
      <c r="A1384" s="1">
        <v>42753.375</v>
      </c>
      <c r="B1384" s="19">
        <v>42515</v>
      </c>
      <c r="C1384" s="21">
        <v>0.71527777777777779</v>
      </c>
      <c r="D1384" s="20" t="s">
        <v>3044</v>
      </c>
      <c r="E1384" t="s">
        <v>0</v>
      </c>
      <c r="G1384" t="s">
        <v>2164</v>
      </c>
      <c r="H1384" t="e">
        <v>#VALUE!</v>
      </c>
      <c r="I1384" t="e">
        <f t="shared" si="23"/>
        <v>#VALUE!</v>
      </c>
    </row>
    <row r="1385" spans="1:9">
      <c r="A1385" s="1">
        <v>42753.365277777775</v>
      </c>
      <c r="B1385" s="19">
        <v>42515</v>
      </c>
      <c r="C1385" s="21">
        <v>0.69444444444444442</v>
      </c>
      <c r="D1385" s="20" t="s">
        <v>3043</v>
      </c>
      <c r="E1385" t="s">
        <v>33</v>
      </c>
      <c r="F1385" t="s">
        <v>44</v>
      </c>
      <c r="G1385" t="s">
        <v>2165</v>
      </c>
      <c r="H1385" t="e">
        <v>#VALUE!</v>
      </c>
      <c r="I1385" t="e">
        <f t="shared" si="23"/>
        <v>#VALUE!</v>
      </c>
    </row>
    <row r="1386" spans="1:9">
      <c r="A1386" s="1">
        <v>42752.877083333333</v>
      </c>
      <c r="B1386" s="19">
        <v>42515</v>
      </c>
      <c r="C1386" s="21">
        <v>0.65277777777777779</v>
      </c>
      <c r="D1386" s="20" t="s">
        <v>3042</v>
      </c>
      <c r="E1386" t="s">
        <v>0</v>
      </c>
      <c r="G1386" t="s">
        <v>2166</v>
      </c>
      <c r="H1386">
        <v>4</v>
      </c>
      <c r="I1386">
        <f t="shared" si="23"/>
        <v>5</v>
      </c>
    </row>
    <row r="1387" spans="1:9">
      <c r="A1387" s="1">
        <v>42752.840277777781</v>
      </c>
      <c r="B1387" s="19">
        <v>42515</v>
      </c>
      <c r="C1387" s="21">
        <v>0.63541666666666663</v>
      </c>
      <c r="D1387" s="20" t="s">
        <v>3042</v>
      </c>
      <c r="E1387" t="s">
        <v>0</v>
      </c>
      <c r="G1387" t="s">
        <v>2168</v>
      </c>
      <c r="H1387" t="e">
        <v>#VALUE!</v>
      </c>
      <c r="I1387" t="e">
        <f t="shared" si="23"/>
        <v>#VALUE!</v>
      </c>
    </row>
    <row r="1388" spans="1:9">
      <c r="A1388" s="1">
        <v>42752.838888888888</v>
      </c>
      <c r="B1388" s="19">
        <v>42515</v>
      </c>
      <c r="C1388" s="21">
        <v>0.62916666666666665</v>
      </c>
      <c r="D1388" s="20" t="s">
        <v>3042</v>
      </c>
      <c r="E1388" t="s">
        <v>0</v>
      </c>
      <c r="G1388" t="s">
        <v>2169</v>
      </c>
      <c r="H1388">
        <v>7</v>
      </c>
      <c r="I1388">
        <f t="shared" si="23"/>
        <v>9</v>
      </c>
    </row>
    <row r="1389" spans="1:9">
      <c r="A1389" s="1">
        <v>42752.756249999999</v>
      </c>
      <c r="B1389" s="19">
        <v>42515</v>
      </c>
      <c r="C1389" s="21">
        <v>0.57777777777777772</v>
      </c>
      <c r="D1389" s="20" t="s">
        <v>3039</v>
      </c>
      <c r="E1389" t="s">
        <v>0</v>
      </c>
      <c r="G1389" t="s">
        <v>2170</v>
      </c>
      <c r="H1389" t="e">
        <v>#VALUE!</v>
      </c>
      <c r="I1389" t="e">
        <f t="shared" si="23"/>
        <v>#VALUE!</v>
      </c>
    </row>
    <row r="1390" spans="1:9">
      <c r="A1390" s="1">
        <v>42752.330555555556</v>
      </c>
      <c r="B1390" s="19">
        <v>42515</v>
      </c>
      <c r="C1390" s="21">
        <v>0.95694444444444449</v>
      </c>
      <c r="D1390" s="20" t="s">
        <v>3049</v>
      </c>
      <c r="E1390" t="s">
        <v>2</v>
      </c>
      <c r="F1390" t="s">
        <v>5</v>
      </c>
      <c r="G1390" t="s">
        <v>2161</v>
      </c>
      <c r="H1390">
        <v>75</v>
      </c>
      <c r="I1390">
        <f t="shared" si="23"/>
        <v>93</v>
      </c>
    </row>
    <row r="1391" spans="1:9">
      <c r="A1391" s="1">
        <v>42752.923611111109</v>
      </c>
      <c r="B1391" s="19">
        <v>42515</v>
      </c>
      <c r="C1391" s="21">
        <v>0.93125000000000002</v>
      </c>
      <c r="D1391" s="20" t="s">
        <v>3049</v>
      </c>
      <c r="E1391" t="s">
        <v>2</v>
      </c>
      <c r="F1391" t="s">
        <v>5</v>
      </c>
      <c r="G1391" t="s">
        <v>1086</v>
      </c>
      <c r="H1391">
        <v>75</v>
      </c>
      <c r="I1391">
        <f t="shared" si="23"/>
        <v>93</v>
      </c>
    </row>
    <row r="1392" spans="1:9">
      <c r="A1392" s="1">
        <v>42752.878472222219</v>
      </c>
      <c r="B1392" s="19">
        <v>42515</v>
      </c>
      <c r="C1392" s="21">
        <v>0.92013888888888884</v>
      </c>
      <c r="D1392" s="20" t="s">
        <v>3049</v>
      </c>
      <c r="E1392" t="s">
        <v>6</v>
      </c>
      <c r="F1392" t="s">
        <v>7</v>
      </c>
      <c r="G1392" t="s">
        <v>1463</v>
      </c>
      <c r="H1392">
        <v>75</v>
      </c>
      <c r="I1392">
        <f t="shared" si="23"/>
        <v>93</v>
      </c>
    </row>
    <row r="1393" spans="1:9">
      <c r="A1393" s="1">
        <v>42752.688194444447</v>
      </c>
      <c r="B1393" s="19">
        <v>42515</v>
      </c>
      <c r="C1393" s="21">
        <v>0.8666666666666667</v>
      </c>
      <c r="D1393" s="20" t="s">
        <v>3047</v>
      </c>
      <c r="E1393" t="s">
        <v>2</v>
      </c>
      <c r="F1393" t="s">
        <v>5</v>
      </c>
      <c r="G1393" t="s">
        <v>2162</v>
      </c>
      <c r="H1393" t="e">
        <v>#VALUE!</v>
      </c>
      <c r="I1393" t="e">
        <f t="shared" si="23"/>
        <v>#VALUE!</v>
      </c>
    </row>
    <row r="1394" spans="1:9">
      <c r="A1394" s="1">
        <v>42752.61041666667</v>
      </c>
      <c r="B1394" s="19">
        <v>42515</v>
      </c>
      <c r="C1394" s="21">
        <v>0.86597222222222225</v>
      </c>
      <c r="D1394" s="20" t="s">
        <v>3047</v>
      </c>
      <c r="E1394" t="s">
        <v>6</v>
      </c>
      <c r="F1394" t="s">
        <v>7</v>
      </c>
      <c r="G1394" t="s">
        <v>2163</v>
      </c>
      <c r="H1394" t="e">
        <v>#VALUE!</v>
      </c>
      <c r="I1394" t="e">
        <f t="shared" si="23"/>
        <v>#VALUE!</v>
      </c>
    </row>
    <row r="1395" spans="1:9">
      <c r="A1395" s="1">
        <v>42752.594444444447</v>
      </c>
      <c r="B1395" s="19">
        <v>42515</v>
      </c>
      <c r="C1395" s="21">
        <v>0.64375000000000004</v>
      </c>
      <c r="D1395" s="20" t="s">
        <v>3042</v>
      </c>
      <c r="E1395" t="s">
        <v>2</v>
      </c>
      <c r="F1395" t="s">
        <v>5</v>
      </c>
      <c r="G1395" t="s">
        <v>2167</v>
      </c>
      <c r="H1395">
        <v>13</v>
      </c>
      <c r="I1395">
        <f t="shared" si="23"/>
        <v>17</v>
      </c>
    </row>
    <row r="1396" spans="1:9">
      <c r="A1396" s="1">
        <v>42752.584027777775</v>
      </c>
      <c r="B1396" s="19">
        <v>42515</v>
      </c>
      <c r="C1396" s="21">
        <v>0.63680555555555551</v>
      </c>
      <c r="D1396" s="20" t="s">
        <v>3042</v>
      </c>
      <c r="E1396" t="s">
        <v>6</v>
      </c>
      <c r="F1396" t="s">
        <v>26</v>
      </c>
      <c r="G1396" t="s">
        <v>453</v>
      </c>
      <c r="H1396">
        <v>13</v>
      </c>
      <c r="I1396">
        <f t="shared" si="23"/>
        <v>17</v>
      </c>
    </row>
    <row r="1397" spans="1:9">
      <c r="A1397" s="1">
        <v>42751.441666666666</v>
      </c>
      <c r="B1397" s="19">
        <v>42515</v>
      </c>
      <c r="C1397" s="21">
        <v>0.58611111111111114</v>
      </c>
      <c r="D1397" s="20" t="s">
        <v>3040</v>
      </c>
      <c r="E1397" t="s">
        <v>2</v>
      </c>
      <c r="F1397" t="s">
        <v>48</v>
      </c>
      <c r="G1397" t="s">
        <v>1598</v>
      </c>
      <c r="H1397" t="e">
        <v>#VALUE!</v>
      </c>
      <c r="I1397" t="e">
        <f t="shared" si="23"/>
        <v>#VALUE!</v>
      </c>
    </row>
    <row r="1398" spans="1:9">
      <c r="A1398" s="1">
        <v>42751.430555555555</v>
      </c>
      <c r="B1398" s="19">
        <v>42515</v>
      </c>
      <c r="C1398" s="21">
        <v>0.50138888888888888</v>
      </c>
      <c r="D1398" s="20" t="s">
        <v>3038</v>
      </c>
      <c r="E1398" t="s">
        <v>6</v>
      </c>
      <c r="F1398" t="s">
        <v>15</v>
      </c>
      <c r="G1398" t="s">
        <v>2171</v>
      </c>
      <c r="H1398" t="e">
        <v>#VALUE!</v>
      </c>
      <c r="I1398" t="e">
        <f t="shared" si="23"/>
        <v>#VALUE!</v>
      </c>
    </row>
    <row r="1399" spans="1:9">
      <c r="A1399" s="1">
        <v>42751.916666666664</v>
      </c>
      <c r="B1399" s="19">
        <v>42515</v>
      </c>
      <c r="C1399" s="21">
        <v>0.45902777777777776</v>
      </c>
      <c r="D1399" s="20" t="s">
        <v>3037</v>
      </c>
      <c r="E1399" t="s">
        <v>2</v>
      </c>
      <c r="F1399" t="s">
        <v>48</v>
      </c>
      <c r="G1399" t="s">
        <v>2172</v>
      </c>
      <c r="H1399">
        <v>56</v>
      </c>
      <c r="I1399">
        <f t="shared" si="23"/>
        <v>70</v>
      </c>
    </row>
    <row r="1400" spans="1:9">
      <c r="A1400" s="1">
        <v>42751.911111111112</v>
      </c>
      <c r="B1400" s="19">
        <v>42515</v>
      </c>
      <c r="C1400" s="21">
        <v>0.41805555555555557</v>
      </c>
      <c r="D1400" s="20" t="s">
        <v>3036</v>
      </c>
      <c r="E1400" t="s">
        <v>2</v>
      </c>
      <c r="F1400" t="s">
        <v>48</v>
      </c>
      <c r="G1400" t="s">
        <v>2172</v>
      </c>
      <c r="H1400">
        <v>38</v>
      </c>
      <c r="I1400">
        <f t="shared" si="23"/>
        <v>48</v>
      </c>
    </row>
    <row r="1401" spans="1:9">
      <c r="A1401" s="1">
        <v>42751.586805555555</v>
      </c>
      <c r="B1401" s="19">
        <v>42515</v>
      </c>
      <c r="C1401" s="21">
        <v>0.28472222222222221</v>
      </c>
      <c r="D1401" s="20" t="s">
        <v>3031</v>
      </c>
      <c r="E1401" t="s">
        <v>2</v>
      </c>
      <c r="F1401" t="s">
        <v>5</v>
      </c>
      <c r="G1401" t="s">
        <v>2173</v>
      </c>
      <c r="H1401">
        <v>13</v>
      </c>
      <c r="I1401">
        <f t="shared" si="23"/>
        <v>17</v>
      </c>
    </row>
    <row r="1402" spans="1:9">
      <c r="A1402" s="1">
        <v>42751.586805555555</v>
      </c>
      <c r="B1402" s="19">
        <v>42515</v>
      </c>
      <c r="C1402" s="21">
        <v>0.24930555555555556</v>
      </c>
      <c r="D1402" s="20" t="s">
        <v>3055</v>
      </c>
      <c r="E1402" t="s">
        <v>6</v>
      </c>
      <c r="F1402" t="s">
        <v>15</v>
      </c>
      <c r="G1402" t="s">
        <v>2174</v>
      </c>
      <c r="H1402" t="e">
        <v>#VALUE!</v>
      </c>
      <c r="I1402" t="e">
        <f t="shared" si="23"/>
        <v>#VALUE!</v>
      </c>
    </row>
    <row r="1403" spans="1:9">
      <c r="A1403" s="1">
        <v>42751.348611111112</v>
      </c>
      <c r="B1403" s="19">
        <v>42515</v>
      </c>
      <c r="C1403" s="21">
        <v>0.20694444444444443</v>
      </c>
      <c r="D1403" s="20" t="s">
        <v>3054</v>
      </c>
      <c r="E1403" t="s">
        <v>6</v>
      </c>
      <c r="F1403" t="s">
        <v>15</v>
      </c>
      <c r="G1403" t="s">
        <v>2175</v>
      </c>
      <c r="H1403">
        <v>75</v>
      </c>
      <c r="I1403">
        <f t="shared" si="23"/>
        <v>93</v>
      </c>
    </row>
    <row r="1404" spans="1:9">
      <c r="A1404" s="1">
        <v>42751.25</v>
      </c>
      <c r="B1404" s="19">
        <v>42515</v>
      </c>
      <c r="C1404" s="21">
        <v>0.19375000000000001</v>
      </c>
      <c r="D1404" s="20" t="s">
        <v>3054</v>
      </c>
      <c r="E1404" t="s">
        <v>2</v>
      </c>
      <c r="F1404" t="s">
        <v>5</v>
      </c>
      <c r="G1404" t="s">
        <v>2176</v>
      </c>
      <c r="H1404">
        <v>75</v>
      </c>
      <c r="I1404">
        <f t="shared" si="23"/>
        <v>93</v>
      </c>
    </row>
    <row r="1405" spans="1:9">
      <c r="A1405" s="1">
        <v>42751.25</v>
      </c>
      <c r="B1405" s="19">
        <v>42515</v>
      </c>
      <c r="C1405" s="21">
        <v>0.16388888888888889</v>
      </c>
      <c r="D1405" s="20" t="s">
        <v>3053</v>
      </c>
      <c r="E1405" t="s">
        <v>2</v>
      </c>
      <c r="F1405" t="s">
        <v>5</v>
      </c>
      <c r="G1405" t="s">
        <v>2177</v>
      </c>
      <c r="H1405">
        <v>7</v>
      </c>
      <c r="I1405">
        <f t="shared" si="23"/>
        <v>9</v>
      </c>
    </row>
    <row r="1406" spans="1:9">
      <c r="A1406" s="1">
        <v>42748.587500000001</v>
      </c>
      <c r="B1406" s="19">
        <v>42515</v>
      </c>
      <c r="C1406" s="21">
        <v>0.14444444444444443</v>
      </c>
      <c r="D1406" s="20" t="s">
        <v>3053</v>
      </c>
      <c r="E1406" t="s">
        <v>6</v>
      </c>
      <c r="F1406" t="s">
        <v>15</v>
      </c>
      <c r="G1406" t="s">
        <v>2178</v>
      </c>
      <c r="H1406">
        <v>31</v>
      </c>
      <c r="I1406">
        <f t="shared" si="23"/>
        <v>39</v>
      </c>
    </row>
    <row r="1407" spans="1:9">
      <c r="A1407" s="1">
        <v>42748.549305555556</v>
      </c>
      <c r="B1407" s="19">
        <v>42515</v>
      </c>
      <c r="C1407" s="21">
        <v>0.13750000000000001</v>
      </c>
      <c r="D1407" s="20" t="s">
        <v>3053</v>
      </c>
      <c r="E1407" t="s">
        <v>6</v>
      </c>
      <c r="F1407" t="s">
        <v>12</v>
      </c>
      <c r="G1407" t="s">
        <v>2179</v>
      </c>
      <c r="H1407">
        <v>2</v>
      </c>
      <c r="I1407">
        <f t="shared" si="23"/>
        <v>3</v>
      </c>
    </row>
    <row r="1408" spans="1:9">
      <c r="A1408" s="1">
        <v>42748.92083333333</v>
      </c>
      <c r="B1408" s="19">
        <v>42515</v>
      </c>
      <c r="C1408" s="21">
        <v>1.5277777777777777E-2</v>
      </c>
      <c r="D1408" s="20" t="s">
        <v>3050</v>
      </c>
      <c r="E1408" t="s">
        <v>6</v>
      </c>
      <c r="F1408" t="s">
        <v>754</v>
      </c>
      <c r="G1408" t="s">
        <v>65</v>
      </c>
      <c r="H1408">
        <v>2</v>
      </c>
      <c r="I1408">
        <f t="shared" si="23"/>
        <v>3</v>
      </c>
    </row>
    <row r="1409" spans="1:9">
      <c r="A1409" s="1">
        <v>42748.909722222219</v>
      </c>
      <c r="B1409" s="19">
        <v>42515</v>
      </c>
      <c r="C1409" s="21">
        <v>0</v>
      </c>
      <c r="D1409" s="20" t="s">
        <v>3050</v>
      </c>
      <c r="E1409" t="s">
        <v>2</v>
      </c>
      <c r="F1409" t="s">
        <v>56</v>
      </c>
      <c r="G1409" t="s">
        <v>2180</v>
      </c>
      <c r="H1409">
        <v>19</v>
      </c>
      <c r="I1409">
        <f t="shared" si="23"/>
        <v>24</v>
      </c>
    </row>
    <row r="1410" spans="1:9">
      <c r="A1410" s="1">
        <v>42748.759027777778</v>
      </c>
      <c r="B1410" s="19">
        <v>42516</v>
      </c>
      <c r="C1410" s="21">
        <v>0.66527777777777775</v>
      </c>
      <c r="D1410" s="20" t="s">
        <v>3042</v>
      </c>
      <c r="E1410" t="s">
        <v>0</v>
      </c>
      <c r="F1410" t="s">
        <v>10</v>
      </c>
      <c r="G1410" t="s">
        <v>2139</v>
      </c>
      <c r="H1410">
        <v>13</v>
      </c>
      <c r="I1410">
        <f t="shared" si="23"/>
        <v>17</v>
      </c>
    </row>
    <row r="1411" spans="1:9">
      <c r="A1411" s="1">
        <v>42748.57916666667</v>
      </c>
      <c r="B1411" s="19">
        <v>42516</v>
      </c>
      <c r="C1411" s="21">
        <v>0.6118055555555556</v>
      </c>
      <c r="D1411" s="20" t="s">
        <v>3040</v>
      </c>
      <c r="E1411" t="s">
        <v>0</v>
      </c>
      <c r="G1411" t="s">
        <v>2140</v>
      </c>
      <c r="H1411" t="e">
        <v>#VALUE!</v>
      </c>
      <c r="I1411" t="e">
        <f t="shared" ref="I1411:I1474" si="24">ROUNDUP((H1411*1.24), 0)</f>
        <v>#VALUE!</v>
      </c>
    </row>
    <row r="1412" spans="1:9">
      <c r="A1412" s="1">
        <v>42748.254166666666</v>
      </c>
      <c r="B1412" s="19">
        <v>42516</v>
      </c>
      <c r="C1412" s="21">
        <v>0.61111111111111116</v>
      </c>
      <c r="D1412" s="20" t="s">
        <v>3040</v>
      </c>
      <c r="E1412" t="s">
        <v>0</v>
      </c>
      <c r="G1412" t="s">
        <v>2141</v>
      </c>
      <c r="H1412">
        <v>13</v>
      </c>
      <c r="I1412">
        <f t="shared" si="24"/>
        <v>17</v>
      </c>
    </row>
    <row r="1413" spans="1:9">
      <c r="A1413" s="1">
        <v>42747.893055555556</v>
      </c>
      <c r="B1413" s="19">
        <v>42516</v>
      </c>
      <c r="C1413" s="21">
        <v>0.60486111111111107</v>
      </c>
      <c r="D1413" s="20" t="s">
        <v>3040</v>
      </c>
      <c r="E1413" t="s">
        <v>33</v>
      </c>
      <c r="F1413" t="s">
        <v>44</v>
      </c>
      <c r="G1413" t="s">
        <v>2143</v>
      </c>
      <c r="H1413">
        <v>13</v>
      </c>
      <c r="I1413">
        <f t="shared" si="24"/>
        <v>17</v>
      </c>
    </row>
    <row r="1414" spans="1:9">
      <c r="A1414" s="1">
        <v>42747.772916666669</v>
      </c>
      <c r="B1414" s="19">
        <v>42516</v>
      </c>
      <c r="C1414" s="21">
        <v>0.6020833333333333</v>
      </c>
      <c r="D1414" s="20" t="s">
        <v>3040</v>
      </c>
      <c r="E1414" t="s">
        <v>0</v>
      </c>
      <c r="F1414" t="s">
        <v>75</v>
      </c>
      <c r="G1414" t="s">
        <v>2144</v>
      </c>
      <c r="H1414">
        <v>8</v>
      </c>
      <c r="I1414">
        <f t="shared" si="24"/>
        <v>10</v>
      </c>
    </row>
    <row r="1415" spans="1:9">
      <c r="A1415" s="1">
        <v>42747.752083333333</v>
      </c>
      <c r="B1415" s="19">
        <v>42516</v>
      </c>
      <c r="C1415" s="21">
        <v>0.59930555555555554</v>
      </c>
      <c r="D1415" s="20" t="s">
        <v>3040</v>
      </c>
      <c r="E1415" t="s">
        <v>0</v>
      </c>
      <c r="G1415" t="s">
        <v>2145</v>
      </c>
      <c r="H1415">
        <v>13</v>
      </c>
      <c r="I1415">
        <f t="shared" si="24"/>
        <v>17</v>
      </c>
    </row>
    <row r="1416" spans="1:9">
      <c r="A1416" s="1">
        <v>42747.170138888891</v>
      </c>
      <c r="B1416" s="19">
        <v>42516</v>
      </c>
      <c r="C1416" s="21">
        <v>0.59652777777777777</v>
      </c>
      <c r="D1416" s="20" t="s">
        <v>3040</v>
      </c>
      <c r="E1416" t="s">
        <v>77</v>
      </c>
      <c r="F1416" t="s">
        <v>159</v>
      </c>
      <c r="G1416" t="s">
        <v>2146</v>
      </c>
      <c r="H1416">
        <v>13</v>
      </c>
      <c r="I1416">
        <f t="shared" si="24"/>
        <v>17</v>
      </c>
    </row>
    <row r="1417" spans="1:9">
      <c r="A1417" s="1">
        <v>42747.147916666669</v>
      </c>
      <c r="B1417" s="19">
        <v>42516</v>
      </c>
      <c r="C1417" s="21">
        <v>0.59027777777777779</v>
      </c>
      <c r="D1417" s="20" t="s">
        <v>3040</v>
      </c>
      <c r="E1417" t="s">
        <v>0</v>
      </c>
      <c r="G1417" t="s">
        <v>2148</v>
      </c>
      <c r="H1417" t="e">
        <v>#VALUE!</v>
      </c>
      <c r="I1417" t="e">
        <f t="shared" si="24"/>
        <v>#VALUE!</v>
      </c>
    </row>
    <row r="1418" spans="1:9">
      <c r="A1418" s="1">
        <v>42747.917361111111</v>
      </c>
      <c r="B1418" s="19">
        <v>42516</v>
      </c>
      <c r="C1418" s="21">
        <v>0.58888888888888891</v>
      </c>
      <c r="D1418" s="20" t="s">
        <v>3040</v>
      </c>
      <c r="E1418" t="s">
        <v>0</v>
      </c>
      <c r="G1418" t="s">
        <v>2149</v>
      </c>
      <c r="H1418">
        <v>13</v>
      </c>
      <c r="I1418">
        <f t="shared" si="24"/>
        <v>17</v>
      </c>
    </row>
    <row r="1419" spans="1:9">
      <c r="A1419" s="1">
        <v>42747.798611111109</v>
      </c>
      <c r="B1419" s="19">
        <v>42516</v>
      </c>
      <c r="C1419" s="21">
        <v>0.58472222222222225</v>
      </c>
      <c r="D1419" s="20" t="s">
        <v>3040</v>
      </c>
      <c r="E1419" t="s">
        <v>0</v>
      </c>
      <c r="G1419" t="s">
        <v>2150</v>
      </c>
      <c r="H1419" t="e">
        <v>#VALUE!</v>
      </c>
      <c r="I1419" t="e">
        <f t="shared" si="24"/>
        <v>#VALUE!</v>
      </c>
    </row>
    <row r="1420" spans="1:9">
      <c r="A1420" s="1">
        <v>42747.253472222219</v>
      </c>
      <c r="B1420" s="19">
        <v>42516</v>
      </c>
      <c r="C1420" s="21">
        <v>0.57777777777777772</v>
      </c>
      <c r="D1420" s="20" t="s">
        <v>3039</v>
      </c>
      <c r="E1420" t="s">
        <v>33</v>
      </c>
      <c r="G1420" t="s">
        <v>2151</v>
      </c>
      <c r="H1420">
        <v>50</v>
      </c>
      <c r="I1420">
        <f t="shared" si="24"/>
        <v>62</v>
      </c>
    </row>
    <row r="1421" spans="1:9">
      <c r="A1421" s="1">
        <v>42746.964583333334</v>
      </c>
      <c r="B1421" s="19">
        <v>42516</v>
      </c>
      <c r="C1421" s="21">
        <v>0.42430555555555555</v>
      </c>
      <c r="D1421" s="20" t="s">
        <v>3036</v>
      </c>
      <c r="E1421" t="s">
        <v>0</v>
      </c>
      <c r="G1421" t="s">
        <v>2152</v>
      </c>
      <c r="H1421" t="e">
        <v>#VALUE!</v>
      </c>
      <c r="I1421" t="e">
        <f t="shared" si="24"/>
        <v>#VALUE!</v>
      </c>
    </row>
    <row r="1422" spans="1:9">
      <c r="A1422" s="1">
        <v>42746.936805555553</v>
      </c>
      <c r="B1422" s="19">
        <v>42516</v>
      </c>
      <c r="C1422" s="21">
        <v>0.39513888888888887</v>
      </c>
      <c r="D1422" s="20" t="s">
        <v>3035</v>
      </c>
      <c r="E1422" t="s">
        <v>33</v>
      </c>
      <c r="F1422" t="s">
        <v>44</v>
      </c>
      <c r="G1422" t="s">
        <v>2153</v>
      </c>
      <c r="H1422">
        <v>8</v>
      </c>
      <c r="I1422">
        <f t="shared" si="24"/>
        <v>10</v>
      </c>
    </row>
    <row r="1423" spans="1:9">
      <c r="A1423" s="1">
        <v>42746.850694444445</v>
      </c>
      <c r="B1423" s="19">
        <v>42516</v>
      </c>
      <c r="C1423" s="21">
        <v>0.32847222222222222</v>
      </c>
      <c r="D1423" s="20" t="s">
        <v>3033</v>
      </c>
      <c r="E1423" t="s">
        <v>0</v>
      </c>
      <c r="G1423" t="s">
        <v>2155</v>
      </c>
      <c r="H1423" t="e">
        <v>#VALUE!</v>
      </c>
      <c r="I1423" t="e">
        <f t="shared" si="24"/>
        <v>#VALUE!</v>
      </c>
    </row>
    <row r="1424" spans="1:9">
      <c r="A1424" s="1">
        <v>42746.640972222223</v>
      </c>
      <c r="B1424" s="19">
        <v>42516</v>
      </c>
      <c r="C1424" s="21">
        <v>0.18819444444444444</v>
      </c>
      <c r="D1424" s="20" t="s">
        <v>3054</v>
      </c>
      <c r="E1424" t="s">
        <v>33</v>
      </c>
      <c r="F1424" t="s">
        <v>34</v>
      </c>
      <c r="G1424" t="s">
        <v>2158</v>
      </c>
      <c r="H1424">
        <v>10</v>
      </c>
      <c r="I1424">
        <f t="shared" si="24"/>
        <v>13</v>
      </c>
    </row>
    <row r="1425" spans="1:9">
      <c r="A1425" s="1">
        <v>42746.631249999999</v>
      </c>
      <c r="B1425" s="19">
        <v>42516</v>
      </c>
      <c r="C1425" s="21">
        <v>8.4722222222222227E-2</v>
      </c>
      <c r="D1425" s="20" t="s">
        <v>3052</v>
      </c>
      <c r="E1425" t="s">
        <v>0</v>
      </c>
      <c r="G1425" t="s">
        <v>2160</v>
      </c>
      <c r="H1425" t="e">
        <v>#VALUE!</v>
      </c>
      <c r="I1425" t="e">
        <f t="shared" si="24"/>
        <v>#VALUE!</v>
      </c>
    </row>
    <row r="1426" spans="1:9">
      <c r="A1426" s="1">
        <v>42746.494444444441</v>
      </c>
      <c r="B1426" s="19">
        <v>42516</v>
      </c>
      <c r="C1426" s="21">
        <v>0.99652777777777779</v>
      </c>
      <c r="D1426" s="20" t="s">
        <v>3063</v>
      </c>
      <c r="E1426" t="s">
        <v>2</v>
      </c>
      <c r="F1426" t="s">
        <v>5</v>
      </c>
      <c r="G1426" t="s">
        <v>2134</v>
      </c>
      <c r="H1426" t="e">
        <v>#VALUE!</v>
      </c>
      <c r="I1426" t="e">
        <f t="shared" si="24"/>
        <v>#VALUE!</v>
      </c>
    </row>
    <row r="1427" spans="1:9">
      <c r="A1427" s="1">
        <v>42746.304166666669</v>
      </c>
      <c r="B1427" s="19">
        <v>42516</v>
      </c>
      <c r="C1427" s="21">
        <v>0.95763888888888893</v>
      </c>
      <c r="D1427" s="20" t="s">
        <v>3049</v>
      </c>
      <c r="E1427" t="s">
        <v>6</v>
      </c>
      <c r="F1427" t="s">
        <v>21</v>
      </c>
      <c r="G1427" t="s">
        <v>2135</v>
      </c>
      <c r="H1427">
        <v>4</v>
      </c>
      <c r="I1427">
        <f t="shared" si="24"/>
        <v>5</v>
      </c>
    </row>
    <row r="1428" spans="1:9">
      <c r="A1428" s="1">
        <v>42746.927083333336</v>
      </c>
      <c r="B1428" s="19">
        <v>42516</v>
      </c>
      <c r="C1428" s="21">
        <v>0.9243055555555556</v>
      </c>
      <c r="D1428" s="20" t="s">
        <v>3049</v>
      </c>
      <c r="E1428" t="s">
        <v>6</v>
      </c>
      <c r="F1428" t="s">
        <v>12</v>
      </c>
      <c r="G1428" t="s">
        <v>2136</v>
      </c>
      <c r="H1428" t="e">
        <v>#VALUE!</v>
      </c>
      <c r="I1428" t="e">
        <f t="shared" si="24"/>
        <v>#VALUE!</v>
      </c>
    </row>
    <row r="1429" spans="1:9">
      <c r="A1429" s="1">
        <v>42746.919444444444</v>
      </c>
      <c r="B1429" s="19">
        <v>42516</v>
      </c>
      <c r="C1429" s="21">
        <v>0.92083333333333328</v>
      </c>
      <c r="D1429" s="20" t="s">
        <v>3049</v>
      </c>
      <c r="E1429" t="s">
        <v>6</v>
      </c>
      <c r="F1429" t="s">
        <v>15</v>
      </c>
      <c r="G1429" t="s">
        <v>2137</v>
      </c>
      <c r="H1429" t="e">
        <v>#VALUE!</v>
      </c>
      <c r="I1429" t="e">
        <f t="shared" si="24"/>
        <v>#VALUE!</v>
      </c>
    </row>
    <row r="1430" spans="1:9">
      <c r="A1430" s="1">
        <v>42746.877083333333</v>
      </c>
      <c r="B1430" s="19">
        <v>42516</v>
      </c>
      <c r="C1430" s="21">
        <v>0.82499999999999996</v>
      </c>
      <c r="D1430" s="20" t="s">
        <v>3046</v>
      </c>
      <c r="E1430" t="s">
        <v>2</v>
      </c>
      <c r="F1430" t="s">
        <v>5</v>
      </c>
      <c r="G1430" t="s">
        <v>2138</v>
      </c>
      <c r="H1430" t="e">
        <v>#VALUE!</v>
      </c>
      <c r="I1430" t="e">
        <f t="shared" si="24"/>
        <v>#VALUE!</v>
      </c>
    </row>
    <row r="1431" spans="1:9">
      <c r="A1431" s="1">
        <v>42746.77847222222</v>
      </c>
      <c r="B1431" s="19">
        <v>42516</v>
      </c>
      <c r="C1431" s="21">
        <v>0.60902777777777772</v>
      </c>
      <c r="D1431" s="20" t="s">
        <v>3040</v>
      </c>
      <c r="E1431" t="s">
        <v>2</v>
      </c>
      <c r="F1431" t="s">
        <v>5</v>
      </c>
      <c r="G1431" t="s">
        <v>2142</v>
      </c>
      <c r="H1431" t="e">
        <v>#VALUE!</v>
      </c>
      <c r="I1431" t="e">
        <f t="shared" si="24"/>
        <v>#VALUE!</v>
      </c>
    </row>
    <row r="1432" spans="1:9">
      <c r="A1432" s="1">
        <v>42746.597916666666</v>
      </c>
      <c r="B1432" s="19">
        <v>42516</v>
      </c>
      <c r="C1432" s="21">
        <v>0.59027777777777779</v>
      </c>
      <c r="D1432" s="20" t="s">
        <v>3040</v>
      </c>
      <c r="E1432" t="s">
        <v>6</v>
      </c>
      <c r="F1432" t="s">
        <v>12</v>
      </c>
      <c r="G1432" t="s">
        <v>2147</v>
      </c>
      <c r="H1432" t="e">
        <v>#VALUE!</v>
      </c>
      <c r="I1432" t="e">
        <f t="shared" si="24"/>
        <v>#VALUE!</v>
      </c>
    </row>
    <row r="1433" spans="1:9">
      <c r="A1433" s="1">
        <v>42746.59097222222</v>
      </c>
      <c r="B1433" s="19">
        <v>42516</v>
      </c>
      <c r="C1433" s="21">
        <v>0.35555555555555557</v>
      </c>
      <c r="D1433" s="20" t="s">
        <v>3034</v>
      </c>
      <c r="E1433" t="s">
        <v>6</v>
      </c>
      <c r="F1433" t="s">
        <v>26</v>
      </c>
      <c r="G1433" t="s">
        <v>2154</v>
      </c>
      <c r="H1433">
        <v>38</v>
      </c>
      <c r="I1433">
        <f t="shared" si="24"/>
        <v>48</v>
      </c>
    </row>
    <row r="1434" spans="1:9">
      <c r="A1434" s="1">
        <v>42746.491666666669</v>
      </c>
      <c r="B1434" s="19">
        <v>42516</v>
      </c>
      <c r="C1434" s="21">
        <v>0.25</v>
      </c>
      <c r="D1434" s="20" t="s">
        <v>3031</v>
      </c>
      <c r="E1434" t="s">
        <v>6</v>
      </c>
      <c r="F1434" t="s">
        <v>7</v>
      </c>
      <c r="G1434" t="s">
        <v>2156</v>
      </c>
      <c r="H1434" t="e">
        <v>#VALUE!</v>
      </c>
      <c r="I1434" t="e">
        <f t="shared" si="24"/>
        <v>#VALUE!</v>
      </c>
    </row>
    <row r="1435" spans="1:9">
      <c r="A1435" s="1">
        <v>42746.251388888886</v>
      </c>
      <c r="B1435" s="19">
        <v>42516</v>
      </c>
      <c r="C1435" s="21">
        <v>0.20208333333333334</v>
      </c>
      <c r="D1435" s="20" t="s">
        <v>3054</v>
      </c>
      <c r="E1435" t="s">
        <v>6</v>
      </c>
      <c r="F1435" t="s">
        <v>7</v>
      </c>
      <c r="G1435" t="s">
        <v>2157</v>
      </c>
      <c r="H1435">
        <v>87</v>
      </c>
      <c r="I1435">
        <f t="shared" si="24"/>
        <v>108</v>
      </c>
    </row>
    <row r="1436" spans="1:9">
      <c r="A1436" s="1">
        <v>42745.85</v>
      </c>
      <c r="B1436" s="19">
        <v>42516</v>
      </c>
      <c r="C1436" s="21">
        <v>0.15763888888888888</v>
      </c>
      <c r="D1436" s="20" t="s">
        <v>3053</v>
      </c>
      <c r="E1436" t="s">
        <v>6</v>
      </c>
      <c r="F1436" t="s">
        <v>21</v>
      </c>
      <c r="G1436" t="s">
        <v>2159</v>
      </c>
      <c r="H1436">
        <v>13</v>
      </c>
      <c r="I1436">
        <f t="shared" si="24"/>
        <v>17</v>
      </c>
    </row>
    <row r="1437" spans="1:9">
      <c r="A1437" s="1">
        <v>42745.557638888888</v>
      </c>
      <c r="B1437" s="19">
        <v>42516</v>
      </c>
      <c r="C1437" s="21">
        <v>0.14583333333333334</v>
      </c>
      <c r="D1437" s="20" t="s">
        <v>3053</v>
      </c>
      <c r="E1437" t="s">
        <v>2</v>
      </c>
      <c r="F1437" t="s">
        <v>3</v>
      </c>
      <c r="H1437">
        <v>7</v>
      </c>
      <c r="I1437">
        <f t="shared" si="24"/>
        <v>9</v>
      </c>
    </row>
    <row r="1438" spans="1:9">
      <c r="A1438" s="1">
        <v>42745.556944444441</v>
      </c>
      <c r="B1438" s="19">
        <v>42516</v>
      </c>
      <c r="C1438" s="21">
        <v>8.4027777777777785E-2</v>
      </c>
      <c r="D1438" s="20" t="s">
        <v>3052</v>
      </c>
      <c r="E1438" t="s">
        <v>6</v>
      </c>
      <c r="F1438" t="s">
        <v>15</v>
      </c>
      <c r="G1438" t="s">
        <v>297</v>
      </c>
      <c r="H1438" t="e">
        <v>#VALUE!</v>
      </c>
      <c r="I1438" t="e">
        <f t="shared" si="24"/>
        <v>#VALUE!</v>
      </c>
    </row>
    <row r="1439" spans="1:9">
      <c r="A1439" s="1">
        <v>42745.438888888886</v>
      </c>
      <c r="B1439" s="19">
        <v>42517</v>
      </c>
      <c r="C1439" s="21">
        <v>0.93888888888888888</v>
      </c>
      <c r="D1439" s="20" t="s">
        <v>3049</v>
      </c>
      <c r="E1439" t="s">
        <v>77</v>
      </c>
      <c r="G1439" t="s">
        <v>2113</v>
      </c>
      <c r="H1439">
        <v>25</v>
      </c>
      <c r="I1439">
        <f t="shared" si="24"/>
        <v>31</v>
      </c>
    </row>
    <row r="1440" spans="1:9">
      <c r="A1440" s="1">
        <v>42745.426388888889</v>
      </c>
      <c r="B1440" s="19">
        <v>42517</v>
      </c>
      <c r="C1440" s="21">
        <v>0.89722222222222225</v>
      </c>
      <c r="D1440" s="20" t="s">
        <v>3048</v>
      </c>
      <c r="E1440" t="s">
        <v>33</v>
      </c>
      <c r="F1440" t="s">
        <v>155</v>
      </c>
      <c r="G1440" t="s">
        <v>2115</v>
      </c>
      <c r="H1440" t="e">
        <v>#VALUE!</v>
      </c>
      <c r="I1440" t="e">
        <f t="shared" si="24"/>
        <v>#VALUE!</v>
      </c>
    </row>
    <row r="1441" spans="1:9">
      <c r="A1441" s="1">
        <v>42745.155555555553</v>
      </c>
      <c r="B1441" s="19">
        <v>42517</v>
      </c>
      <c r="C1441" s="21">
        <v>0.83958333333333335</v>
      </c>
      <c r="D1441" s="20" t="s">
        <v>3047</v>
      </c>
      <c r="E1441" t="s">
        <v>33</v>
      </c>
      <c r="F1441" t="s">
        <v>44</v>
      </c>
      <c r="G1441" t="s">
        <v>2116</v>
      </c>
      <c r="H1441">
        <v>9</v>
      </c>
      <c r="I1441">
        <f t="shared" si="24"/>
        <v>12</v>
      </c>
    </row>
    <row r="1442" spans="1:9">
      <c r="A1442" s="1">
        <v>42745.923611111109</v>
      </c>
      <c r="B1442" s="19">
        <v>42517</v>
      </c>
      <c r="C1442" s="21">
        <v>0.81319444444444444</v>
      </c>
      <c r="D1442" s="20" t="s">
        <v>3046</v>
      </c>
      <c r="E1442" t="s">
        <v>33</v>
      </c>
      <c r="F1442" t="s">
        <v>155</v>
      </c>
      <c r="G1442" t="s">
        <v>2118</v>
      </c>
      <c r="H1442">
        <v>75</v>
      </c>
      <c r="I1442">
        <f t="shared" si="24"/>
        <v>93</v>
      </c>
    </row>
    <row r="1443" spans="1:9">
      <c r="A1443" s="1">
        <v>42745.909722222219</v>
      </c>
      <c r="B1443" s="19">
        <v>42517</v>
      </c>
      <c r="C1443" s="21">
        <v>0.72291666666666665</v>
      </c>
      <c r="D1443" s="20" t="s">
        <v>3044</v>
      </c>
      <c r="E1443" t="s">
        <v>33</v>
      </c>
      <c r="F1443" t="s">
        <v>44</v>
      </c>
      <c r="G1443" t="s">
        <v>2119</v>
      </c>
      <c r="H1443">
        <v>3</v>
      </c>
      <c r="I1443">
        <f t="shared" si="24"/>
        <v>4</v>
      </c>
    </row>
    <row r="1444" spans="1:9">
      <c r="A1444" s="1">
        <v>42745.683333333334</v>
      </c>
      <c r="B1444" s="19">
        <v>42517</v>
      </c>
      <c r="C1444" s="21">
        <v>0.62222222222222223</v>
      </c>
      <c r="D1444" s="20" t="s">
        <v>3040</v>
      </c>
      <c r="E1444" t="s">
        <v>33</v>
      </c>
      <c r="F1444" t="s">
        <v>44</v>
      </c>
      <c r="G1444" t="s">
        <v>2119</v>
      </c>
      <c r="H1444">
        <v>7</v>
      </c>
      <c r="I1444">
        <f t="shared" si="24"/>
        <v>9</v>
      </c>
    </row>
    <row r="1445" spans="1:9">
      <c r="A1445" s="1">
        <v>42745.588194444441</v>
      </c>
      <c r="B1445" s="19">
        <v>42517</v>
      </c>
      <c r="C1445" s="21">
        <v>0.60972222222222228</v>
      </c>
      <c r="D1445" s="20" t="s">
        <v>3040</v>
      </c>
      <c r="E1445" t="s">
        <v>0</v>
      </c>
      <c r="G1445" t="s">
        <v>2122</v>
      </c>
      <c r="H1445">
        <v>3</v>
      </c>
      <c r="I1445">
        <f t="shared" si="24"/>
        <v>4</v>
      </c>
    </row>
    <row r="1446" spans="1:9">
      <c r="A1446" s="1">
        <v>42745.568055555559</v>
      </c>
      <c r="B1446" s="19">
        <v>42517</v>
      </c>
      <c r="C1446" s="21">
        <v>0.57013888888888886</v>
      </c>
      <c r="D1446" s="20" t="s">
        <v>3039</v>
      </c>
      <c r="E1446" t="s">
        <v>0</v>
      </c>
      <c r="F1446" t="s">
        <v>1</v>
      </c>
      <c r="H1446">
        <v>19</v>
      </c>
      <c r="I1446">
        <f t="shared" si="24"/>
        <v>24</v>
      </c>
    </row>
    <row r="1447" spans="1:9">
      <c r="A1447" s="1">
        <v>42745.551388888889</v>
      </c>
      <c r="B1447" s="19">
        <v>42517</v>
      </c>
      <c r="C1447" s="21">
        <v>0.43541666666666667</v>
      </c>
      <c r="D1447" s="20" t="s">
        <v>3036</v>
      </c>
      <c r="E1447" t="s">
        <v>0</v>
      </c>
      <c r="G1447" t="s">
        <v>2125</v>
      </c>
      <c r="H1447" t="e">
        <v>#VALUE!</v>
      </c>
      <c r="I1447" t="e">
        <f t="shared" si="24"/>
        <v>#VALUE!</v>
      </c>
    </row>
    <row r="1448" spans="1:9">
      <c r="A1448" s="1">
        <v>42745.333333333336</v>
      </c>
      <c r="B1448" s="19">
        <v>42517</v>
      </c>
      <c r="C1448" s="21">
        <v>0.34861111111111109</v>
      </c>
      <c r="D1448" s="20" t="s">
        <v>3034</v>
      </c>
      <c r="E1448" t="s">
        <v>0</v>
      </c>
      <c r="G1448" t="s">
        <v>2129</v>
      </c>
      <c r="H1448">
        <v>56</v>
      </c>
      <c r="I1448">
        <f t="shared" si="24"/>
        <v>70</v>
      </c>
    </row>
    <row r="1449" spans="1:9">
      <c r="A1449" s="1">
        <v>42745.290972222225</v>
      </c>
      <c r="B1449" s="19">
        <v>42517</v>
      </c>
      <c r="C1449" s="21">
        <v>0.95138888888888884</v>
      </c>
      <c r="D1449" s="20" t="s">
        <v>3049</v>
      </c>
      <c r="E1449" t="s">
        <v>2</v>
      </c>
      <c r="F1449" t="s">
        <v>56</v>
      </c>
      <c r="G1449" t="s">
        <v>57</v>
      </c>
      <c r="H1449">
        <v>13</v>
      </c>
      <c r="I1449">
        <f t="shared" si="24"/>
        <v>17</v>
      </c>
    </row>
    <row r="1450" spans="1:9">
      <c r="A1450" s="1">
        <v>42745.268750000003</v>
      </c>
      <c r="B1450" s="19">
        <v>42517</v>
      </c>
      <c r="C1450" s="21">
        <v>0.90138888888888891</v>
      </c>
      <c r="D1450" s="20" t="s">
        <v>3048</v>
      </c>
      <c r="E1450" t="s">
        <v>6</v>
      </c>
      <c r="F1450" t="s">
        <v>15</v>
      </c>
      <c r="G1450" t="s">
        <v>2114</v>
      </c>
      <c r="H1450" t="e">
        <v>#VALUE!</v>
      </c>
      <c r="I1450" t="e">
        <f t="shared" si="24"/>
        <v>#VALUE!</v>
      </c>
    </row>
    <row r="1451" spans="1:9">
      <c r="A1451" s="1">
        <v>42745.251388888886</v>
      </c>
      <c r="B1451" s="19">
        <v>42517</v>
      </c>
      <c r="C1451" s="21">
        <v>0.8305555555555556</v>
      </c>
      <c r="D1451" s="20" t="s">
        <v>3046</v>
      </c>
      <c r="E1451" t="s">
        <v>6</v>
      </c>
      <c r="F1451" t="s">
        <v>26</v>
      </c>
      <c r="G1451" t="s">
        <v>2117</v>
      </c>
      <c r="H1451">
        <v>13</v>
      </c>
      <c r="I1451">
        <f t="shared" si="24"/>
        <v>17</v>
      </c>
    </row>
    <row r="1452" spans="1:9">
      <c r="A1452" s="1">
        <v>42745.227777777778</v>
      </c>
      <c r="B1452" s="19">
        <v>42517</v>
      </c>
      <c r="C1452" s="21">
        <v>0.82291666666666663</v>
      </c>
      <c r="D1452" s="20" t="s">
        <v>3046</v>
      </c>
      <c r="E1452" t="s">
        <v>6</v>
      </c>
      <c r="F1452" t="s">
        <v>26</v>
      </c>
      <c r="G1452" t="s">
        <v>1685</v>
      </c>
      <c r="H1452">
        <v>13</v>
      </c>
      <c r="I1452">
        <f t="shared" si="24"/>
        <v>17</v>
      </c>
    </row>
    <row r="1453" spans="1:9">
      <c r="A1453" s="1">
        <v>42744.865972222222</v>
      </c>
      <c r="B1453" s="19">
        <v>42517</v>
      </c>
      <c r="C1453" s="21">
        <v>0.67361111111111116</v>
      </c>
      <c r="D1453" s="20" t="s">
        <v>3043</v>
      </c>
      <c r="E1453" t="s">
        <v>2</v>
      </c>
      <c r="F1453" t="s">
        <v>48</v>
      </c>
      <c r="G1453" t="s">
        <v>2120</v>
      </c>
      <c r="H1453" t="e">
        <v>#VALUE!</v>
      </c>
      <c r="I1453" t="e">
        <f t="shared" si="24"/>
        <v>#VALUE!</v>
      </c>
    </row>
    <row r="1454" spans="1:9">
      <c r="A1454" s="1">
        <v>42744.84375</v>
      </c>
      <c r="B1454" s="19">
        <v>42517</v>
      </c>
      <c r="C1454" s="21">
        <v>0.65972222222222221</v>
      </c>
      <c r="D1454" s="20" t="s">
        <v>3042</v>
      </c>
      <c r="E1454" t="s">
        <v>2</v>
      </c>
      <c r="F1454" t="s">
        <v>48</v>
      </c>
      <c r="G1454" t="s">
        <v>2121</v>
      </c>
      <c r="H1454">
        <v>7</v>
      </c>
      <c r="I1454">
        <f t="shared" si="24"/>
        <v>9</v>
      </c>
    </row>
    <row r="1455" spans="1:9">
      <c r="A1455" s="1">
        <v>42744.993055555555</v>
      </c>
      <c r="B1455" s="19">
        <v>42517</v>
      </c>
      <c r="C1455" s="21">
        <v>0.58611111111111114</v>
      </c>
      <c r="D1455" s="20" t="s">
        <v>3040</v>
      </c>
      <c r="E1455" t="s">
        <v>6</v>
      </c>
      <c r="F1455" t="s">
        <v>7</v>
      </c>
      <c r="G1455" t="s">
        <v>2123</v>
      </c>
      <c r="H1455">
        <v>29</v>
      </c>
      <c r="I1455">
        <f t="shared" si="24"/>
        <v>36</v>
      </c>
    </row>
    <row r="1456" spans="1:9">
      <c r="A1456" s="1">
        <v>42744.932638888888</v>
      </c>
      <c r="B1456" s="19">
        <v>42517</v>
      </c>
      <c r="C1456" s="21">
        <v>0.56736111111111109</v>
      </c>
      <c r="D1456" s="20" t="s">
        <v>3039</v>
      </c>
      <c r="E1456" t="s">
        <v>6</v>
      </c>
      <c r="F1456" t="s">
        <v>7</v>
      </c>
      <c r="G1456" t="s">
        <v>2124</v>
      </c>
      <c r="H1456">
        <v>25</v>
      </c>
      <c r="I1456">
        <f t="shared" si="24"/>
        <v>31</v>
      </c>
    </row>
    <row r="1457" spans="1:9">
      <c r="A1457" s="1">
        <v>42744.916666666664</v>
      </c>
      <c r="B1457" s="19">
        <v>42517</v>
      </c>
      <c r="C1457" s="21">
        <v>0.41458333333333336</v>
      </c>
      <c r="D1457" s="20" t="s">
        <v>3035</v>
      </c>
      <c r="E1457" t="s">
        <v>6</v>
      </c>
      <c r="F1457" t="s">
        <v>15</v>
      </c>
      <c r="G1457" t="s">
        <v>2126</v>
      </c>
      <c r="H1457">
        <v>75</v>
      </c>
      <c r="I1457">
        <f t="shared" si="24"/>
        <v>93</v>
      </c>
    </row>
    <row r="1458" spans="1:9">
      <c r="A1458" s="1">
        <v>42744.916666666664</v>
      </c>
      <c r="B1458" s="19">
        <v>42517</v>
      </c>
      <c r="C1458" s="21">
        <v>0.37430555555555556</v>
      </c>
      <c r="D1458" s="20" t="s">
        <v>3034</v>
      </c>
      <c r="E1458" t="s">
        <v>2</v>
      </c>
      <c r="F1458" t="s">
        <v>48</v>
      </c>
      <c r="G1458" t="s">
        <v>2127</v>
      </c>
      <c r="H1458">
        <v>75</v>
      </c>
      <c r="I1458">
        <f t="shared" si="24"/>
        <v>93</v>
      </c>
    </row>
    <row r="1459" spans="1:9">
      <c r="A1459" s="1">
        <v>42744.635416666664</v>
      </c>
      <c r="B1459" s="19">
        <v>42517</v>
      </c>
      <c r="C1459" s="21">
        <v>0.34930555555555554</v>
      </c>
      <c r="D1459" s="20" t="s">
        <v>3034</v>
      </c>
      <c r="E1459" t="s">
        <v>6</v>
      </c>
      <c r="F1459" t="s">
        <v>21</v>
      </c>
      <c r="G1459" t="s">
        <v>2128</v>
      </c>
      <c r="H1459">
        <v>19</v>
      </c>
      <c r="I1459">
        <f t="shared" si="24"/>
        <v>24</v>
      </c>
    </row>
    <row r="1460" spans="1:9">
      <c r="A1460" s="1">
        <v>42744.248611111114</v>
      </c>
      <c r="B1460" s="19">
        <v>42517</v>
      </c>
      <c r="C1460" s="21">
        <v>0.33541666666666664</v>
      </c>
      <c r="D1460" s="20" t="s">
        <v>3034</v>
      </c>
      <c r="E1460" t="s">
        <v>6</v>
      </c>
      <c r="F1460" t="s">
        <v>15</v>
      </c>
      <c r="G1460" t="s">
        <v>83</v>
      </c>
      <c r="H1460">
        <v>9</v>
      </c>
      <c r="I1460">
        <f t="shared" si="24"/>
        <v>12</v>
      </c>
    </row>
    <row r="1461" spans="1:9">
      <c r="A1461" s="1">
        <v>42741.169444444444</v>
      </c>
      <c r="B1461" s="19">
        <v>42517</v>
      </c>
      <c r="C1461" s="21">
        <v>0.32569444444444445</v>
      </c>
      <c r="D1461" s="20" t="s">
        <v>3033</v>
      </c>
      <c r="E1461" t="s">
        <v>6</v>
      </c>
      <c r="F1461" t="s">
        <v>15</v>
      </c>
      <c r="G1461" t="s">
        <v>2128</v>
      </c>
      <c r="H1461">
        <v>13</v>
      </c>
      <c r="I1461">
        <f t="shared" si="24"/>
        <v>17</v>
      </c>
    </row>
    <row r="1462" spans="1:9">
      <c r="A1462" s="1">
        <v>42740.847222222219</v>
      </c>
      <c r="B1462" s="19">
        <v>42517</v>
      </c>
      <c r="C1462" s="21">
        <v>0.27986111111111112</v>
      </c>
      <c r="D1462" s="20" t="s">
        <v>3031</v>
      </c>
      <c r="E1462" t="s">
        <v>6</v>
      </c>
      <c r="F1462" t="s">
        <v>12</v>
      </c>
      <c r="G1462" t="s">
        <v>2130</v>
      </c>
      <c r="H1462" t="e">
        <v>#VALUE!</v>
      </c>
      <c r="I1462" t="e">
        <f t="shared" si="24"/>
        <v>#VALUE!</v>
      </c>
    </row>
    <row r="1463" spans="1:9">
      <c r="A1463" s="1">
        <v>42740.772222222222</v>
      </c>
      <c r="B1463" s="19">
        <v>42517</v>
      </c>
      <c r="C1463" s="21">
        <v>0.21180555555555555</v>
      </c>
      <c r="D1463" s="20" t="s">
        <v>3055</v>
      </c>
      <c r="E1463" t="s">
        <v>6</v>
      </c>
      <c r="F1463" t="s">
        <v>15</v>
      </c>
      <c r="G1463" t="s">
        <v>2131</v>
      </c>
      <c r="H1463">
        <v>18</v>
      </c>
      <c r="I1463">
        <f t="shared" si="24"/>
        <v>23</v>
      </c>
    </row>
    <row r="1464" spans="1:9">
      <c r="A1464" s="1">
        <v>42740.531944444447</v>
      </c>
      <c r="B1464" s="19">
        <v>42517</v>
      </c>
      <c r="C1464" s="21">
        <v>0.20208333333333334</v>
      </c>
      <c r="D1464" s="20" t="s">
        <v>3054</v>
      </c>
      <c r="E1464" t="s">
        <v>2</v>
      </c>
      <c r="F1464" t="s">
        <v>3</v>
      </c>
      <c r="G1464" t="s">
        <v>454</v>
      </c>
      <c r="H1464">
        <v>3</v>
      </c>
      <c r="I1464">
        <f t="shared" si="24"/>
        <v>4</v>
      </c>
    </row>
    <row r="1465" spans="1:9">
      <c r="A1465" s="1">
        <v>42740.513888888891</v>
      </c>
      <c r="B1465" s="19">
        <v>42517</v>
      </c>
      <c r="C1465" s="21">
        <v>0.2013888888888889</v>
      </c>
      <c r="D1465" s="20" t="s">
        <v>3054</v>
      </c>
      <c r="E1465" t="s">
        <v>6</v>
      </c>
      <c r="F1465" t="s">
        <v>15</v>
      </c>
      <c r="G1465" t="s">
        <v>2132</v>
      </c>
      <c r="H1465">
        <v>8</v>
      </c>
      <c r="I1465">
        <f t="shared" si="24"/>
        <v>10</v>
      </c>
    </row>
    <row r="1466" spans="1:9">
      <c r="A1466" s="1">
        <v>42740.208333333336</v>
      </c>
      <c r="B1466" s="19">
        <v>42517</v>
      </c>
      <c r="C1466" s="21">
        <v>0.15069444444444444</v>
      </c>
      <c r="D1466" s="20" t="s">
        <v>3053</v>
      </c>
      <c r="E1466" t="s">
        <v>6</v>
      </c>
      <c r="F1466" t="s">
        <v>21</v>
      </c>
      <c r="G1466" t="s">
        <v>2132</v>
      </c>
      <c r="H1466">
        <v>9</v>
      </c>
      <c r="I1466">
        <f t="shared" si="24"/>
        <v>12</v>
      </c>
    </row>
    <row r="1467" spans="1:9">
      <c r="A1467" s="1">
        <v>42740.902083333334</v>
      </c>
      <c r="B1467" s="19">
        <v>42517</v>
      </c>
      <c r="C1467" s="21">
        <v>0.11944444444444445</v>
      </c>
      <c r="D1467" s="20" t="s">
        <v>3052</v>
      </c>
      <c r="E1467" t="s">
        <v>2</v>
      </c>
      <c r="F1467" t="s">
        <v>5</v>
      </c>
      <c r="H1467">
        <v>4</v>
      </c>
      <c r="I1467">
        <f t="shared" si="24"/>
        <v>5</v>
      </c>
    </row>
    <row r="1468" spans="1:9">
      <c r="A1468" s="1">
        <v>42740.761805555558</v>
      </c>
      <c r="B1468" s="19">
        <v>42517</v>
      </c>
      <c r="C1468" s="21">
        <v>8.8888888888888892E-2</v>
      </c>
      <c r="D1468" s="20" t="s">
        <v>3052</v>
      </c>
      <c r="E1468" t="s">
        <v>6</v>
      </c>
      <c r="F1468" t="s">
        <v>26</v>
      </c>
      <c r="G1468" t="s">
        <v>2133</v>
      </c>
      <c r="H1468">
        <v>55</v>
      </c>
      <c r="I1468">
        <f t="shared" si="24"/>
        <v>69</v>
      </c>
    </row>
    <row r="1469" spans="1:9">
      <c r="A1469" s="1">
        <v>42740.651388888888</v>
      </c>
      <c r="B1469" s="19">
        <v>42520</v>
      </c>
      <c r="C1469" s="21">
        <v>0.88472222222222219</v>
      </c>
      <c r="D1469" s="20" t="s">
        <v>3048</v>
      </c>
      <c r="E1469" t="s">
        <v>33</v>
      </c>
      <c r="F1469" t="s">
        <v>34</v>
      </c>
      <c r="G1469" t="s">
        <v>2098</v>
      </c>
      <c r="H1469">
        <v>7</v>
      </c>
      <c r="I1469">
        <f t="shared" si="24"/>
        <v>9</v>
      </c>
    </row>
    <row r="1470" spans="1:9">
      <c r="A1470" s="1">
        <v>42740.588888888888</v>
      </c>
      <c r="B1470" s="19">
        <v>42520</v>
      </c>
      <c r="C1470" s="21">
        <v>0.43333333333333335</v>
      </c>
      <c r="D1470" s="20" t="s">
        <v>3036</v>
      </c>
      <c r="E1470" t="s">
        <v>33</v>
      </c>
      <c r="F1470" t="s">
        <v>44</v>
      </c>
      <c r="G1470" t="s">
        <v>2106</v>
      </c>
      <c r="H1470" t="e">
        <v>#VALUE!</v>
      </c>
      <c r="I1470" t="e">
        <f t="shared" si="24"/>
        <v>#VALUE!</v>
      </c>
    </row>
    <row r="1471" spans="1:9">
      <c r="A1471" s="1">
        <v>42740.310416666667</v>
      </c>
      <c r="B1471" s="19">
        <v>42520</v>
      </c>
      <c r="C1471" s="21">
        <v>0.33263888888888887</v>
      </c>
      <c r="D1471" s="20" t="s">
        <v>3033</v>
      </c>
      <c r="E1471" t="s">
        <v>0</v>
      </c>
      <c r="F1471" t="s">
        <v>1</v>
      </c>
      <c r="G1471" t="s">
        <v>2107</v>
      </c>
      <c r="H1471">
        <v>19</v>
      </c>
      <c r="I1471">
        <f t="shared" si="24"/>
        <v>24</v>
      </c>
    </row>
    <row r="1472" spans="1:9">
      <c r="A1472" s="1">
        <v>42740.248611111114</v>
      </c>
      <c r="B1472" s="19">
        <v>42520</v>
      </c>
      <c r="C1472" s="21">
        <v>0.3125</v>
      </c>
      <c r="D1472" s="20" t="s">
        <v>3033</v>
      </c>
      <c r="E1472" t="s">
        <v>0</v>
      </c>
      <c r="G1472" t="s">
        <v>2108</v>
      </c>
      <c r="H1472">
        <v>38</v>
      </c>
      <c r="I1472">
        <f t="shared" si="24"/>
        <v>48</v>
      </c>
    </row>
    <row r="1473" spans="1:9">
      <c r="A1473" s="1">
        <v>42739.879861111112</v>
      </c>
      <c r="B1473" s="19">
        <v>42520</v>
      </c>
      <c r="C1473" s="21">
        <v>0.27569444444444446</v>
      </c>
      <c r="D1473" s="20" t="s">
        <v>3031</v>
      </c>
      <c r="E1473" t="s">
        <v>77</v>
      </c>
      <c r="F1473" t="s">
        <v>159</v>
      </c>
      <c r="G1473" t="s">
        <v>2110</v>
      </c>
      <c r="H1473">
        <v>12</v>
      </c>
      <c r="I1473">
        <f t="shared" si="24"/>
        <v>15</v>
      </c>
    </row>
    <row r="1474" spans="1:9">
      <c r="A1474" s="1">
        <v>42739.813194444447</v>
      </c>
      <c r="B1474" s="19">
        <v>42520</v>
      </c>
      <c r="C1474" s="21">
        <v>0.2722222222222222</v>
      </c>
      <c r="D1474" s="20" t="s">
        <v>3031</v>
      </c>
      <c r="E1474" t="s">
        <v>77</v>
      </c>
      <c r="F1474" t="s">
        <v>159</v>
      </c>
      <c r="G1474" t="s">
        <v>2111</v>
      </c>
      <c r="H1474">
        <v>4</v>
      </c>
      <c r="I1474">
        <f t="shared" si="24"/>
        <v>5</v>
      </c>
    </row>
    <row r="1475" spans="1:9">
      <c r="A1475" s="1">
        <v>42739.587500000001</v>
      </c>
      <c r="B1475" s="19">
        <v>42520</v>
      </c>
      <c r="C1475" s="21">
        <v>0.25277777777777777</v>
      </c>
      <c r="D1475" s="20" t="s">
        <v>3031</v>
      </c>
      <c r="E1475" t="s">
        <v>0</v>
      </c>
      <c r="G1475" t="s">
        <v>2112</v>
      </c>
      <c r="H1475">
        <v>4</v>
      </c>
      <c r="I1475">
        <f t="shared" ref="I1475:I1538" si="25">ROUNDUP((H1475*1.24), 0)</f>
        <v>5</v>
      </c>
    </row>
    <row r="1476" spans="1:9">
      <c r="A1476" s="1">
        <v>42739.567361111112</v>
      </c>
      <c r="B1476" s="19">
        <v>42520</v>
      </c>
      <c r="C1476" s="21">
        <v>0.9194444444444444</v>
      </c>
      <c r="D1476" s="20" t="s">
        <v>3049</v>
      </c>
      <c r="E1476" t="s">
        <v>6</v>
      </c>
      <c r="F1476" t="s">
        <v>15</v>
      </c>
      <c r="G1476" t="s">
        <v>2097</v>
      </c>
      <c r="H1476">
        <v>22</v>
      </c>
      <c r="I1476">
        <f t="shared" si="25"/>
        <v>28</v>
      </c>
    </row>
    <row r="1477" spans="1:9">
      <c r="A1477" s="1">
        <v>42739.544444444444</v>
      </c>
      <c r="B1477" s="19">
        <v>42520</v>
      </c>
      <c r="C1477" s="21">
        <v>0.75486111111111109</v>
      </c>
      <c r="D1477" s="20" t="s">
        <v>3045</v>
      </c>
      <c r="E1477" t="s">
        <v>6</v>
      </c>
      <c r="F1477" t="s">
        <v>12</v>
      </c>
      <c r="G1477" t="s">
        <v>2058</v>
      </c>
      <c r="H1477">
        <v>4</v>
      </c>
      <c r="I1477">
        <f t="shared" si="25"/>
        <v>5</v>
      </c>
    </row>
    <row r="1478" spans="1:9">
      <c r="A1478" s="1">
        <v>42739.535416666666</v>
      </c>
      <c r="B1478" s="19">
        <v>42520</v>
      </c>
      <c r="C1478" s="21">
        <v>0.73472222222222228</v>
      </c>
      <c r="D1478" s="20" t="s">
        <v>3044</v>
      </c>
      <c r="E1478" t="s">
        <v>6</v>
      </c>
      <c r="F1478" t="s">
        <v>12</v>
      </c>
      <c r="G1478" t="s">
        <v>2099</v>
      </c>
      <c r="H1478">
        <v>4</v>
      </c>
      <c r="I1478">
        <f t="shared" si="25"/>
        <v>5</v>
      </c>
    </row>
    <row r="1479" spans="1:9">
      <c r="A1479" s="1">
        <v>42739.484722222223</v>
      </c>
      <c r="B1479" s="19">
        <v>42520</v>
      </c>
      <c r="C1479" s="21">
        <v>0.71597222222222223</v>
      </c>
      <c r="D1479" s="20" t="s">
        <v>3044</v>
      </c>
      <c r="E1479" t="s">
        <v>6</v>
      </c>
      <c r="F1479" t="s">
        <v>26</v>
      </c>
      <c r="G1479" t="s">
        <v>2100</v>
      </c>
      <c r="H1479">
        <v>7</v>
      </c>
      <c r="I1479">
        <f t="shared" si="25"/>
        <v>9</v>
      </c>
    </row>
    <row r="1480" spans="1:9">
      <c r="A1480" s="1">
        <v>42739.361805555556</v>
      </c>
      <c r="B1480" s="19">
        <v>42520</v>
      </c>
      <c r="C1480" s="21">
        <v>0.65972222222222221</v>
      </c>
      <c r="D1480" s="20" t="s">
        <v>3042</v>
      </c>
      <c r="E1480" t="s">
        <v>2</v>
      </c>
      <c r="F1480" t="s">
        <v>48</v>
      </c>
      <c r="G1480" t="s">
        <v>2101</v>
      </c>
      <c r="H1480">
        <v>13</v>
      </c>
      <c r="I1480">
        <f t="shared" si="25"/>
        <v>17</v>
      </c>
    </row>
    <row r="1481" spans="1:9">
      <c r="A1481" s="1">
        <v>42739.347916666666</v>
      </c>
      <c r="B1481" s="19">
        <v>42520</v>
      </c>
      <c r="C1481" s="21">
        <v>0.58680555555555558</v>
      </c>
      <c r="D1481" s="20" t="s">
        <v>3040</v>
      </c>
      <c r="E1481" t="s">
        <v>6</v>
      </c>
      <c r="F1481" t="s">
        <v>15</v>
      </c>
      <c r="G1481" t="s">
        <v>2102</v>
      </c>
      <c r="H1481">
        <v>34</v>
      </c>
      <c r="I1481">
        <f t="shared" si="25"/>
        <v>43</v>
      </c>
    </row>
    <row r="1482" spans="1:9">
      <c r="A1482" s="1">
        <v>42739.147222222222</v>
      </c>
      <c r="B1482" s="19">
        <v>42520</v>
      </c>
      <c r="C1482" s="21">
        <v>0.58333333333333337</v>
      </c>
      <c r="D1482" s="20" t="s">
        <v>3040</v>
      </c>
      <c r="E1482" t="s">
        <v>6</v>
      </c>
      <c r="F1482" t="s">
        <v>12</v>
      </c>
      <c r="G1482" t="s">
        <v>2103</v>
      </c>
      <c r="H1482">
        <v>31</v>
      </c>
      <c r="I1482">
        <f t="shared" si="25"/>
        <v>39</v>
      </c>
    </row>
    <row r="1483" spans="1:9">
      <c r="A1483" s="1">
        <v>42739.131944444445</v>
      </c>
      <c r="B1483" s="19">
        <v>42520</v>
      </c>
      <c r="C1483" s="21">
        <v>0.56180555555555556</v>
      </c>
      <c r="D1483" s="20" t="s">
        <v>3039</v>
      </c>
      <c r="E1483" t="s">
        <v>6</v>
      </c>
      <c r="F1483" t="s">
        <v>12</v>
      </c>
      <c r="G1483" t="s">
        <v>2104</v>
      </c>
      <c r="H1483">
        <v>38</v>
      </c>
      <c r="I1483">
        <f t="shared" si="25"/>
        <v>48</v>
      </c>
    </row>
    <row r="1484" spans="1:9">
      <c r="A1484" s="1">
        <v>42739.012499999997</v>
      </c>
      <c r="B1484" s="19">
        <v>42520</v>
      </c>
      <c r="C1484" s="21">
        <v>0.54583333333333328</v>
      </c>
      <c r="D1484" s="20" t="s">
        <v>3039</v>
      </c>
      <c r="E1484" t="s">
        <v>2</v>
      </c>
      <c r="F1484" t="s">
        <v>48</v>
      </c>
      <c r="G1484" t="s">
        <v>670</v>
      </c>
      <c r="H1484">
        <v>67</v>
      </c>
      <c r="I1484">
        <f t="shared" si="25"/>
        <v>84</v>
      </c>
    </row>
    <row r="1485" spans="1:9">
      <c r="A1485" s="1">
        <v>42739.906944444447</v>
      </c>
      <c r="B1485" s="19">
        <v>42520</v>
      </c>
      <c r="C1485" s="21">
        <v>0.43958333333333333</v>
      </c>
      <c r="D1485" s="20" t="s">
        <v>3036</v>
      </c>
      <c r="E1485" t="s">
        <v>2</v>
      </c>
      <c r="F1485" t="s">
        <v>5</v>
      </c>
      <c r="G1485" t="s">
        <v>2105</v>
      </c>
      <c r="H1485" t="e">
        <v>#VALUE!</v>
      </c>
      <c r="I1485" t="e">
        <f t="shared" si="25"/>
        <v>#VALUE!</v>
      </c>
    </row>
    <row r="1486" spans="1:9">
      <c r="A1486" s="1">
        <v>42739.874305555553</v>
      </c>
      <c r="B1486" s="19">
        <v>42520</v>
      </c>
      <c r="C1486" s="21">
        <v>0.35069444444444442</v>
      </c>
      <c r="D1486" s="20" t="s">
        <v>3034</v>
      </c>
      <c r="E1486" t="s">
        <v>6</v>
      </c>
      <c r="F1486" t="s">
        <v>12</v>
      </c>
      <c r="G1486" t="s">
        <v>1675</v>
      </c>
      <c r="H1486">
        <v>3</v>
      </c>
      <c r="I1486">
        <f t="shared" si="25"/>
        <v>4</v>
      </c>
    </row>
    <row r="1487" spans="1:9">
      <c r="A1487" s="1">
        <v>42739.585416666669</v>
      </c>
      <c r="B1487" s="19">
        <v>42520</v>
      </c>
      <c r="C1487" s="21">
        <v>0.30069444444444443</v>
      </c>
      <c r="D1487" s="20" t="s">
        <v>3033</v>
      </c>
      <c r="E1487" t="s">
        <v>6</v>
      </c>
      <c r="F1487" t="s">
        <v>15</v>
      </c>
      <c r="G1487" t="s">
        <v>2109</v>
      </c>
      <c r="H1487">
        <v>22</v>
      </c>
      <c r="I1487">
        <f t="shared" si="25"/>
        <v>28</v>
      </c>
    </row>
    <row r="1488" spans="1:9">
      <c r="A1488" s="1">
        <v>42739.518055555556</v>
      </c>
      <c r="B1488" s="19">
        <v>42521</v>
      </c>
      <c r="C1488" s="21">
        <v>0.99791666666666667</v>
      </c>
      <c r="D1488" s="20" t="s">
        <v>3063</v>
      </c>
      <c r="E1488" t="s">
        <v>33</v>
      </c>
      <c r="F1488" t="s">
        <v>44</v>
      </c>
      <c r="G1488" t="s">
        <v>2080</v>
      </c>
      <c r="H1488">
        <v>3</v>
      </c>
      <c r="I1488">
        <f t="shared" si="25"/>
        <v>4</v>
      </c>
    </row>
    <row r="1489" spans="1:9">
      <c r="A1489" s="1">
        <v>42739.354166666664</v>
      </c>
      <c r="B1489" s="19">
        <v>42521</v>
      </c>
      <c r="C1489" s="21">
        <v>0.90972222222222221</v>
      </c>
      <c r="D1489" s="20" t="s">
        <v>3048</v>
      </c>
      <c r="E1489" t="s">
        <v>0</v>
      </c>
      <c r="G1489" t="s">
        <v>2083</v>
      </c>
      <c r="H1489">
        <v>2</v>
      </c>
      <c r="I1489">
        <f t="shared" si="25"/>
        <v>3</v>
      </c>
    </row>
    <row r="1490" spans="1:9">
      <c r="A1490" s="1">
        <v>42739.290277777778</v>
      </c>
      <c r="B1490" s="19">
        <v>42521</v>
      </c>
      <c r="C1490" s="21">
        <v>0.79722222222222228</v>
      </c>
      <c r="D1490" s="20" t="s">
        <v>3046</v>
      </c>
      <c r="E1490" t="s">
        <v>0</v>
      </c>
      <c r="F1490" t="s">
        <v>75</v>
      </c>
      <c r="G1490" t="s">
        <v>2084</v>
      </c>
      <c r="H1490">
        <v>7</v>
      </c>
      <c r="I1490">
        <f t="shared" si="25"/>
        <v>9</v>
      </c>
    </row>
    <row r="1491" spans="1:9">
      <c r="A1491" s="1">
        <v>42739.272916666669</v>
      </c>
      <c r="B1491" s="19">
        <v>42521</v>
      </c>
      <c r="C1491" s="21">
        <v>0.62013888888888891</v>
      </c>
      <c r="D1491" s="20" t="s">
        <v>3040</v>
      </c>
      <c r="E1491" t="s">
        <v>33</v>
      </c>
      <c r="F1491" t="s">
        <v>34</v>
      </c>
      <c r="G1491" t="s">
        <v>2088</v>
      </c>
      <c r="H1491">
        <v>9</v>
      </c>
      <c r="I1491">
        <f t="shared" si="25"/>
        <v>12</v>
      </c>
    </row>
    <row r="1492" spans="1:9">
      <c r="A1492" s="1">
        <v>42739.25</v>
      </c>
      <c r="B1492" s="19">
        <v>42521</v>
      </c>
      <c r="C1492" s="21">
        <v>0.60138888888888886</v>
      </c>
      <c r="D1492" s="20" t="s">
        <v>3040</v>
      </c>
      <c r="E1492" t="s">
        <v>0</v>
      </c>
      <c r="F1492" t="s">
        <v>75</v>
      </c>
      <c r="G1492" t="s">
        <v>249</v>
      </c>
      <c r="H1492">
        <v>4</v>
      </c>
      <c r="I1492">
        <f t="shared" si="25"/>
        <v>5</v>
      </c>
    </row>
    <row r="1493" spans="1:9">
      <c r="A1493" s="1">
        <v>42738.920138888891</v>
      </c>
      <c r="B1493" s="19">
        <v>42521</v>
      </c>
      <c r="C1493" s="21">
        <v>0.54166666666666663</v>
      </c>
      <c r="D1493" s="20" t="s">
        <v>3039</v>
      </c>
      <c r="E1493" t="s">
        <v>33</v>
      </c>
      <c r="F1493" t="s">
        <v>44</v>
      </c>
      <c r="G1493" t="s">
        <v>2091</v>
      </c>
      <c r="H1493">
        <v>75</v>
      </c>
      <c r="I1493">
        <f t="shared" si="25"/>
        <v>93</v>
      </c>
    </row>
    <row r="1494" spans="1:9">
      <c r="A1494" s="1">
        <v>42738.897222222222</v>
      </c>
      <c r="B1494" s="19">
        <v>42521</v>
      </c>
      <c r="C1494" s="21">
        <v>0.35972222222222222</v>
      </c>
      <c r="D1494" s="20" t="s">
        <v>3034</v>
      </c>
      <c r="E1494" t="s">
        <v>77</v>
      </c>
      <c r="F1494" t="s">
        <v>78</v>
      </c>
      <c r="G1494" t="s">
        <v>1598</v>
      </c>
      <c r="H1494">
        <v>3</v>
      </c>
      <c r="I1494">
        <f t="shared" si="25"/>
        <v>4</v>
      </c>
    </row>
    <row r="1495" spans="1:9">
      <c r="A1495" s="1">
        <v>42738.753472222219</v>
      </c>
      <c r="B1495" s="19">
        <v>42521</v>
      </c>
      <c r="C1495" s="21">
        <v>0.27083333333333331</v>
      </c>
      <c r="D1495" s="20" t="s">
        <v>3031</v>
      </c>
      <c r="E1495" t="s">
        <v>0</v>
      </c>
      <c r="G1495" t="s">
        <v>2093</v>
      </c>
      <c r="H1495">
        <v>7</v>
      </c>
      <c r="I1495">
        <f t="shared" si="25"/>
        <v>9</v>
      </c>
    </row>
    <row r="1496" spans="1:9">
      <c r="A1496" s="1">
        <v>42738.648611111108</v>
      </c>
      <c r="B1496" s="19">
        <v>42521</v>
      </c>
      <c r="C1496" s="21">
        <v>0.26250000000000001</v>
      </c>
      <c r="D1496" s="20" t="s">
        <v>3031</v>
      </c>
      <c r="E1496" t="s">
        <v>0</v>
      </c>
      <c r="G1496" t="s">
        <v>2094</v>
      </c>
      <c r="H1496">
        <v>2</v>
      </c>
      <c r="I1496">
        <f t="shared" si="25"/>
        <v>3</v>
      </c>
    </row>
    <row r="1497" spans="1:9">
      <c r="A1497" s="1">
        <v>42738.484722222223</v>
      </c>
      <c r="B1497" s="19">
        <v>42521</v>
      </c>
      <c r="C1497" s="21">
        <v>0.98888888888888893</v>
      </c>
      <c r="D1497" s="20" t="s">
        <v>3063</v>
      </c>
      <c r="E1497" t="s">
        <v>6</v>
      </c>
      <c r="F1497" t="s">
        <v>21</v>
      </c>
      <c r="G1497" t="s">
        <v>2081</v>
      </c>
      <c r="H1497">
        <v>7</v>
      </c>
      <c r="I1497">
        <f t="shared" si="25"/>
        <v>9</v>
      </c>
    </row>
    <row r="1498" spans="1:9">
      <c r="A1498" s="1">
        <v>42738.45208333333</v>
      </c>
      <c r="B1498" s="19">
        <v>42521</v>
      </c>
      <c r="C1498" s="21">
        <v>0.93402777777777779</v>
      </c>
      <c r="D1498" s="20" t="s">
        <v>3049</v>
      </c>
      <c r="E1498" t="s">
        <v>6</v>
      </c>
      <c r="F1498" t="s">
        <v>15</v>
      </c>
      <c r="G1498" t="s">
        <v>2082</v>
      </c>
      <c r="H1498">
        <v>3</v>
      </c>
      <c r="I1498">
        <f t="shared" si="25"/>
        <v>4</v>
      </c>
    </row>
    <row r="1499" spans="1:9">
      <c r="A1499" s="1">
        <v>42738.397222222222</v>
      </c>
      <c r="B1499" s="19">
        <v>42521</v>
      </c>
      <c r="C1499" s="21">
        <v>0.66111111111111109</v>
      </c>
      <c r="D1499" s="20" t="s">
        <v>3042</v>
      </c>
      <c r="E1499" t="s">
        <v>6</v>
      </c>
      <c r="F1499" t="s">
        <v>15</v>
      </c>
      <c r="G1499" t="s">
        <v>2085</v>
      </c>
      <c r="H1499" t="e">
        <v>#VALUE!</v>
      </c>
      <c r="I1499" t="e">
        <f t="shared" si="25"/>
        <v>#VALUE!</v>
      </c>
    </row>
    <row r="1500" spans="1:9">
      <c r="A1500" s="1">
        <v>42738.394444444442</v>
      </c>
      <c r="B1500" s="19">
        <v>42521</v>
      </c>
      <c r="C1500" s="21">
        <v>0.6479166666666667</v>
      </c>
      <c r="D1500" s="20" t="s">
        <v>3042</v>
      </c>
      <c r="E1500" t="s">
        <v>6</v>
      </c>
      <c r="F1500" t="s">
        <v>15</v>
      </c>
      <c r="G1500" t="s">
        <v>2086</v>
      </c>
      <c r="H1500">
        <v>7</v>
      </c>
      <c r="I1500">
        <f t="shared" si="25"/>
        <v>9</v>
      </c>
    </row>
    <row r="1501" spans="1:9">
      <c r="A1501" s="1">
        <v>42738.384722222225</v>
      </c>
      <c r="B1501" s="19">
        <v>42521</v>
      </c>
      <c r="C1501" s="21">
        <v>0.62708333333333333</v>
      </c>
      <c r="D1501" s="20" t="s">
        <v>3042</v>
      </c>
      <c r="E1501" t="s">
        <v>6</v>
      </c>
      <c r="F1501" t="s">
        <v>89</v>
      </c>
      <c r="G1501" t="s">
        <v>2087</v>
      </c>
      <c r="H1501">
        <v>19</v>
      </c>
      <c r="I1501">
        <f t="shared" si="25"/>
        <v>24</v>
      </c>
    </row>
    <row r="1502" spans="1:9">
      <c r="A1502" s="1">
        <v>42738.909722222219</v>
      </c>
      <c r="B1502" s="19">
        <v>42521</v>
      </c>
      <c r="C1502" s="21">
        <v>0.61111111111111116</v>
      </c>
      <c r="D1502" s="20" t="s">
        <v>3040</v>
      </c>
      <c r="E1502" t="s">
        <v>6</v>
      </c>
      <c r="F1502" t="s">
        <v>15</v>
      </c>
      <c r="G1502" t="s">
        <v>2089</v>
      </c>
      <c r="H1502">
        <v>25</v>
      </c>
      <c r="I1502">
        <f t="shared" si="25"/>
        <v>31</v>
      </c>
    </row>
    <row r="1503" spans="1:9">
      <c r="A1503" s="1">
        <v>42738.583333333336</v>
      </c>
      <c r="B1503" s="19">
        <v>42521</v>
      </c>
      <c r="C1503" s="21">
        <v>0.58680555555555558</v>
      </c>
      <c r="D1503" s="20" t="s">
        <v>3040</v>
      </c>
      <c r="E1503" t="s">
        <v>6</v>
      </c>
      <c r="F1503" t="s">
        <v>15</v>
      </c>
      <c r="G1503" t="s">
        <v>2090</v>
      </c>
      <c r="H1503">
        <v>13</v>
      </c>
      <c r="I1503">
        <f t="shared" si="25"/>
        <v>17</v>
      </c>
    </row>
    <row r="1504" spans="1:9">
      <c r="A1504" s="1">
        <v>42738.535416666666</v>
      </c>
      <c r="B1504" s="19">
        <v>42521</v>
      </c>
      <c r="C1504" s="21">
        <v>0.48333333333333334</v>
      </c>
      <c r="D1504" s="20" t="s">
        <v>3037</v>
      </c>
      <c r="E1504" t="s">
        <v>2</v>
      </c>
      <c r="F1504" t="s">
        <v>48</v>
      </c>
      <c r="G1504" t="s">
        <v>2092</v>
      </c>
      <c r="H1504" t="e">
        <v>#VALUE!</v>
      </c>
      <c r="I1504" t="e">
        <f t="shared" si="25"/>
        <v>#VALUE!</v>
      </c>
    </row>
    <row r="1505" spans="1:9">
      <c r="A1505" s="1">
        <v>42738.515972222223</v>
      </c>
      <c r="B1505" s="19">
        <v>42521</v>
      </c>
      <c r="C1505" s="21">
        <v>0.37916666666666665</v>
      </c>
      <c r="D1505" s="20" t="s">
        <v>3035</v>
      </c>
      <c r="E1505" t="s">
        <v>6</v>
      </c>
      <c r="F1505" t="s">
        <v>12</v>
      </c>
      <c r="G1505" t="s">
        <v>1675</v>
      </c>
      <c r="H1505">
        <v>4</v>
      </c>
      <c r="I1505">
        <f t="shared" si="25"/>
        <v>5</v>
      </c>
    </row>
    <row r="1506" spans="1:9">
      <c r="A1506" s="1">
        <v>42738.477777777778</v>
      </c>
      <c r="B1506" s="19">
        <v>42521</v>
      </c>
      <c r="C1506" s="21">
        <v>0.35902777777777778</v>
      </c>
      <c r="D1506" s="20" t="s">
        <v>3034</v>
      </c>
      <c r="E1506" t="s">
        <v>6</v>
      </c>
      <c r="F1506" t="s">
        <v>12</v>
      </c>
      <c r="G1506" t="s">
        <v>1675</v>
      </c>
      <c r="H1506">
        <v>4</v>
      </c>
      <c r="I1506">
        <f t="shared" si="25"/>
        <v>5</v>
      </c>
    </row>
    <row r="1507" spans="1:9">
      <c r="A1507" s="1">
        <v>42738.424305555556</v>
      </c>
      <c r="B1507" s="19">
        <v>42521</v>
      </c>
      <c r="C1507" s="21">
        <v>0.25833333333333336</v>
      </c>
      <c r="D1507" s="20" t="s">
        <v>3031</v>
      </c>
      <c r="E1507" t="s">
        <v>6</v>
      </c>
      <c r="F1507" t="s">
        <v>26</v>
      </c>
      <c r="G1507" t="s">
        <v>2095</v>
      </c>
      <c r="H1507">
        <v>7</v>
      </c>
      <c r="I1507">
        <f t="shared" si="25"/>
        <v>9</v>
      </c>
    </row>
    <row r="1508" spans="1:9">
      <c r="A1508" s="1">
        <v>42738.385416666664</v>
      </c>
      <c r="B1508" s="19">
        <v>42521</v>
      </c>
      <c r="C1508" s="21">
        <v>0.25208333333333333</v>
      </c>
      <c r="D1508" s="20" t="s">
        <v>3031</v>
      </c>
      <c r="E1508" t="s">
        <v>6</v>
      </c>
      <c r="F1508" t="s">
        <v>26</v>
      </c>
      <c r="G1508" t="s">
        <v>2096</v>
      </c>
      <c r="H1508">
        <v>12</v>
      </c>
      <c r="I1508">
        <f t="shared" si="25"/>
        <v>15</v>
      </c>
    </row>
    <row r="1509" spans="1:9">
      <c r="A1509" s="1">
        <v>42738.384722222225</v>
      </c>
      <c r="B1509" s="19">
        <v>42522</v>
      </c>
      <c r="C1509" s="21">
        <v>0.84097222222222223</v>
      </c>
      <c r="D1509" s="20" t="s">
        <v>3047</v>
      </c>
      <c r="E1509" t="s">
        <v>33</v>
      </c>
      <c r="F1509" t="s">
        <v>34</v>
      </c>
      <c r="G1509" t="s">
        <v>2059</v>
      </c>
      <c r="H1509">
        <v>3</v>
      </c>
      <c r="I1509">
        <f t="shared" si="25"/>
        <v>4</v>
      </c>
    </row>
    <row r="1510" spans="1:9">
      <c r="A1510" s="1">
        <v>42727.421527777777</v>
      </c>
      <c r="B1510" s="19">
        <v>42522</v>
      </c>
      <c r="C1510" s="21">
        <v>0.76458333333333328</v>
      </c>
      <c r="D1510" s="20" t="s">
        <v>3045</v>
      </c>
      <c r="E1510" t="s">
        <v>33</v>
      </c>
      <c r="F1510" t="s">
        <v>44</v>
      </c>
      <c r="G1510" t="s">
        <v>2060</v>
      </c>
      <c r="H1510">
        <v>10</v>
      </c>
      <c r="I1510">
        <f t="shared" si="25"/>
        <v>13</v>
      </c>
    </row>
    <row r="1511" spans="1:9">
      <c r="A1511" s="1">
        <v>42727.131944444445</v>
      </c>
      <c r="B1511" s="19">
        <v>42522</v>
      </c>
      <c r="C1511" s="21">
        <v>0.42986111111111114</v>
      </c>
      <c r="D1511" s="20" t="s">
        <v>3036</v>
      </c>
      <c r="E1511" t="s">
        <v>77</v>
      </c>
      <c r="F1511" t="s">
        <v>159</v>
      </c>
      <c r="G1511" t="s">
        <v>1747</v>
      </c>
      <c r="H1511">
        <v>3</v>
      </c>
      <c r="I1511">
        <f t="shared" si="25"/>
        <v>4</v>
      </c>
    </row>
    <row r="1512" spans="1:9">
      <c r="A1512" s="1">
        <v>42727.084722222222</v>
      </c>
      <c r="B1512" s="19">
        <v>42522</v>
      </c>
      <c r="C1512" s="21">
        <v>0.39444444444444443</v>
      </c>
      <c r="D1512" s="20" t="s">
        <v>3035</v>
      </c>
      <c r="E1512" t="s">
        <v>0</v>
      </c>
      <c r="F1512" t="s">
        <v>313</v>
      </c>
      <c r="G1512" t="s">
        <v>2066</v>
      </c>
      <c r="H1512">
        <v>8</v>
      </c>
      <c r="I1512">
        <f t="shared" si="25"/>
        <v>10</v>
      </c>
    </row>
    <row r="1513" spans="1:9">
      <c r="A1513" s="1">
        <v>42727.289583333331</v>
      </c>
      <c r="B1513" s="19">
        <v>42522</v>
      </c>
      <c r="C1513" s="21">
        <v>0.32291666666666669</v>
      </c>
      <c r="D1513" s="20" t="s">
        <v>3033</v>
      </c>
      <c r="E1513" t="s">
        <v>0</v>
      </c>
      <c r="F1513" t="s">
        <v>313</v>
      </c>
      <c r="G1513" t="s">
        <v>2066</v>
      </c>
      <c r="H1513">
        <v>8</v>
      </c>
      <c r="I1513">
        <f t="shared" si="25"/>
        <v>10</v>
      </c>
    </row>
    <row r="1514" spans="1:9">
      <c r="A1514" s="1">
        <v>42727.179861111108</v>
      </c>
      <c r="B1514" s="19">
        <v>42522</v>
      </c>
      <c r="C1514" s="21">
        <v>0.25555555555555554</v>
      </c>
      <c r="D1514" s="20" t="s">
        <v>3031</v>
      </c>
      <c r="E1514" t="s">
        <v>0</v>
      </c>
      <c r="G1514" t="s">
        <v>2067</v>
      </c>
      <c r="H1514" t="e">
        <v>#VALUE!</v>
      </c>
      <c r="I1514" t="e">
        <f t="shared" si="25"/>
        <v>#VALUE!</v>
      </c>
    </row>
    <row r="1515" spans="1:9">
      <c r="A1515" s="1">
        <v>42727.038888888892</v>
      </c>
      <c r="B1515" s="19">
        <v>42522</v>
      </c>
      <c r="C1515" s="21">
        <v>0.25347222222222221</v>
      </c>
      <c r="D1515" s="20" t="s">
        <v>3031</v>
      </c>
      <c r="E1515" t="s">
        <v>0</v>
      </c>
      <c r="G1515" t="s">
        <v>2068</v>
      </c>
      <c r="H1515" t="e">
        <v>#VALUE!</v>
      </c>
      <c r="I1515" t="e">
        <f t="shared" si="25"/>
        <v>#VALUE!</v>
      </c>
    </row>
    <row r="1516" spans="1:9">
      <c r="A1516" s="1">
        <v>42726.979166666664</v>
      </c>
      <c r="B1516" s="19">
        <v>42522</v>
      </c>
      <c r="C1516" s="21">
        <v>0.20277777777777778</v>
      </c>
      <c r="D1516" s="20" t="s">
        <v>3054</v>
      </c>
      <c r="E1516" t="s">
        <v>0</v>
      </c>
      <c r="G1516" t="s">
        <v>2069</v>
      </c>
      <c r="H1516" t="e">
        <v>#VALUE!</v>
      </c>
      <c r="I1516" t="e">
        <f t="shared" si="25"/>
        <v>#VALUE!</v>
      </c>
    </row>
    <row r="1517" spans="1:9">
      <c r="A1517" s="1">
        <v>42726.963194444441</v>
      </c>
      <c r="B1517" s="19">
        <v>42522</v>
      </c>
      <c r="C1517" s="21">
        <v>0.1451388888888889</v>
      </c>
      <c r="D1517" s="20" t="s">
        <v>3053</v>
      </c>
      <c r="E1517" t="s">
        <v>0</v>
      </c>
      <c r="G1517" t="s">
        <v>2071</v>
      </c>
      <c r="H1517">
        <v>62</v>
      </c>
      <c r="I1517">
        <f t="shared" si="25"/>
        <v>77</v>
      </c>
    </row>
    <row r="1518" spans="1:9">
      <c r="A1518" s="1">
        <v>42726.942361111112</v>
      </c>
      <c r="B1518" s="19">
        <v>42522</v>
      </c>
      <c r="C1518" s="21">
        <v>0.13819444444444445</v>
      </c>
      <c r="D1518" s="20" t="s">
        <v>3053</v>
      </c>
      <c r="E1518" t="s">
        <v>0</v>
      </c>
      <c r="G1518" t="s">
        <v>2072</v>
      </c>
      <c r="H1518">
        <v>2</v>
      </c>
      <c r="I1518">
        <f t="shared" si="25"/>
        <v>3</v>
      </c>
    </row>
    <row r="1519" spans="1:9">
      <c r="A1519" s="1">
        <v>42726.918749999997</v>
      </c>
      <c r="B1519" s="19">
        <v>42522</v>
      </c>
      <c r="C1519" s="21">
        <v>4.791666666666667E-2</v>
      </c>
      <c r="D1519" s="20" t="s">
        <v>3051</v>
      </c>
      <c r="E1519" t="s">
        <v>33</v>
      </c>
      <c r="F1519" t="s">
        <v>44</v>
      </c>
      <c r="G1519" t="s">
        <v>2076</v>
      </c>
      <c r="H1519">
        <v>0</v>
      </c>
      <c r="I1519">
        <f t="shared" si="25"/>
        <v>0</v>
      </c>
    </row>
    <row r="1520" spans="1:9">
      <c r="A1520" s="1">
        <v>42726.795138888891</v>
      </c>
      <c r="B1520" s="19">
        <v>42522</v>
      </c>
      <c r="C1520" s="21">
        <v>2.9861111111111113E-2</v>
      </c>
      <c r="D1520" s="20" t="s">
        <v>3050</v>
      </c>
      <c r="E1520" t="s">
        <v>33</v>
      </c>
      <c r="F1520" t="s">
        <v>44</v>
      </c>
      <c r="G1520" t="s">
        <v>2077</v>
      </c>
      <c r="H1520">
        <v>3</v>
      </c>
      <c r="I1520">
        <f t="shared" si="25"/>
        <v>4</v>
      </c>
    </row>
    <row r="1521" spans="1:9">
      <c r="A1521" s="1">
        <v>42726.692361111112</v>
      </c>
      <c r="B1521" s="19">
        <v>42522</v>
      </c>
      <c r="C1521" s="21">
        <v>2.6388888888888889E-2</v>
      </c>
      <c r="D1521" s="20" t="s">
        <v>3050</v>
      </c>
      <c r="E1521" t="s">
        <v>77</v>
      </c>
      <c r="F1521" t="s">
        <v>78</v>
      </c>
      <c r="G1521" t="s">
        <v>2078</v>
      </c>
      <c r="H1521">
        <v>12</v>
      </c>
      <c r="I1521">
        <f t="shared" si="25"/>
        <v>15</v>
      </c>
    </row>
    <row r="1522" spans="1:9">
      <c r="A1522" s="1">
        <v>42726.633333333331</v>
      </c>
      <c r="B1522" s="19">
        <v>42522</v>
      </c>
      <c r="C1522" s="21">
        <v>0.97777777777777775</v>
      </c>
      <c r="D1522" s="20" t="s">
        <v>3063</v>
      </c>
      <c r="E1522" t="s">
        <v>6</v>
      </c>
      <c r="F1522" t="s">
        <v>12</v>
      </c>
      <c r="G1522" t="s">
        <v>2054</v>
      </c>
      <c r="H1522">
        <v>27</v>
      </c>
      <c r="I1522">
        <f t="shared" si="25"/>
        <v>34</v>
      </c>
    </row>
    <row r="1523" spans="1:9">
      <c r="A1523" s="1">
        <v>42726.603472222225</v>
      </c>
      <c r="B1523" s="19">
        <v>42522</v>
      </c>
      <c r="C1523" s="21">
        <v>0.93819444444444444</v>
      </c>
      <c r="D1523" s="20" t="s">
        <v>3049</v>
      </c>
      <c r="E1523" t="s">
        <v>2</v>
      </c>
      <c r="F1523" t="s">
        <v>5</v>
      </c>
      <c r="G1523" t="s">
        <v>2055</v>
      </c>
      <c r="H1523">
        <v>27</v>
      </c>
      <c r="I1523">
        <f t="shared" si="25"/>
        <v>34</v>
      </c>
    </row>
    <row r="1524" spans="1:9">
      <c r="A1524" s="1">
        <v>42726.459722222222</v>
      </c>
      <c r="B1524" s="19">
        <v>42522</v>
      </c>
      <c r="C1524" s="21">
        <v>0.9291666666666667</v>
      </c>
      <c r="D1524" s="20" t="s">
        <v>3049</v>
      </c>
      <c r="E1524" t="s">
        <v>6</v>
      </c>
      <c r="F1524" t="s">
        <v>7</v>
      </c>
      <c r="G1524" t="s">
        <v>2056</v>
      </c>
      <c r="H1524">
        <v>62</v>
      </c>
      <c r="I1524">
        <f t="shared" si="25"/>
        <v>77</v>
      </c>
    </row>
    <row r="1525" spans="1:9">
      <c r="A1525" s="1">
        <v>42726.331250000003</v>
      </c>
      <c r="B1525" s="19">
        <v>42522</v>
      </c>
      <c r="C1525" s="21">
        <v>0.92847222222222225</v>
      </c>
      <c r="D1525" s="20" t="s">
        <v>3049</v>
      </c>
      <c r="E1525" t="s">
        <v>6</v>
      </c>
      <c r="F1525" t="s">
        <v>12</v>
      </c>
      <c r="G1525" t="s">
        <v>1203</v>
      </c>
      <c r="H1525">
        <v>4</v>
      </c>
      <c r="I1525">
        <f t="shared" si="25"/>
        <v>5</v>
      </c>
    </row>
    <row r="1526" spans="1:9">
      <c r="A1526" s="1">
        <v>42726.268750000003</v>
      </c>
      <c r="B1526" s="19">
        <v>42522</v>
      </c>
      <c r="C1526" s="21">
        <v>0.9243055555555556</v>
      </c>
      <c r="D1526" s="20" t="s">
        <v>3049</v>
      </c>
      <c r="E1526" t="s">
        <v>6</v>
      </c>
      <c r="F1526" t="s">
        <v>12</v>
      </c>
      <c r="G1526" t="s">
        <v>1203</v>
      </c>
      <c r="H1526">
        <v>5</v>
      </c>
      <c r="I1526">
        <f t="shared" si="25"/>
        <v>7</v>
      </c>
    </row>
    <row r="1527" spans="1:9">
      <c r="A1527" s="1">
        <v>42726.259027777778</v>
      </c>
      <c r="B1527" s="19">
        <v>42522</v>
      </c>
      <c r="C1527" s="21">
        <v>0.89652777777777781</v>
      </c>
      <c r="D1527" s="20" t="s">
        <v>3048</v>
      </c>
      <c r="E1527" t="s">
        <v>6</v>
      </c>
      <c r="F1527" t="s">
        <v>7</v>
      </c>
      <c r="G1527" t="s">
        <v>2057</v>
      </c>
      <c r="H1527">
        <v>15</v>
      </c>
      <c r="I1527">
        <f t="shared" si="25"/>
        <v>19</v>
      </c>
    </row>
    <row r="1528" spans="1:9">
      <c r="A1528" s="1">
        <v>42726.053472222222</v>
      </c>
      <c r="B1528" s="19">
        <v>42522</v>
      </c>
      <c r="C1528" s="21">
        <v>0.88749999999999996</v>
      </c>
      <c r="D1528" s="20" t="s">
        <v>3048</v>
      </c>
      <c r="E1528" t="s">
        <v>6</v>
      </c>
      <c r="F1528" t="s">
        <v>12</v>
      </c>
      <c r="G1528" t="s">
        <v>2058</v>
      </c>
      <c r="H1528">
        <v>4</v>
      </c>
      <c r="I1528">
        <f t="shared" si="25"/>
        <v>5</v>
      </c>
    </row>
    <row r="1529" spans="1:9">
      <c r="A1529" s="1">
        <v>42726.05</v>
      </c>
      <c r="B1529" s="19">
        <v>42522</v>
      </c>
      <c r="C1529" s="21">
        <v>0.69930555555555551</v>
      </c>
      <c r="D1529" s="20" t="s">
        <v>3043</v>
      </c>
      <c r="E1529" t="s">
        <v>6</v>
      </c>
      <c r="F1529" t="s">
        <v>12</v>
      </c>
      <c r="G1529" t="s">
        <v>2061</v>
      </c>
      <c r="H1529">
        <v>4</v>
      </c>
      <c r="I1529">
        <f t="shared" si="25"/>
        <v>5</v>
      </c>
    </row>
    <row r="1530" spans="1:9">
      <c r="A1530" s="1">
        <v>42726.036805555559</v>
      </c>
      <c r="B1530" s="19">
        <v>42522</v>
      </c>
      <c r="C1530" s="21">
        <v>0.65763888888888888</v>
      </c>
      <c r="D1530" s="20" t="s">
        <v>3042</v>
      </c>
      <c r="E1530" t="s">
        <v>6</v>
      </c>
      <c r="F1530" t="s">
        <v>15</v>
      </c>
      <c r="G1530" t="s">
        <v>2062</v>
      </c>
      <c r="H1530">
        <v>15</v>
      </c>
      <c r="I1530">
        <f t="shared" si="25"/>
        <v>19</v>
      </c>
    </row>
    <row r="1531" spans="1:9">
      <c r="A1531" s="1">
        <v>42726.909722222219</v>
      </c>
      <c r="B1531" s="19">
        <v>42522</v>
      </c>
      <c r="C1531" s="21">
        <v>0.5854166666666667</v>
      </c>
      <c r="D1531" s="20" t="s">
        <v>3040</v>
      </c>
      <c r="E1531" t="s">
        <v>2</v>
      </c>
      <c r="F1531" t="s">
        <v>5</v>
      </c>
      <c r="G1531" t="s">
        <v>2063</v>
      </c>
      <c r="H1531">
        <v>18</v>
      </c>
      <c r="I1531">
        <f t="shared" si="25"/>
        <v>23</v>
      </c>
    </row>
    <row r="1532" spans="1:9">
      <c r="A1532" s="1">
        <v>42726.445138888892</v>
      </c>
      <c r="B1532" s="19">
        <v>42522</v>
      </c>
      <c r="C1532" s="21">
        <v>0.52083333333333337</v>
      </c>
      <c r="D1532" s="20" t="s">
        <v>3038</v>
      </c>
      <c r="E1532" t="s">
        <v>2</v>
      </c>
      <c r="F1532" t="s">
        <v>48</v>
      </c>
      <c r="G1532" t="s">
        <v>2064</v>
      </c>
      <c r="H1532" t="e">
        <v>#VALUE!</v>
      </c>
      <c r="I1532" t="e">
        <f t="shared" si="25"/>
        <v>#VALUE!</v>
      </c>
    </row>
    <row r="1533" spans="1:9">
      <c r="A1533" s="1">
        <v>42726.419444444444</v>
      </c>
      <c r="B1533" s="19">
        <v>42522</v>
      </c>
      <c r="C1533" s="21">
        <v>0.48958333333333331</v>
      </c>
      <c r="D1533" s="20" t="s">
        <v>3037</v>
      </c>
      <c r="E1533" t="s">
        <v>6</v>
      </c>
      <c r="F1533" t="s">
        <v>12</v>
      </c>
      <c r="G1533" t="s">
        <v>1675</v>
      </c>
      <c r="H1533">
        <v>4</v>
      </c>
      <c r="I1533">
        <f t="shared" si="25"/>
        <v>5</v>
      </c>
    </row>
    <row r="1534" spans="1:9">
      <c r="A1534" s="1">
        <v>42726.258333333331</v>
      </c>
      <c r="B1534" s="19">
        <v>42522</v>
      </c>
      <c r="C1534" s="21">
        <v>0.44027777777777777</v>
      </c>
      <c r="D1534" s="20" t="s">
        <v>3036</v>
      </c>
      <c r="E1534" t="s">
        <v>2</v>
      </c>
      <c r="F1534" t="s">
        <v>48</v>
      </c>
      <c r="G1534" t="s">
        <v>2065</v>
      </c>
      <c r="H1534">
        <v>7</v>
      </c>
      <c r="I1534">
        <f t="shared" si="25"/>
        <v>9</v>
      </c>
    </row>
    <row r="1535" spans="1:9">
      <c r="A1535" s="1">
        <v>42726.25277777778</v>
      </c>
      <c r="B1535" s="19">
        <v>42522</v>
      </c>
      <c r="C1535" s="21">
        <v>0.15763888888888888</v>
      </c>
      <c r="D1535" s="20" t="s">
        <v>3053</v>
      </c>
      <c r="E1535" t="s">
        <v>6</v>
      </c>
      <c r="F1535" t="s">
        <v>15</v>
      </c>
      <c r="G1535" t="s">
        <v>2070</v>
      </c>
      <c r="H1535">
        <v>13</v>
      </c>
      <c r="I1535">
        <f t="shared" si="25"/>
        <v>17</v>
      </c>
    </row>
    <row r="1536" spans="1:9">
      <c r="A1536" s="1">
        <v>42725.970833333333</v>
      </c>
      <c r="B1536" s="19">
        <v>42522</v>
      </c>
      <c r="C1536" s="21">
        <v>0.12777777777777777</v>
      </c>
      <c r="D1536" s="20" t="s">
        <v>3053</v>
      </c>
      <c r="E1536" t="s">
        <v>6</v>
      </c>
      <c r="F1536" t="s">
        <v>21</v>
      </c>
      <c r="G1536" t="s">
        <v>2073</v>
      </c>
      <c r="H1536">
        <v>35</v>
      </c>
      <c r="I1536">
        <f t="shared" si="25"/>
        <v>44</v>
      </c>
    </row>
    <row r="1537" spans="1:9">
      <c r="A1537" s="1">
        <v>42725.917361111111</v>
      </c>
      <c r="B1537" s="19">
        <v>42522</v>
      </c>
      <c r="C1537" s="21">
        <v>0.11388888888888889</v>
      </c>
      <c r="D1537" s="20" t="s">
        <v>3052</v>
      </c>
      <c r="E1537" t="s">
        <v>6</v>
      </c>
      <c r="F1537" t="s">
        <v>15</v>
      </c>
      <c r="G1537" t="s">
        <v>2073</v>
      </c>
      <c r="H1537">
        <v>44</v>
      </c>
      <c r="I1537">
        <f t="shared" si="25"/>
        <v>55</v>
      </c>
    </row>
    <row r="1538" spans="1:9">
      <c r="A1538" s="1">
        <v>42725.717361111114</v>
      </c>
      <c r="B1538" s="19">
        <v>42522</v>
      </c>
      <c r="C1538" s="21">
        <v>0.10069444444444445</v>
      </c>
      <c r="D1538" s="20" t="s">
        <v>3052</v>
      </c>
      <c r="E1538" t="s">
        <v>6</v>
      </c>
      <c r="G1538" t="s">
        <v>2074</v>
      </c>
      <c r="H1538">
        <v>12</v>
      </c>
      <c r="I1538">
        <f t="shared" si="25"/>
        <v>15</v>
      </c>
    </row>
    <row r="1539" spans="1:9">
      <c r="A1539" s="1">
        <v>42725.668749999997</v>
      </c>
      <c r="B1539" s="19">
        <v>42522</v>
      </c>
      <c r="C1539" s="21">
        <v>9.6527777777777782E-2</v>
      </c>
      <c r="D1539" s="20" t="s">
        <v>3052</v>
      </c>
      <c r="E1539" t="s">
        <v>6</v>
      </c>
      <c r="G1539" t="s">
        <v>2075</v>
      </c>
      <c r="H1539">
        <v>12</v>
      </c>
      <c r="I1539">
        <f t="shared" ref="I1539:I1602" si="26">ROUNDUP((H1539*1.24), 0)</f>
        <v>15</v>
      </c>
    </row>
    <row r="1540" spans="1:9">
      <c r="A1540" s="1">
        <v>42725.657638888886</v>
      </c>
      <c r="B1540" s="19">
        <v>42522</v>
      </c>
      <c r="C1540" s="21">
        <v>2.7777777777777779E-3</v>
      </c>
      <c r="D1540" s="20" t="s">
        <v>3050</v>
      </c>
      <c r="E1540" t="s">
        <v>2</v>
      </c>
      <c r="F1540" t="s">
        <v>56</v>
      </c>
      <c r="G1540" t="s">
        <v>2079</v>
      </c>
      <c r="H1540">
        <v>38</v>
      </c>
      <c r="I1540">
        <f t="shared" si="26"/>
        <v>48</v>
      </c>
    </row>
    <row r="1541" spans="1:9">
      <c r="A1541" s="1">
        <v>42725.65</v>
      </c>
      <c r="B1541" s="19">
        <v>42523</v>
      </c>
      <c r="C1541" s="21">
        <v>0.83958333333333335</v>
      </c>
      <c r="D1541" s="20" t="s">
        <v>3047</v>
      </c>
      <c r="E1541" t="s">
        <v>33</v>
      </c>
      <c r="F1541" t="s">
        <v>34</v>
      </c>
      <c r="G1541" t="s">
        <v>2045</v>
      </c>
      <c r="H1541">
        <v>3</v>
      </c>
      <c r="I1541">
        <f t="shared" si="26"/>
        <v>4</v>
      </c>
    </row>
    <row r="1542" spans="1:9">
      <c r="A1542" s="1">
        <v>42725.64166666667</v>
      </c>
      <c r="B1542" s="19">
        <v>42523</v>
      </c>
      <c r="C1542" s="21">
        <v>0.45763888888888887</v>
      </c>
      <c r="D1542" s="20" t="s">
        <v>3036</v>
      </c>
      <c r="E1542" t="s">
        <v>0</v>
      </c>
      <c r="F1542" t="s">
        <v>1</v>
      </c>
      <c r="H1542">
        <v>7</v>
      </c>
      <c r="I1542">
        <f t="shared" si="26"/>
        <v>9</v>
      </c>
    </row>
    <row r="1543" spans="1:9">
      <c r="A1543" s="1">
        <v>42725.585416666669</v>
      </c>
      <c r="B1543" s="19">
        <v>42523</v>
      </c>
      <c r="C1543" s="21">
        <v>0.4201388888888889</v>
      </c>
      <c r="D1543" s="20" t="s">
        <v>3036</v>
      </c>
      <c r="E1543" t="s">
        <v>33</v>
      </c>
      <c r="F1543" t="s">
        <v>34</v>
      </c>
      <c r="G1543" t="s">
        <v>2048</v>
      </c>
      <c r="H1543">
        <v>25</v>
      </c>
      <c r="I1543">
        <f t="shared" si="26"/>
        <v>31</v>
      </c>
    </row>
    <row r="1544" spans="1:9">
      <c r="A1544" s="1">
        <v>42725.334027777775</v>
      </c>
      <c r="B1544" s="19">
        <v>42523</v>
      </c>
      <c r="C1544" s="21">
        <v>0.26666666666666666</v>
      </c>
      <c r="D1544" s="20" t="s">
        <v>3031</v>
      </c>
      <c r="E1544" t="s">
        <v>33</v>
      </c>
      <c r="F1544" t="s">
        <v>44</v>
      </c>
      <c r="G1544" t="s">
        <v>2051</v>
      </c>
      <c r="H1544" t="e">
        <v>#VALUE!</v>
      </c>
      <c r="I1544" t="e">
        <f t="shared" si="26"/>
        <v>#VALUE!</v>
      </c>
    </row>
    <row r="1545" spans="1:9">
      <c r="A1545" s="1">
        <v>42725.32916666667</v>
      </c>
      <c r="B1545" s="19">
        <v>42523</v>
      </c>
      <c r="C1545" s="21">
        <v>0.25</v>
      </c>
      <c r="D1545" s="20" t="s">
        <v>3031</v>
      </c>
      <c r="E1545" t="s">
        <v>0</v>
      </c>
      <c r="G1545" t="s">
        <v>1923</v>
      </c>
      <c r="H1545" t="e">
        <v>#VALUE!</v>
      </c>
      <c r="I1545" t="e">
        <f t="shared" si="26"/>
        <v>#VALUE!</v>
      </c>
    </row>
    <row r="1546" spans="1:9">
      <c r="A1546" s="1">
        <v>42725.132638888892</v>
      </c>
      <c r="B1546" s="19">
        <v>42523</v>
      </c>
      <c r="C1546" s="21">
        <v>0.15</v>
      </c>
      <c r="D1546" s="20" t="s">
        <v>3053</v>
      </c>
      <c r="E1546" t="s">
        <v>33</v>
      </c>
      <c r="G1546" t="s">
        <v>2052</v>
      </c>
      <c r="H1546">
        <v>3</v>
      </c>
      <c r="I1546">
        <f t="shared" si="26"/>
        <v>4</v>
      </c>
    </row>
    <row r="1547" spans="1:9">
      <c r="A1547" s="1">
        <v>42725.918749999997</v>
      </c>
      <c r="B1547" s="19">
        <v>42523</v>
      </c>
      <c r="C1547" s="21">
        <v>0.95277777777777772</v>
      </c>
      <c r="D1547" s="20" t="s">
        <v>3049</v>
      </c>
      <c r="E1547" t="s">
        <v>6</v>
      </c>
      <c r="F1547" t="s">
        <v>26</v>
      </c>
      <c r="G1547" t="s">
        <v>2043</v>
      </c>
      <c r="H1547">
        <v>102</v>
      </c>
      <c r="I1547">
        <f t="shared" si="26"/>
        <v>127</v>
      </c>
    </row>
    <row r="1548" spans="1:9">
      <c r="A1548" s="1">
        <v>42725.689583333333</v>
      </c>
      <c r="B1548" s="19">
        <v>42523</v>
      </c>
      <c r="C1548" s="21">
        <v>0.93125000000000002</v>
      </c>
      <c r="D1548" s="20" t="s">
        <v>3049</v>
      </c>
      <c r="E1548" t="s">
        <v>6</v>
      </c>
      <c r="F1548" t="s">
        <v>15</v>
      </c>
      <c r="G1548" t="s">
        <v>2044</v>
      </c>
      <c r="H1548">
        <v>15</v>
      </c>
      <c r="I1548">
        <f t="shared" si="26"/>
        <v>19</v>
      </c>
    </row>
    <row r="1549" spans="1:9">
      <c r="A1549" s="1">
        <v>42725.261805555558</v>
      </c>
      <c r="B1549" s="19">
        <v>42523</v>
      </c>
      <c r="C1549" s="21">
        <v>0.56180555555555556</v>
      </c>
      <c r="D1549" s="20" t="s">
        <v>3039</v>
      </c>
      <c r="E1549" t="s">
        <v>6</v>
      </c>
      <c r="F1549" t="s">
        <v>12</v>
      </c>
      <c r="G1549" t="s">
        <v>1675</v>
      </c>
      <c r="H1549">
        <v>2</v>
      </c>
      <c r="I1549">
        <f t="shared" si="26"/>
        <v>3</v>
      </c>
    </row>
    <row r="1550" spans="1:9">
      <c r="A1550" s="1">
        <v>42725.257638888892</v>
      </c>
      <c r="B1550" s="19">
        <v>42523</v>
      </c>
      <c r="C1550" s="21">
        <v>0.55694444444444446</v>
      </c>
      <c r="D1550" s="20" t="s">
        <v>3039</v>
      </c>
      <c r="E1550" t="s">
        <v>6</v>
      </c>
      <c r="F1550" t="s">
        <v>167</v>
      </c>
      <c r="G1550" t="s">
        <v>2046</v>
      </c>
      <c r="H1550">
        <v>25</v>
      </c>
      <c r="I1550">
        <f t="shared" si="26"/>
        <v>31</v>
      </c>
    </row>
    <row r="1551" spans="1:9">
      <c r="A1551" s="1">
        <v>42725.083333333336</v>
      </c>
      <c r="B1551" s="19">
        <v>42523</v>
      </c>
      <c r="C1551" s="21">
        <v>0.42222222222222222</v>
      </c>
      <c r="D1551" s="20" t="s">
        <v>3036</v>
      </c>
      <c r="E1551" t="s">
        <v>2</v>
      </c>
      <c r="F1551" t="s">
        <v>48</v>
      </c>
      <c r="G1551" t="s">
        <v>2047</v>
      </c>
      <c r="H1551">
        <v>19</v>
      </c>
      <c r="I1551">
        <f t="shared" si="26"/>
        <v>24</v>
      </c>
    </row>
    <row r="1552" spans="1:9">
      <c r="A1552" s="1">
        <v>42725.042361111111</v>
      </c>
      <c r="B1552" s="19">
        <v>42523</v>
      </c>
      <c r="C1552" s="21">
        <v>0.38055555555555554</v>
      </c>
      <c r="D1552" s="20" t="s">
        <v>3035</v>
      </c>
      <c r="E1552" t="s">
        <v>2</v>
      </c>
      <c r="F1552" t="s">
        <v>48</v>
      </c>
      <c r="G1552" t="s">
        <v>2049</v>
      </c>
      <c r="H1552">
        <v>9</v>
      </c>
      <c r="I1552">
        <f t="shared" si="26"/>
        <v>12</v>
      </c>
    </row>
    <row r="1553" spans="1:9">
      <c r="A1553" s="1">
        <v>42724.6</v>
      </c>
      <c r="B1553" s="19">
        <v>42523</v>
      </c>
      <c r="C1553" s="21">
        <v>0.36458333333333331</v>
      </c>
      <c r="D1553" s="20" t="s">
        <v>3034</v>
      </c>
      <c r="E1553" t="s">
        <v>6</v>
      </c>
      <c r="F1553" t="s">
        <v>12</v>
      </c>
      <c r="G1553" t="s">
        <v>2050</v>
      </c>
      <c r="H1553">
        <v>4</v>
      </c>
      <c r="I1553">
        <f t="shared" si="26"/>
        <v>5</v>
      </c>
    </row>
    <row r="1554" spans="1:9">
      <c r="A1554" s="1">
        <v>42724.537499999999</v>
      </c>
      <c r="B1554" s="19">
        <v>42523</v>
      </c>
      <c r="C1554" s="21">
        <v>4.3749999999999997E-2</v>
      </c>
      <c r="D1554" s="20" t="s">
        <v>3051</v>
      </c>
      <c r="E1554" t="s">
        <v>2</v>
      </c>
      <c r="F1554" t="s">
        <v>3</v>
      </c>
      <c r="G1554" t="s">
        <v>2053</v>
      </c>
      <c r="H1554">
        <v>19</v>
      </c>
      <c r="I1554">
        <f t="shared" si="26"/>
        <v>24</v>
      </c>
    </row>
    <row r="1555" spans="1:9">
      <c r="A1555" s="1">
        <v>42724.490972222222</v>
      </c>
      <c r="B1555" s="19">
        <v>42524</v>
      </c>
      <c r="C1555" s="21">
        <v>0.90833333333333333</v>
      </c>
      <c r="D1555" s="20" t="s">
        <v>3048</v>
      </c>
      <c r="E1555" t="s">
        <v>0</v>
      </c>
      <c r="F1555" t="s">
        <v>10</v>
      </c>
      <c r="G1555" t="s">
        <v>734</v>
      </c>
      <c r="H1555">
        <v>13</v>
      </c>
      <c r="I1555">
        <f t="shared" si="26"/>
        <v>17</v>
      </c>
    </row>
    <row r="1556" spans="1:9">
      <c r="A1556" s="1">
        <v>42724.348611111112</v>
      </c>
      <c r="B1556" s="19">
        <v>42524</v>
      </c>
      <c r="C1556" s="21">
        <v>0.81458333333333333</v>
      </c>
      <c r="D1556" s="20" t="s">
        <v>3046</v>
      </c>
      <c r="E1556" t="s">
        <v>33</v>
      </c>
      <c r="F1556" t="s">
        <v>34</v>
      </c>
      <c r="G1556" t="s">
        <v>2028</v>
      </c>
      <c r="H1556">
        <v>3</v>
      </c>
      <c r="I1556">
        <f t="shared" si="26"/>
        <v>4</v>
      </c>
    </row>
    <row r="1557" spans="1:9">
      <c r="A1557" s="1">
        <v>42724.29791666667</v>
      </c>
      <c r="B1557" s="19">
        <v>42524</v>
      </c>
      <c r="C1557" s="21">
        <v>0.49930555555555556</v>
      </c>
      <c r="D1557" s="20" t="s">
        <v>3037</v>
      </c>
      <c r="E1557" t="s">
        <v>0</v>
      </c>
      <c r="F1557" t="s">
        <v>10</v>
      </c>
      <c r="G1557" t="s">
        <v>59</v>
      </c>
      <c r="H1557">
        <v>13</v>
      </c>
      <c r="I1557">
        <f t="shared" si="26"/>
        <v>17</v>
      </c>
    </row>
    <row r="1558" spans="1:9">
      <c r="A1558" s="1">
        <v>42724.250694444447</v>
      </c>
      <c r="B1558" s="19">
        <v>42524</v>
      </c>
      <c r="C1558" s="21">
        <v>0.24930555555555556</v>
      </c>
      <c r="D1558" s="20" t="s">
        <v>3055</v>
      </c>
      <c r="E1558" t="s">
        <v>0</v>
      </c>
      <c r="G1558" t="s">
        <v>1923</v>
      </c>
      <c r="H1558" t="e">
        <v>#VALUE!</v>
      </c>
      <c r="I1558" t="e">
        <f t="shared" si="26"/>
        <v>#VALUE!</v>
      </c>
    </row>
    <row r="1559" spans="1:9">
      <c r="A1559" s="1">
        <v>42724.231249999997</v>
      </c>
      <c r="B1559" s="19">
        <v>42524</v>
      </c>
      <c r="C1559" s="21">
        <v>0.15486111111111112</v>
      </c>
      <c r="D1559" s="20" t="s">
        <v>3053</v>
      </c>
      <c r="E1559" t="s">
        <v>0</v>
      </c>
      <c r="G1559" t="s">
        <v>2036</v>
      </c>
      <c r="H1559" t="e">
        <v>#VALUE!</v>
      </c>
      <c r="I1559" t="e">
        <f t="shared" si="26"/>
        <v>#VALUE!</v>
      </c>
    </row>
    <row r="1560" spans="1:9">
      <c r="A1560" s="1">
        <v>42724.916666666664</v>
      </c>
      <c r="B1560" s="19">
        <v>42524</v>
      </c>
      <c r="C1560" s="21">
        <v>0.12777777777777777</v>
      </c>
      <c r="D1560" s="20" t="s">
        <v>3053</v>
      </c>
      <c r="E1560" t="s">
        <v>0</v>
      </c>
      <c r="G1560" t="s">
        <v>2038</v>
      </c>
      <c r="H1560">
        <v>29</v>
      </c>
      <c r="I1560">
        <f t="shared" si="26"/>
        <v>36</v>
      </c>
    </row>
    <row r="1561" spans="1:9">
      <c r="A1561" s="1">
        <v>42724.523611111108</v>
      </c>
      <c r="B1561" s="19">
        <v>42524</v>
      </c>
      <c r="C1561" s="21">
        <v>0.10902777777777778</v>
      </c>
      <c r="D1561" s="20" t="s">
        <v>3052</v>
      </c>
      <c r="E1561" t="s">
        <v>0</v>
      </c>
      <c r="F1561" t="s">
        <v>75</v>
      </c>
      <c r="H1561">
        <v>7</v>
      </c>
      <c r="I1561">
        <f t="shared" si="26"/>
        <v>9</v>
      </c>
    </row>
    <row r="1562" spans="1:9">
      <c r="A1562" s="1">
        <v>42724.332638888889</v>
      </c>
      <c r="B1562" s="19">
        <v>42524</v>
      </c>
      <c r="C1562" s="21">
        <v>8.7499999999999994E-2</v>
      </c>
      <c r="D1562" s="20" t="s">
        <v>3052</v>
      </c>
      <c r="E1562" t="s">
        <v>0</v>
      </c>
      <c r="G1562" t="s">
        <v>2040</v>
      </c>
      <c r="H1562">
        <v>7</v>
      </c>
      <c r="I1562">
        <f t="shared" si="26"/>
        <v>9</v>
      </c>
    </row>
    <row r="1563" spans="1:9">
      <c r="A1563" s="1">
        <v>42724.290277777778</v>
      </c>
      <c r="B1563" s="19">
        <v>42524</v>
      </c>
      <c r="C1563" s="21">
        <v>0.97638888888888886</v>
      </c>
      <c r="D1563" s="20" t="s">
        <v>3063</v>
      </c>
      <c r="E1563" t="s">
        <v>6</v>
      </c>
      <c r="F1563" t="s">
        <v>21</v>
      </c>
      <c r="G1563" t="s">
        <v>2025</v>
      </c>
      <c r="H1563">
        <v>22</v>
      </c>
      <c r="I1563">
        <f t="shared" si="26"/>
        <v>28</v>
      </c>
    </row>
    <row r="1564" spans="1:9">
      <c r="A1564" s="1">
        <v>42724.189583333333</v>
      </c>
      <c r="B1564" s="19">
        <v>42524</v>
      </c>
      <c r="C1564" s="21">
        <v>0.84513888888888888</v>
      </c>
      <c r="D1564" s="20" t="s">
        <v>3047</v>
      </c>
      <c r="E1564" t="s">
        <v>2</v>
      </c>
      <c r="F1564" t="s">
        <v>5</v>
      </c>
      <c r="G1564" t="s">
        <v>2026</v>
      </c>
      <c r="H1564">
        <v>40</v>
      </c>
      <c r="I1564">
        <f t="shared" si="26"/>
        <v>50</v>
      </c>
    </row>
    <row r="1565" spans="1:9">
      <c r="A1565" s="1">
        <v>42724.176388888889</v>
      </c>
      <c r="B1565" s="19">
        <v>42524</v>
      </c>
      <c r="C1565" s="21">
        <v>0.82986111111111116</v>
      </c>
      <c r="D1565" s="20" t="s">
        <v>3046</v>
      </c>
      <c r="E1565" t="s">
        <v>6</v>
      </c>
      <c r="F1565" t="s">
        <v>46</v>
      </c>
      <c r="G1565" t="s">
        <v>2027</v>
      </c>
      <c r="H1565">
        <v>10</v>
      </c>
      <c r="I1565">
        <f t="shared" si="26"/>
        <v>13</v>
      </c>
    </row>
    <row r="1566" spans="1:9">
      <c r="A1566" s="1">
        <v>42723.991666666669</v>
      </c>
      <c r="B1566" s="19">
        <v>42524</v>
      </c>
      <c r="C1566" s="21">
        <v>0.77361111111111114</v>
      </c>
      <c r="D1566" s="20" t="s">
        <v>3045</v>
      </c>
      <c r="E1566" t="s">
        <v>6</v>
      </c>
      <c r="F1566" t="s">
        <v>12</v>
      </c>
      <c r="G1566" t="s">
        <v>2029</v>
      </c>
      <c r="H1566">
        <v>4</v>
      </c>
      <c r="I1566">
        <f t="shared" si="26"/>
        <v>5</v>
      </c>
    </row>
    <row r="1567" spans="1:9">
      <c r="A1567" s="1">
        <v>42723.972222222219</v>
      </c>
      <c r="B1567" s="19">
        <v>42524</v>
      </c>
      <c r="C1567" s="21">
        <v>0.71597222222222223</v>
      </c>
      <c r="D1567" s="20" t="s">
        <v>3044</v>
      </c>
      <c r="E1567" t="s">
        <v>6</v>
      </c>
      <c r="F1567" t="s">
        <v>12</v>
      </c>
      <c r="G1567" t="s">
        <v>2030</v>
      </c>
      <c r="H1567">
        <v>4</v>
      </c>
      <c r="I1567">
        <f t="shared" si="26"/>
        <v>5</v>
      </c>
    </row>
    <row r="1568" spans="1:9">
      <c r="A1568" s="1">
        <v>42723.78125</v>
      </c>
      <c r="B1568" s="19">
        <v>42524</v>
      </c>
      <c r="C1568" s="21">
        <v>0.58680555555555558</v>
      </c>
      <c r="D1568" s="20" t="s">
        <v>3040</v>
      </c>
      <c r="E1568" t="s">
        <v>6</v>
      </c>
      <c r="F1568" t="s">
        <v>15</v>
      </c>
      <c r="G1568" t="s">
        <v>2031</v>
      </c>
      <c r="H1568" t="e">
        <v>#VALUE!</v>
      </c>
      <c r="I1568" t="e">
        <f t="shared" si="26"/>
        <v>#VALUE!</v>
      </c>
    </row>
    <row r="1569" spans="1:9">
      <c r="A1569" s="1">
        <v>42723.67291666667</v>
      </c>
      <c r="B1569" s="19">
        <v>42524</v>
      </c>
      <c r="C1569" s="21">
        <v>0.56319444444444444</v>
      </c>
      <c r="D1569" s="20" t="s">
        <v>3039</v>
      </c>
      <c r="E1569" t="s">
        <v>6</v>
      </c>
      <c r="F1569" t="s">
        <v>26</v>
      </c>
      <c r="G1569" t="s">
        <v>2032</v>
      </c>
      <c r="H1569">
        <v>36</v>
      </c>
      <c r="I1569">
        <f t="shared" si="26"/>
        <v>45</v>
      </c>
    </row>
    <row r="1570" spans="1:9">
      <c r="A1570" s="1">
        <v>42723.500694444447</v>
      </c>
      <c r="B1570" s="19">
        <v>42524</v>
      </c>
      <c r="C1570" s="21">
        <v>0.55138888888888893</v>
      </c>
      <c r="D1570" s="20" t="s">
        <v>3039</v>
      </c>
      <c r="E1570" t="s">
        <v>2</v>
      </c>
      <c r="G1570" t="s">
        <v>2033</v>
      </c>
      <c r="H1570">
        <v>13</v>
      </c>
      <c r="I1570">
        <f t="shared" si="26"/>
        <v>17</v>
      </c>
    </row>
    <row r="1571" spans="1:9">
      <c r="A1571" s="1">
        <v>42723.27847222222</v>
      </c>
      <c r="B1571" s="19">
        <v>42524</v>
      </c>
      <c r="C1571" s="21">
        <v>0.54513888888888884</v>
      </c>
      <c r="D1571" s="20" t="s">
        <v>3039</v>
      </c>
      <c r="E1571" t="s">
        <v>6</v>
      </c>
      <c r="F1571" t="s">
        <v>12</v>
      </c>
      <c r="G1571" t="s">
        <v>27</v>
      </c>
      <c r="H1571">
        <v>3</v>
      </c>
      <c r="I1571">
        <f t="shared" si="26"/>
        <v>4</v>
      </c>
    </row>
    <row r="1572" spans="1:9">
      <c r="A1572" s="1">
        <v>42723.259027777778</v>
      </c>
      <c r="B1572" s="19">
        <v>42524</v>
      </c>
      <c r="C1572" s="21">
        <v>0.53888888888888886</v>
      </c>
      <c r="D1572" s="20" t="s">
        <v>3038</v>
      </c>
      <c r="E1572" t="s">
        <v>2</v>
      </c>
      <c r="G1572" t="s">
        <v>2034</v>
      </c>
      <c r="H1572">
        <v>7</v>
      </c>
      <c r="I1572">
        <f t="shared" si="26"/>
        <v>9</v>
      </c>
    </row>
    <row r="1573" spans="1:9">
      <c r="A1573" s="1">
        <v>42723.998611111114</v>
      </c>
      <c r="B1573" s="19">
        <v>42524</v>
      </c>
      <c r="C1573" s="21">
        <v>0.39791666666666664</v>
      </c>
      <c r="D1573" s="20" t="s">
        <v>3035</v>
      </c>
      <c r="E1573" t="s">
        <v>6</v>
      </c>
      <c r="F1573" t="s">
        <v>12</v>
      </c>
      <c r="G1573" t="s">
        <v>1675</v>
      </c>
      <c r="H1573">
        <v>4</v>
      </c>
      <c r="I1573">
        <f t="shared" si="26"/>
        <v>5</v>
      </c>
    </row>
    <row r="1574" spans="1:9">
      <c r="A1574" s="1">
        <v>42723.917361111111</v>
      </c>
      <c r="B1574" s="19">
        <v>42524</v>
      </c>
      <c r="C1574" s="21">
        <v>0.24930555555555556</v>
      </c>
      <c r="D1574" s="20" t="s">
        <v>3055</v>
      </c>
      <c r="E1574" t="s">
        <v>6</v>
      </c>
      <c r="F1574" t="s">
        <v>7</v>
      </c>
      <c r="G1574" t="s">
        <v>2035</v>
      </c>
      <c r="H1574" t="e">
        <v>#VALUE!</v>
      </c>
      <c r="I1574" t="e">
        <f t="shared" si="26"/>
        <v>#VALUE!</v>
      </c>
    </row>
    <row r="1575" spans="1:9">
      <c r="A1575" s="1">
        <v>42723.788194444445</v>
      </c>
      <c r="B1575" s="19">
        <v>42524</v>
      </c>
      <c r="C1575" s="21">
        <v>0.14444444444444443</v>
      </c>
      <c r="D1575" s="20" t="s">
        <v>3053</v>
      </c>
      <c r="E1575" t="s">
        <v>6</v>
      </c>
      <c r="F1575" t="s">
        <v>7</v>
      </c>
      <c r="G1575" t="s">
        <v>2037</v>
      </c>
      <c r="H1575">
        <v>20</v>
      </c>
      <c r="I1575">
        <f t="shared" si="26"/>
        <v>25</v>
      </c>
    </row>
    <row r="1576" spans="1:9">
      <c r="A1576" s="1">
        <v>42723.459027777775</v>
      </c>
      <c r="B1576" s="19">
        <v>42524</v>
      </c>
      <c r="C1576" s="21">
        <v>0.12291666666666666</v>
      </c>
      <c r="D1576" s="20" t="s">
        <v>3052</v>
      </c>
      <c r="E1576" t="s">
        <v>6</v>
      </c>
      <c r="F1576" t="s">
        <v>7</v>
      </c>
      <c r="G1576" t="s">
        <v>2039</v>
      </c>
      <c r="H1576">
        <v>9</v>
      </c>
      <c r="I1576">
        <f t="shared" si="26"/>
        <v>12</v>
      </c>
    </row>
    <row r="1577" spans="1:9">
      <c r="A1577" s="1">
        <v>42723.395138888889</v>
      </c>
      <c r="B1577" s="19">
        <v>42524</v>
      </c>
      <c r="C1577" s="21">
        <v>3.6805555555555557E-2</v>
      </c>
      <c r="D1577" s="20" t="s">
        <v>3050</v>
      </c>
      <c r="E1577" t="s">
        <v>6</v>
      </c>
      <c r="F1577" t="s">
        <v>15</v>
      </c>
      <c r="G1577" t="s">
        <v>2041</v>
      </c>
      <c r="H1577">
        <v>9</v>
      </c>
      <c r="I1577">
        <f t="shared" si="26"/>
        <v>12</v>
      </c>
    </row>
    <row r="1578" spans="1:9">
      <c r="A1578" s="1">
        <v>42723.393750000003</v>
      </c>
      <c r="B1578" s="19">
        <v>42524</v>
      </c>
      <c r="C1578" s="21">
        <v>1.5277777777777777E-2</v>
      </c>
      <c r="D1578" s="20" t="s">
        <v>3050</v>
      </c>
      <c r="E1578" t="s">
        <v>2</v>
      </c>
      <c r="F1578" t="s">
        <v>5</v>
      </c>
      <c r="G1578" t="s">
        <v>2042</v>
      </c>
      <c r="H1578">
        <v>66</v>
      </c>
      <c r="I1578">
        <f t="shared" si="26"/>
        <v>82</v>
      </c>
    </row>
    <row r="1579" spans="1:9">
      <c r="A1579" s="1">
        <v>42723.290972222225</v>
      </c>
      <c r="B1579" s="19">
        <v>42525</v>
      </c>
      <c r="C1579" s="21">
        <v>0.14861111111111111</v>
      </c>
      <c r="D1579" s="20" t="s">
        <v>3053</v>
      </c>
      <c r="E1579" t="s">
        <v>6</v>
      </c>
      <c r="F1579" t="s">
        <v>26</v>
      </c>
      <c r="G1579" t="s">
        <v>358</v>
      </c>
      <c r="H1579">
        <v>14</v>
      </c>
      <c r="I1579">
        <f t="shared" si="26"/>
        <v>18</v>
      </c>
    </row>
    <row r="1580" spans="1:9">
      <c r="A1580" s="1">
        <v>42723.253472222219</v>
      </c>
      <c r="B1580" s="19">
        <v>42525</v>
      </c>
      <c r="C1580" s="21">
        <v>9.0277777777777776E-2</v>
      </c>
      <c r="D1580" s="20" t="s">
        <v>3052</v>
      </c>
      <c r="E1580" t="s">
        <v>2</v>
      </c>
      <c r="F1580" t="s">
        <v>56</v>
      </c>
      <c r="G1580" t="s">
        <v>609</v>
      </c>
      <c r="H1580">
        <v>15</v>
      </c>
      <c r="I1580">
        <f t="shared" si="26"/>
        <v>19</v>
      </c>
    </row>
    <row r="1581" spans="1:9">
      <c r="A1581" s="1">
        <v>42721.100694444445</v>
      </c>
      <c r="B1581" s="19">
        <v>42525</v>
      </c>
      <c r="C1581" s="21">
        <v>8.4722222222222227E-2</v>
      </c>
      <c r="D1581" s="20" t="s">
        <v>3052</v>
      </c>
      <c r="E1581" t="s">
        <v>6</v>
      </c>
      <c r="F1581" t="s">
        <v>21</v>
      </c>
      <c r="G1581" t="s">
        <v>83</v>
      </c>
      <c r="H1581">
        <v>9</v>
      </c>
      <c r="I1581">
        <f t="shared" si="26"/>
        <v>12</v>
      </c>
    </row>
    <row r="1582" spans="1:9">
      <c r="A1582" s="1">
        <v>42721.220833333333</v>
      </c>
      <c r="B1582" s="19">
        <v>42527</v>
      </c>
      <c r="C1582" s="21">
        <v>0.97499999999999998</v>
      </c>
      <c r="D1582" s="20" t="s">
        <v>3063</v>
      </c>
      <c r="E1582" t="s">
        <v>0</v>
      </c>
      <c r="G1582" t="s">
        <v>2011</v>
      </c>
      <c r="H1582">
        <v>19</v>
      </c>
      <c r="I1582">
        <f t="shared" si="26"/>
        <v>24</v>
      </c>
    </row>
    <row r="1583" spans="1:9">
      <c r="A1583" s="1">
        <v>42721.206250000003</v>
      </c>
      <c r="B1583" s="19">
        <v>42527</v>
      </c>
      <c r="C1583" s="21">
        <v>0.95625000000000004</v>
      </c>
      <c r="D1583" s="20" t="s">
        <v>3049</v>
      </c>
      <c r="E1583" t="s">
        <v>149</v>
      </c>
      <c r="F1583" t="s">
        <v>150</v>
      </c>
      <c r="G1583" t="s">
        <v>2012</v>
      </c>
      <c r="H1583">
        <v>7</v>
      </c>
      <c r="I1583">
        <f t="shared" si="26"/>
        <v>9</v>
      </c>
    </row>
    <row r="1584" spans="1:9">
      <c r="A1584" s="1">
        <v>42720.856249999997</v>
      </c>
      <c r="B1584" s="19">
        <v>42527</v>
      </c>
      <c r="C1584" s="21">
        <v>0.9506944444444444</v>
      </c>
      <c r="D1584" s="20" t="s">
        <v>3049</v>
      </c>
      <c r="E1584" t="s">
        <v>0</v>
      </c>
      <c r="G1584" t="s">
        <v>2013</v>
      </c>
      <c r="H1584">
        <v>9</v>
      </c>
      <c r="I1584">
        <f t="shared" si="26"/>
        <v>12</v>
      </c>
    </row>
    <row r="1585" spans="1:9">
      <c r="A1585" s="1">
        <v>42720.845138888886</v>
      </c>
      <c r="B1585" s="19">
        <v>42527</v>
      </c>
      <c r="C1585" s="21">
        <v>0.94652777777777775</v>
      </c>
      <c r="D1585" s="20" t="s">
        <v>3049</v>
      </c>
      <c r="E1585" t="s">
        <v>33</v>
      </c>
      <c r="F1585" t="s">
        <v>44</v>
      </c>
      <c r="G1585" t="s">
        <v>2014</v>
      </c>
      <c r="H1585">
        <v>56</v>
      </c>
      <c r="I1585">
        <f t="shared" si="26"/>
        <v>70</v>
      </c>
    </row>
    <row r="1586" spans="1:9">
      <c r="A1586" s="1">
        <v>42720.711805555555</v>
      </c>
      <c r="B1586" s="19">
        <v>42527</v>
      </c>
      <c r="C1586" s="21">
        <v>0.87986111111111109</v>
      </c>
      <c r="D1586" s="20" t="s">
        <v>3048</v>
      </c>
      <c r="E1586" t="s">
        <v>0</v>
      </c>
      <c r="G1586" t="s">
        <v>2016</v>
      </c>
      <c r="H1586" t="e">
        <v>#VALUE!</v>
      </c>
      <c r="I1586" t="e">
        <f t="shared" si="26"/>
        <v>#VALUE!</v>
      </c>
    </row>
    <row r="1587" spans="1:9">
      <c r="A1587" s="1">
        <v>42720.495833333334</v>
      </c>
      <c r="B1587" s="19">
        <v>42527</v>
      </c>
      <c r="C1587" s="21">
        <v>0.72916666666666663</v>
      </c>
      <c r="D1587" s="20" t="s">
        <v>3044</v>
      </c>
      <c r="E1587" t="s">
        <v>18</v>
      </c>
      <c r="F1587" t="s">
        <v>19</v>
      </c>
      <c r="G1587" t="s">
        <v>2019</v>
      </c>
      <c r="H1587">
        <v>3</v>
      </c>
      <c r="I1587">
        <f t="shared" si="26"/>
        <v>4</v>
      </c>
    </row>
    <row r="1588" spans="1:9">
      <c r="A1588" s="1">
        <v>42720.421527777777</v>
      </c>
      <c r="B1588" s="19">
        <v>42527</v>
      </c>
      <c r="C1588" s="21">
        <v>0.69652777777777775</v>
      </c>
      <c r="D1588" s="20" t="s">
        <v>3043</v>
      </c>
      <c r="E1588" t="s">
        <v>33</v>
      </c>
      <c r="F1588" t="s">
        <v>44</v>
      </c>
      <c r="G1588" t="s">
        <v>2020</v>
      </c>
      <c r="H1588">
        <v>4</v>
      </c>
      <c r="I1588">
        <f t="shared" si="26"/>
        <v>5</v>
      </c>
    </row>
    <row r="1589" spans="1:9">
      <c r="A1589" s="1">
        <v>42720.945138888892</v>
      </c>
      <c r="B1589" s="19">
        <v>42527</v>
      </c>
      <c r="C1589" s="21">
        <v>0.62638888888888888</v>
      </c>
      <c r="D1589" s="20" t="s">
        <v>3042</v>
      </c>
      <c r="E1589" t="s">
        <v>33</v>
      </c>
      <c r="F1589" t="s">
        <v>44</v>
      </c>
      <c r="G1589" t="s">
        <v>2020</v>
      </c>
      <c r="H1589">
        <v>7</v>
      </c>
      <c r="I1589">
        <f t="shared" si="26"/>
        <v>9</v>
      </c>
    </row>
    <row r="1590" spans="1:9">
      <c r="A1590" s="1">
        <v>42720.918055555558</v>
      </c>
      <c r="B1590" s="19">
        <v>42527</v>
      </c>
      <c r="C1590" s="21">
        <v>0.55138888888888893</v>
      </c>
      <c r="D1590" s="20" t="s">
        <v>3039</v>
      </c>
      <c r="E1590" t="s">
        <v>33</v>
      </c>
      <c r="F1590" t="s">
        <v>44</v>
      </c>
      <c r="G1590" t="s">
        <v>2022</v>
      </c>
      <c r="H1590">
        <v>22</v>
      </c>
      <c r="I1590">
        <f t="shared" si="26"/>
        <v>28</v>
      </c>
    </row>
    <row r="1591" spans="1:9">
      <c r="A1591" s="1">
        <v>42720.763888888891</v>
      </c>
      <c r="B1591" s="19">
        <v>42527</v>
      </c>
      <c r="C1591" s="21">
        <v>0.45069444444444445</v>
      </c>
      <c r="D1591" s="20" t="s">
        <v>3036</v>
      </c>
      <c r="E1591" t="s">
        <v>0</v>
      </c>
      <c r="G1591" t="s">
        <v>2023</v>
      </c>
      <c r="H1591">
        <v>19</v>
      </c>
      <c r="I1591">
        <f t="shared" si="26"/>
        <v>24</v>
      </c>
    </row>
    <row r="1592" spans="1:9">
      <c r="A1592" s="1">
        <v>42720.75277777778</v>
      </c>
      <c r="B1592" s="19">
        <v>42527</v>
      </c>
      <c r="C1592" s="21">
        <v>0.25069444444444444</v>
      </c>
      <c r="D1592" s="20" t="s">
        <v>3031</v>
      </c>
      <c r="E1592" t="s">
        <v>0</v>
      </c>
      <c r="G1592" t="s">
        <v>2024</v>
      </c>
      <c r="H1592">
        <v>15</v>
      </c>
      <c r="I1592">
        <f t="shared" si="26"/>
        <v>19</v>
      </c>
    </row>
    <row r="1593" spans="1:9">
      <c r="A1593" s="1">
        <v>42720.250694444447</v>
      </c>
      <c r="B1593" s="19">
        <v>42527</v>
      </c>
      <c r="C1593" s="21">
        <v>0.91388888888888886</v>
      </c>
      <c r="D1593" s="20" t="s">
        <v>3048</v>
      </c>
      <c r="E1593" t="s">
        <v>6</v>
      </c>
      <c r="F1593" t="s">
        <v>26</v>
      </c>
      <c r="G1593" t="s">
        <v>2015</v>
      </c>
      <c r="H1593">
        <v>56</v>
      </c>
      <c r="I1593">
        <f t="shared" si="26"/>
        <v>70</v>
      </c>
    </row>
    <row r="1594" spans="1:9">
      <c r="A1594" s="1">
        <v>42719.938194444447</v>
      </c>
      <c r="B1594" s="19">
        <v>42527</v>
      </c>
      <c r="C1594" s="21">
        <v>0.90833333333333333</v>
      </c>
      <c r="D1594" s="20" t="s">
        <v>3048</v>
      </c>
      <c r="E1594" t="s">
        <v>6</v>
      </c>
      <c r="F1594" t="s">
        <v>26</v>
      </c>
      <c r="G1594" t="s">
        <v>453</v>
      </c>
      <c r="H1594">
        <v>23</v>
      </c>
      <c r="I1594">
        <f t="shared" si="26"/>
        <v>29</v>
      </c>
    </row>
    <row r="1595" spans="1:9">
      <c r="A1595" s="1">
        <v>42719.920138888891</v>
      </c>
      <c r="B1595" s="19">
        <v>42527</v>
      </c>
      <c r="C1595" s="21">
        <v>0.8041666666666667</v>
      </c>
      <c r="D1595" s="20" t="s">
        <v>3046</v>
      </c>
      <c r="E1595" t="s">
        <v>2</v>
      </c>
      <c r="F1595" t="s">
        <v>5</v>
      </c>
      <c r="G1595" t="s">
        <v>2017</v>
      </c>
      <c r="H1595">
        <v>15</v>
      </c>
      <c r="I1595">
        <f t="shared" si="26"/>
        <v>19</v>
      </c>
    </row>
    <row r="1596" spans="1:9">
      <c r="A1596" s="1">
        <v>42719.898611111108</v>
      </c>
      <c r="B1596" s="19">
        <v>42527</v>
      </c>
      <c r="C1596" s="21">
        <v>0.79236111111111107</v>
      </c>
      <c r="D1596" s="20" t="s">
        <v>3046</v>
      </c>
      <c r="E1596" t="s">
        <v>6</v>
      </c>
      <c r="F1596" t="s">
        <v>15</v>
      </c>
      <c r="G1596" t="s">
        <v>83</v>
      </c>
      <c r="H1596">
        <v>9</v>
      </c>
      <c r="I1596">
        <f t="shared" si="26"/>
        <v>12</v>
      </c>
    </row>
    <row r="1597" spans="1:9">
      <c r="A1597" s="1">
        <v>42719.881249999999</v>
      </c>
      <c r="B1597" s="19">
        <v>42527</v>
      </c>
      <c r="C1597" s="21">
        <v>0.77152777777777781</v>
      </c>
      <c r="D1597" s="20" t="s">
        <v>3045</v>
      </c>
      <c r="E1597" t="s">
        <v>6</v>
      </c>
      <c r="F1597" t="s">
        <v>15</v>
      </c>
      <c r="G1597" t="s">
        <v>2018</v>
      </c>
      <c r="H1597">
        <v>7</v>
      </c>
      <c r="I1597">
        <f t="shared" si="26"/>
        <v>9</v>
      </c>
    </row>
    <row r="1598" spans="1:9">
      <c r="A1598" s="1">
        <v>42719.679861111108</v>
      </c>
      <c r="B1598" s="19">
        <v>42527</v>
      </c>
      <c r="C1598" s="21">
        <v>0.62916666666666665</v>
      </c>
      <c r="D1598" s="20" t="s">
        <v>3042</v>
      </c>
      <c r="E1598" t="s">
        <v>6</v>
      </c>
      <c r="F1598" t="s">
        <v>167</v>
      </c>
      <c r="G1598" t="s">
        <v>2021</v>
      </c>
      <c r="H1598">
        <v>13</v>
      </c>
      <c r="I1598">
        <f t="shared" si="26"/>
        <v>17</v>
      </c>
    </row>
    <row r="1599" spans="1:9">
      <c r="A1599" s="1">
        <v>42719.536805555559</v>
      </c>
      <c r="B1599" s="19">
        <v>42528</v>
      </c>
      <c r="C1599" s="21">
        <v>0.9375</v>
      </c>
      <c r="D1599" s="20" t="s">
        <v>3049</v>
      </c>
      <c r="E1599" t="s">
        <v>0</v>
      </c>
      <c r="G1599" t="s">
        <v>1997</v>
      </c>
      <c r="H1599">
        <v>19</v>
      </c>
      <c r="I1599">
        <f t="shared" si="26"/>
        <v>24</v>
      </c>
    </row>
    <row r="1600" spans="1:9">
      <c r="A1600" s="1">
        <v>42719.480555555558</v>
      </c>
      <c r="B1600" s="19">
        <v>42528</v>
      </c>
      <c r="C1600" s="21">
        <v>0.80138888888888893</v>
      </c>
      <c r="D1600" s="20" t="s">
        <v>3046</v>
      </c>
      <c r="E1600" t="s">
        <v>33</v>
      </c>
      <c r="F1600" t="s">
        <v>44</v>
      </c>
      <c r="G1600" t="s">
        <v>2000</v>
      </c>
      <c r="H1600">
        <v>75</v>
      </c>
      <c r="I1600">
        <f t="shared" si="26"/>
        <v>93</v>
      </c>
    </row>
    <row r="1601" spans="1:9">
      <c r="A1601" s="1">
        <v>42719.45416666667</v>
      </c>
      <c r="B1601" s="19">
        <v>42528</v>
      </c>
      <c r="C1601" s="21">
        <v>0.76597222222222228</v>
      </c>
      <c r="D1601" s="20" t="s">
        <v>3045</v>
      </c>
      <c r="E1601" t="s">
        <v>33</v>
      </c>
      <c r="F1601" t="s">
        <v>44</v>
      </c>
      <c r="G1601" t="s">
        <v>2000</v>
      </c>
      <c r="H1601">
        <v>75</v>
      </c>
      <c r="I1601">
        <f t="shared" si="26"/>
        <v>93</v>
      </c>
    </row>
    <row r="1602" spans="1:9">
      <c r="A1602" s="1">
        <v>42719.442361111112</v>
      </c>
      <c r="B1602" s="19">
        <v>42528</v>
      </c>
      <c r="C1602" s="21">
        <v>0.63680555555555551</v>
      </c>
      <c r="D1602" s="20" t="s">
        <v>3042</v>
      </c>
      <c r="E1602" t="s">
        <v>18</v>
      </c>
      <c r="F1602" t="s">
        <v>19</v>
      </c>
      <c r="G1602" t="s">
        <v>2002</v>
      </c>
      <c r="H1602" t="e">
        <v>#VALUE!</v>
      </c>
      <c r="I1602" t="e">
        <f t="shared" si="26"/>
        <v>#VALUE!</v>
      </c>
    </row>
    <row r="1603" spans="1:9">
      <c r="A1603" s="1">
        <v>42719.439583333333</v>
      </c>
      <c r="B1603" s="19">
        <v>42528</v>
      </c>
      <c r="C1603" s="21">
        <v>0.49513888888888891</v>
      </c>
      <c r="D1603" s="20" t="s">
        <v>3037</v>
      </c>
      <c r="E1603" t="s">
        <v>0</v>
      </c>
      <c r="G1603" t="s">
        <v>2004</v>
      </c>
      <c r="H1603">
        <v>2</v>
      </c>
      <c r="I1603">
        <f t="shared" ref="I1603:I1666" si="27">ROUNDUP((H1603*1.24), 0)</f>
        <v>3</v>
      </c>
    </row>
    <row r="1604" spans="1:9">
      <c r="A1604" s="1">
        <v>42719.436111111114</v>
      </c>
      <c r="B1604" s="19">
        <v>42528</v>
      </c>
      <c r="C1604" s="21">
        <v>0.42430555555555555</v>
      </c>
      <c r="D1604" s="20" t="s">
        <v>3036</v>
      </c>
      <c r="E1604" t="s">
        <v>0</v>
      </c>
      <c r="F1604" t="s">
        <v>75</v>
      </c>
      <c r="G1604" t="s">
        <v>2005</v>
      </c>
      <c r="H1604">
        <v>7</v>
      </c>
      <c r="I1604">
        <f t="shared" si="27"/>
        <v>9</v>
      </c>
    </row>
    <row r="1605" spans="1:9">
      <c r="A1605" s="1">
        <v>42719.385416666664</v>
      </c>
      <c r="B1605" s="19">
        <v>42528</v>
      </c>
      <c r="C1605" s="21">
        <v>0.3923611111111111</v>
      </c>
      <c r="D1605" s="20" t="s">
        <v>3035</v>
      </c>
      <c r="E1605" t="s">
        <v>33</v>
      </c>
      <c r="F1605" t="s">
        <v>155</v>
      </c>
      <c r="G1605" t="s">
        <v>2006</v>
      </c>
      <c r="H1605">
        <v>2</v>
      </c>
      <c r="I1605">
        <f t="shared" si="27"/>
        <v>3</v>
      </c>
    </row>
    <row r="1606" spans="1:9">
      <c r="A1606" s="1">
        <v>42719.369444444441</v>
      </c>
      <c r="B1606" s="19">
        <v>42528</v>
      </c>
      <c r="C1606" s="21">
        <v>0.27638888888888891</v>
      </c>
      <c r="D1606" s="20" t="s">
        <v>3031</v>
      </c>
      <c r="E1606" t="s">
        <v>33</v>
      </c>
      <c r="F1606" t="s">
        <v>34</v>
      </c>
      <c r="G1606" t="s">
        <v>2008</v>
      </c>
      <c r="H1606">
        <v>2</v>
      </c>
      <c r="I1606">
        <f t="shared" si="27"/>
        <v>3</v>
      </c>
    </row>
    <row r="1607" spans="1:9">
      <c r="A1607" s="1">
        <v>42719.36041666667</v>
      </c>
      <c r="B1607" s="19">
        <v>42528</v>
      </c>
      <c r="C1607" s="21">
        <v>0.23125000000000001</v>
      </c>
      <c r="D1607" s="20" t="s">
        <v>3055</v>
      </c>
      <c r="E1607" t="s">
        <v>33</v>
      </c>
      <c r="F1607" t="s">
        <v>44</v>
      </c>
      <c r="G1607" t="s">
        <v>2009</v>
      </c>
      <c r="H1607">
        <v>2</v>
      </c>
      <c r="I1607">
        <f t="shared" si="27"/>
        <v>3</v>
      </c>
    </row>
    <row r="1608" spans="1:9">
      <c r="A1608" s="1">
        <v>42719.340277777781</v>
      </c>
      <c r="B1608" s="19">
        <v>42528</v>
      </c>
      <c r="C1608" s="21">
        <v>0.17847222222222223</v>
      </c>
      <c r="D1608" s="20" t="s">
        <v>3054</v>
      </c>
      <c r="E1608" t="s">
        <v>77</v>
      </c>
      <c r="F1608" t="s">
        <v>78</v>
      </c>
      <c r="G1608" t="s">
        <v>1598</v>
      </c>
      <c r="H1608">
        <v>2</v>
      </c>
      <c r="I1608">
        <f t="shared" si="27"/>
        <v>3</v>
      </c>
    </row>
    <row r="1609" spans="1:9">
      <c r="A1609" s="1">
        <v>42719.331250000003</v>
      </c>
      <c r="B1609" s="19">
        <v>42528</v>
      </c>
      <c r="C1609" s="21">
        <v>5.347222222222222E-2</v>
      </c>
      <c r="D1609" s="20" t="s">
        <v>3051</v>
      </c>
      <c r="E1609" t="s">
        <v>77</v>
      </c>
      <c r="F1609" t="s">
        <v>159</v>
      </c>
      <c r="G1609" t="s">
        <v>2010</v>
      </c>
      <c r="H1609">
        <v>4</v>
      </c>
      <c r="I1609">
        <f t="shared" si="27"/>
        <v>5</v>
      </c>
    </row>
    <row r="1610" spans="1:9">
      <c r="A1610" s="1">
        <v>42719.188194444447</v>
      </c>
      <c r="B1610" s="19">
        <v>42528</v>
      </c>
      <c r="C1610" s="21">
        <v>0.94791666666666663</v>
      </c>
      <c r="D1610" s="20" t="s">
        <v>3049</v>
      </c>
      <c r="E1610" t="s">
        <v>2</v>
      </c>
      <c r="F1610" t="s">
        <v>5</v>
      </c>
      <c r="G1610" t="s">
        <v>86</v>
      </c>
      <c r="H1610" t="e">
        <v>#VALUE!</v>
      </c>
      <c r="I1610" t="e">
        <f t="shared" si="27"/>
        <v>#VALUE!</v>
      </c>
    </row>
    <row r="1611" spans="1:9">
      <c r="A1611" s="1">
        <v>42719.109722222223</v>
      </c>
      <c r="B1611" s="19">
        <v>42528</v>
      </c>
      <c r="C1611" s="21">
        <v>0.92083333333333328</v>
      </c>
      <c r="D1611" s="20" t="s">
        <v>3049</v>
      </c>
      <c r="E1611" t="s">
        <v>6</v>
      </c>
      <c r="F1611" t="s">
        <v>15</v>
      </c>
      <c r="G1611" t="s">
        <v>1998</v>
      </c>
      <c r="H1611">
        <v>31</v>
      </c>
      <c r="I1611">
        <f t="shared" si="27"/>
        <v>39</v>
      </c>
    </row>
    <row r="1612" spans="1:9">
      <c r="A1612" s="1">
        <v>42719.876388888886</v>
      </c>
      <c r="B1612" s="19">
        <v>42528</v>
      </c>
      <c r="C1612" s="21">
        <v>0.83888888888888891</v>
      </c>
      <c r="D1612" s="20" t="s">
        <v>3047</v>
      </c>
      <c r="E1612" t="s">
        <v>2</v>
      </c>
      <c r="F1612" t="s">
        <v>5</v>
      </c>
      <c r="G1612" t="s">
        <v>1999</v>
      </c>
      <c r="H1612">
        <v>75</v>
      </c>
      <c r="I1612">
        <f t="shared" si="27"/>
        <v>93</v>
      </c>
    </row>
    <row r="1613" spans="1:9">
      <c r="A1613" s="1">
        <v>42719.765972222223</v>
      </c>
      <c r="B1613" s="19">
        <v>42528</v>
      </c>
      <c r="C1613" s="21">
        <v>0.80555555555555558</v>
      </c>
      <c r="D1613" s="20" t="s">
        <v>3046</v>
      </c>
      <c r="E1613" t="s">
        <v>2</v>
      </c>
      <c r="F1613" t="s">
        <v>5</v>
      </c>
      <c r="G1613" t="s">
        <v>1999</v>
      </c>
      <c r="H1613">
        <v>75</v>
      </c>
      <c r="I1613">
        <f t="shared" si="27"/>
        <v>93</v>
      </c>
    </row>
    <row r="1614" spans="1:9">
      <c r="A1614" s="1">
        <v>42719.664583333331</v>
      </c>
      <c r="B1614" s="19">
        <v>42528</v>
      </c>
      <c r="C1614" s="21">
        <v>0.66874999999999996</v>
      </c>
      <c r="D1614" s="20" t="s">
        <v>3043</v>
      </c>
      <c r="E1614" t="s">
        <v>2</v>
      </c>
      <c r="F1614" t="s">
        <v>56</v>
      </c>
      <c r="G1614" t="s">
        <v>2001</v>
      </c>
      <c r="H1614">
        <v>13</v>
      </c>
      <c r="I1614">
        <f t="shared" si="27"/>
        <v>17</v>
      </c>
    </row>
    <row r="1615" spans="1:9">
      <c r="A1615" s="1">
        <v>42719.587500000001</v>
      </c>
      <c r="B1615" s="19">
        <v>42528</v>
      </c>
      <c r="C1615" s="21">
        <v>0.63680555555555551</v>
      </c>
      <c r="D1615" s="20" t="s">
        <v>3042</v>
      </c>
      <c r="E1615" t="s">
        <v>2</v>
      </c>
      <c r="F1615" t="s">
        <v>56</v>
      </c>
      <c r="G1615" t="s">
        <v>2001</v>
      </c>
      <c r="H1615">
        <v>56</v>
      </c>
      <c r="I1615">
        <f t="shared" si="27"/>
        <v>70</v>
      </c>
    </row>
    <row r="1616" spans="1:9">
      <c r="A1616" s="1">
        <v>42719.564583333333</v>
      </c>
      <c r="B1616" s="19">
        <v>42528</v>
      </c>
      <c r="C1616" s="21">
        <v>0.50624999999999998</v>
      </c>
      <c r="D1616" s="20" t="s">
        <v>3038</v>
      </c>
      <c r="E1616" t="s">
        <v>6</v>
      </c>
      <c r="F1616" t="s">
        <v>21</v>
      </c>
      <c r="G1616" t="s">
        <v>2003</v>
      </c>
      <c r="H1616">
        <v>13</v>
      </c>
      <c r="I1616">
        <f t="shared" si="27"/>
        <v>17</v>
      </c>
    </row>
    <row r="1617" spans="1:9">
      <c r="A1617" s="1">
        <v>42719.25</v>
      </c>
      <c r="B1617" s="19">
        <v>42528</v>
      </c>
      <c r="C1617" s="21">
        <v>0.49236111111111114</v>
      </c>
      <c r="D1617" s="20" t="s">
        <v>3037</v>
      </c>
      <c r="E1617" t="s">
        <v>6</v>
      </c>
      <c r="F1617" t="s">
        <v>15</v>
      </c>
      <c r="G1617" t="s">
        <v>2003</v>
      </c>
      <c r="H1617">
        <v>7</v>
      </c>
      <c r="I1617">
        <f t="shared" si="27"/>
        <v>9</v>
      </c>
    </row>
    <row r="1618" spans="1:9">
      <c r="A1618" s="1">
        <v>42719.03402777778</v>
      </c>
      <c r="B1618" s="19">
        <v>42528</v>
      </c>
      <c r="C1618" s="21">
        <v>0.46736111111111112</v>
      </c>
      <c r="D1618" s="20" t="s">
        <v>3037</v>
      </c>
      <c r="E1618" t="s">
        <v>2</v>
      </c>
      <c r="F1618" t="s">
        <v>5</v>
      </c>
      <c r="G1618" t="s">
        <v>1823</v>
      </c>
      <c r="H1618">
        <v>13</v>
      </c>
      <c r="I1618">
        <f t="shared" si="27"/>
        <v>17</v>
      </c>
    </row>
    <row r="1619" spans="1:9">
      <c r="A1619" s="1">
        <v>42719.022222222222</v>
      </c>
      <c r="B1619" s="19">
        <v>42528</v>
      </c>
      <c r="C1619" s="21">
        <v>0.32222222222222224</v>
      </c>
      <c r="D1619" s="20" t="s">
        <v>3033</v>
      </c>
      <c r="E1619" t="s">
        <v>6</v>
      </c>
      <c r="F1619" t="s">
        <v>7</v>
      </c>
      <c r="G1619" t="s">
        <v>2007</v>
      </c>
      <c r="H1619" t="e">
        <v>#VALUE!</v>
      </c>
      <c r="I1619" t="e">
        <f t="shared" si="27"/>
        <v>#VALUE!</v>
      </c>
    </row>
    <row r="1620" spans="1:9">
      <c r="A1620" s="1">
        <v>42718.797222222223</v>
      </c>
      <c r="B1620" s="19">
        <v>42528</v>
      </c>
      <c r="C1620" s="21">
        <v>0.1763888888888889</v>
      </c>
      <c r="D1620" s="20" t="s">
        <v>3054</v>
      </c>
      <c r="E1620" t="s">
        <v>6</v>
      </c>
      <c r="F1620" t="s">
        <v>12</v>
      </c>
      <c r="G1620" t="s">
        <v>1675</v>
      </c>
      <c r="H1620">
        <v>7</v>
      </c>
      <c r="I1620">
        <f t="shared" si="27"/>
        <v>9</v>
      </c>
    </row>
    <row r="1621" spans="1:9">
      <c r="A1621" s="1">
        <v>42718.65902777778</v>
      </c>
      <c r="B1621" s="19">
        <v>42528</v>
      </c>
      <c r="C1621" s="21">
        <v>6.3888888888888884E-2</v>
      </c>
      <c r="D1621" s="20" t="s">
        <v>3051</v>
      </c>
      <c r="E1621" t="s">
        <v>6</v>
      </c>
      <c r="F1621" t="s">
        <v>12</v>
      </c>
      <c r="G1621" t="s">
        <v>1675</v>
      </c>
      <c r="H1621">
        <v>4</v>
      </c>
      <c r="I1621">
        <f t="shared" si="27"/>
        <v>5</v>
      </c>
    </row>
    <row r="1622" spans="1:9">
      <c r="A1622" s="1">
        <v>42718.638194444444</v>
      </c>
      <c r="B1622" s="19">
        <v>42529</v>
      </c>
      <c r="C1622" s="21">
        <v>0.67500000000000004</v>
      </c>
      <c r="D1622" s="20" t="s">
        <v>3043</v>
      </c>
      <c r="E1622" t="s">
        <v>0</v>
      </c>
      <c r="F1622" t="s">
        <v>10</v>
      </c>
      <c r="G1622" t="s">
        <v>64</v>
      </c>
      <c r="H1622">
        <v>13</v>
      </c>
      <c r="I1622">
        <f t="shared" si="27"/>
        <v>17</v>
      </c>
    </row>
    <row r="1623" spans="1:9">
      <c r="A1623" s="1">
        <v>42718.522222222222</v>
      </c>
      <c r="B1623" s="19">
        <v>42529</v>
      </c>
      <c r="C1623" s="21">
        <v>0.62777777777777777</v>
      </c>
      <c r="D1623" s="20" t="s">
        <v>3042</v>
      </c>
      <c r="E1623" t="s">
        <v>0</v>
      </c>
      <c r="G1623" t="s">
        <v>1984</v>
      </c>
      <c r="H1623">
        <v>2</v>
      </c>
      <c r="I1623">
        <f t="shared" si="27"/>
        <v>3</v>
      </c>
    </row>
    <row r="1624" spans="1:9">
      <c r="A1624" s="1">
        <v>42718.509722222225</v>
      </c>
      <c r="B1624" s="19">
        <v>42529</v>
      </c>
      <c r="C1624" s="21">
        <v>0.57152777777777775</v>
      </c>
      <c r="D1624" s="20" t="s">
        <v>3039</v>
      </c>
      <c r="E1624" t="s">
        <v>18</v>
      </c>
      <c r="G1624" t="s">
        <v>1986</v>
      </c>
      <c r="H1624">
        <v>13</v>
      </c>
      <c r="I1624">
        <f t="shared" si="27"/>
        <v>17</v>
      </c>
    </row>
    <row r="1625" spans="1:9" ht="28.8">
      <c r="A1625" s="1">
        <v>42718.052083333336</v>
      </c>
      <c r="B1625" s="19">
        <v>42529</v>
      </c>
      <c r="C1625" s="21">
        <v>0.26666666666666666</v>
      </c>
      <c r="D1625" s="20" t="s">
        <v>3031</v>
      </c>
      <c r="E1625" t="s">
        <v>33</v>
      </c>
      <c r="G1625" s="2" t="s">
        <v>1994</v>
      </c>
      <c r="H1625">
        <v>2</v>
      </c>
      <c r="I1625">
        <f t="shared" si="27"/>
        <v>3</v>
      </c>
    </row>
    <row r="1626" spans="1:9">
      <c r="A1626" s="1">
        <v>42718.584027777775</v>
      </c>
      <c r="B1626" s="19">
        <v>42529</v>
      </c>
      <c r="C1626" s="21">
        <v>0.26597222222222222</v>
      </c>
      <c r="D1626" s="20" t="s">
        <v>3031</v>
      </c>
      <c r="E1626" t="s">
        <v>33</v>
      </c>
      <c r="F1626" t="s">
        <v>34</v>
      </c>
      <c r="G1626" t="s">
        <v>1995</v>
      </c>
      <c r="H1626">
        <v>2</v>
      </c>
      <c r="I1626">
        <f t="shared" si="27"/>
        <v>3</v>
      </c>
    </row>
    <row r="1627" spans="1:9">
      <c r="A1627" s="1">
        <v>42718.338888888888</v>
      </c>
      <c r="B1627" s="19">
        <v>42529</v>
      </c>
      <c r="C1627" s="21">
        <v>0.25</v>
      </c>
      <c r="D1627" s="20" t="s">
        <v>3031</v>
      </c>
      <c r="E1627" t="s">
        <v>0</v>
      </c>
      <c r="F1627" t="s">
        <v>10</v>
      </c>
      <c r="G1627" t="s">
        <v>145</v>
      </c>
      <c r="H1627">
        <v>13</v>
      </c>
      <c r="I1627">
        <f t="shared" si="27"/>
        <v>17</v>
      </c>
    </row>
    <row r="1628" spans="1:9">
      <c r="A1628" s="1">
        <v>42718.250694444447</v>
      </c>
      <c r="B1628" s="19">
        <v>42529</v>
      </c>
      <c r="C1628" s="21">
        <v>2.0833333333333332E-2</v>
      </c>
      <c r="D1628" s="20" t="s">
        <v>3050</v>
      </c>
      <c r="E1628" t="s">
        <v>0</v>
      </c>
      <c r="G1628" t="s">
        <v>632</v>
      </c>
      <c r="H1628" t="e">
        <v>#VALUE!</v>
      </c>
      <c r="I1628" t="e">
        <f t="shared" si="27"/>
        <v>#VALUE!</v>
      </c>
    </row>
    <row r="1629" spans="1:9">
      <c r="A1629" s="1">
        <v>42717.782638888886</v>
      </c>
      <c r="B1629" s="19">
        <v>42529</v>
      </c>
      <c r="C1629" s="21">
        <v>0.92083333333333328</v>
      </c>
      <c r="D1629" s="20" t="s">
        <v>3049</v>
      </c>
      <c r="E1629" t="s">
        <v>6</v>
      </c>
      <c r="F1629" t="s">
        <v>7</v>
      </c>
      <c r="G1629" t="s">
        <v>1982</v>
      </c>
      <c r="H1629" t="e">
        <v>#VALUE!</v>
      </c>
      <c r="I1629" t="e">
        <f t="shared" si="27"/>
        <v>#VALUE!</v>
      </c>
    </row>
    <row r="1630" spans="1:9">
      <c r="A1630" s="1">
        <v>42717.689583333333</v>
      </c>
      <c r="B1630" s="19">
        <v>42529</v>
      </c>
      <c r="C1630" s="21">
        <v>0.8881944444444444</v>
      </c>
      <c r="D1630" s="20" t="s">
        <v>3048</v>
      </c>
      <c r="E1630" t="s">
        <v>6</v>
      </c>
      <c r="F1630" t="s">
        <v>7</v>
      </c>
      <c r="G1630" t="s">
        <v>1983</v>
      </c>
      <c r="H1630">
        <v>50</v>
      </c>
      <c r="I1630">
        <f t="shared" si="27"/>
        <v>62</v>
      </c>
    </row>
    <row r="1631" spans="1:9">
      <c r="A1631" s="1">
        <v>42717.55972222222</v>
      </c>
      <c r="B1631" s="19">
        <v>42529</v>
      </c>
      <c r="C1631" s="21">
        <v>0.87708333333333333</v>
      </c>
      <c r="D1631" s="20" t="s">
        <v>3048</v>
      </c>
      <c r="E1631" t="s">
        <v>2</v>
      </c>
      <c r="F1631" t="s">
        <v>5</v>
      </c>
      <c r="G1631" t="s">
        <v>1581</v>
      </c>
      <c r="H1631">
        <v>19</v>
      </c>
      <c r="I1631">
        <f t="shared" si="27"/>
        <v>24</v>
      </c>
    </row>
    <row r="1632" spans="1:9">
      <c r="A1632" s="1">
        <v>42717.54791666667</v>
      </c>
      <c r="B1632" s="19">
        <v>42529</v>
      </c>
      <c r="C1632" s="21">
        <v>0.87291666666666667</v>
      </c>
      <c r="D1632" s="20" t="s">
        <v>3047</v>
      </c>
      <c r="E1632" t="s">
        <v>6</v>
      </c>
      <c r="F1632" t="s">
        <v>7</v>
      </c>
      <c r="G1632" t="s">
        <v>1983</v>
      </c>
      <c r="H1632">
        <v>8</v>
      </c>
      <c r="I1632">
        <f t="shared" si="27"/>
        <v>10</v>
      </c>
    </row>
    <row r="1633" spans="1:9">
      <c r="A1633" s="1">
        <v>42717.275000000001</v>
      </c>
      <c r="B1633" s="19">
        <v>42529</v>
      </c>
      <c r="C1633" s="21">
        <v>0.79305555555555551</v>
      </c>
      <c r="D1633" s="20" t="s">
        <v>3046</v>
      </c>
      <c r="E1633" t="s">
        <v>6</v>
      </c>
      <c r="F1633" t="s">
        <v>7</v>
      </c>
      <c r="G1633" t="s">
        <v>1983</v>
      </c>
      <c r="H1633">
        <v>75</v>
      </c>
      <c r="I1633">
        <f t="shared" si="27"/>
        <v>93</v>
      </c>
    </row>
    <row r="1634" spans="1:9">
      <c r="A1634" s="1">
        <v>42717.132638888892</v>
      </c>
      <c r="B1634" s="19">
        <v>42529</v>
      </c>
      <c r="C1634" s="21">
        <v>0.76666666666666672</v>
      </c>
      <c r="D1634" s="20" t="s">
        <v>3045</v>
      </c>
      <c r="E1634" t="s">
        <v>6</v>
      </c>
      <c r="F1634" t="s">
        <v>7</v>
      </c>
      <c r="G1634" t="s">
        <v>1983</v>
      </c>
      <c r="H1634">
        <v>45</v>
      </c>
      <c r="I1634">
        <f t="shared" si="27"/>
        <v>56</v>
      </c>
    </row>
    <row r="1635" spans="1:9">
      <c r="A1635" s="1">
        <v>42717.918749999997</v>
      </c>
      <c r="B1635" s="19">
        <v>42529</v>
      </c>
      <c r="C1635" s="21">
        <v>0.61458333333333337</v>
      </c>
      <c r="D1635" s="20" t="s">
        <v>3040</v>
      </c>
      <c r="E1635" t="s">
        <v>6</v>
      </c>
      <c r="F1635" t="s">
        <v>15</v>
      </c>
      <c r="G1635" t="s">
        <v>83</v>
      </c>
      <c r="H1635">
        <v>10</v>
      </c>
      <c r="I1635">
        <f t="shared" si="27"/>
        <v>13</v>
      </c>
    </row>
    <row r="1636" spans="1:9">
      <c r="A1636" s="1">
        <v>42717.820138888892</v>
      </c>
      <c r="B1636" s="19">
        <v>42529</v>
      </c>
      <c r="C1636" s="21">
        <v>0.59375</v>
      </c>
      <c r="D1636" s="20" t="s">
        <v>3040</v>
      </c>
      <c r="E1636" t="s">
        <v>6</v>
      </c>
      <c r="F1636" t="s">
        <v>15</v>
      </c>
      <c r="G1636" t="s">
        <v>1985</v>
      </c>
      <c r="H1636">
        <v>75</v>
      </c>
      <c r="I1636">
        <f t="shared" si="27"/>
        <v>93</v>
      </c>
    </row>
    <row r="1637" spans="1:9">
      <c r="A1637" s="1">
        <v>42717.697222222225</v>
      </c>
      <c r="B1637" s="19">
        <v>42529</v>
      </c>
      <c r="C1637" s="21">
        <v>0.5444444444444444</v>
      </c>
      <c r="D1637" s="20" t="s">
        <v>3039</v>
      </c>
      <c r="E1637" t="s">
        <v>2</v>
      </c>
      <c r="F1637" t="s">
        <v>48</v>
      </c>
      <c r="H1637">
        <v>2</v>
      </c>
      <c r="I1637">
        <f t="shared" si="27"/>
        <v>3</v>
      </c>
    </row>
    <row r="1638" spans="1:9">
      <c r="A1638" s="1">
        <v>42717.582638888889</v>
      </c>
      <c r="B1638" s="19">
        <v>42529</v>
      </c>
      <c r="C1638" s="21">
        <v>0.53888888888888886</v>
      </c>
      <c r="D1638" s="20" t="s">
        <v>3038</v>
      </c>
      <c r="E1638" t="s">
        <v>6</v>
      </c>
      <c r="F1638" t="s">
        <v>167</v>
      </c>
      <c r="G1638" t="s">
        <v>1987</v>
      </c>
      <c r="H1638">
        <v>2</v>
      </c>
      <c r="I1638">
        <f t="shared" si="27"/>
        <v>3</v>
      </c>
    </row>
    <row r="1639" spans="1:9">
      <c r="A1639" s="1">
        <v>42717.25</v>
      </c>
      <c r="B1639" s="19">
        <v>42529</v>
      </c>
      <c r="C1639" s="21">
        <v>0.53680555555555554</v>
      </c>
      <c r="D1639" s="20" t="s">
        <v>3038</v>
      </c>
      <c r="E1639" t="s">
        <v>6</v>
      </c>
      <c r="F1639" t="s">
        <v>7</v>
      </c>
      <c r="G1639" t="s">
        <v>1988</v>
      </c>
      <c r="H1639">
        <v>2</v>
      </c>
      <c r="I1639">
        <f t="shared" si="27"/>
        <v>3</v>
      </c>
    </row>
    <row r="1640" spans="1:9">
      <c r="A1640" s="1">
        <v>42717.165972222225</v>
      </c>
      <c r="B1640" s="19">
        <v>42529</v>
      </c>
      <c r="C1640" s="21">
        <v>0.5131944444444444</v>
      </c>
      <c r="D1640" s="20" t="s">
        <v>3038</v>
      </c>
      <c r="E1640" t="s">
        <v>6</v>
      </c>
      <c r="F1640" t="s">
        <v>15</v>
      </c>
      <c r="G1640" t="s">
        <v>1989</v>
      </c>
      <c r="H1640">
        <v>2</v>
      </c>
      <c r="I1640">
        <f t="shared" si="27"/>
        <v>3</v>
      </c>
    </row>
    <row r="1641" spans="1:9">
      <c r="A1641" s="1">
        <v>42716.931944444441</v>
      </c>
      <c r="B1641" s="19">
        <v>42529</v>
      </c>
      <c r="C1641" s="21">
        <v>0.32361111111111113</v>
      </c>
      <c r="D1641" s="20" t="s">
        <v>3033</v>
      </c>
      <c r="E1641" t="s">
        <v>2</v>
      </c>
      <c r="F1641" t="s">
        <v>5</v>
      </c>
      <c r="G1641" t="s">
        <v>1990</v>
      </c>
      <c r="H1641" t="e">
        <v>#VALUE!</v>
      </c>
      <c r="I1641" t="e">
        <f t="shared" si="27"/>
        <v>#VALUE!</v>
      </c>
    </row>
    <row r="1642" spans="1:9">
      <c r="A1642" s="1">
        <v>42716.916666666664</v>
      </c>
      <c r="B1642" s="19">
        <v>42529</v>
      </c>
      <c r="C1642" s="21">
        <v>0.2951388888888889</v>
      </c>
      <c r="D1642" s="20" t="s">
        <v>3033</v>
      </c>
      <c r="E1642" t="s">
        <v>6</v>
      </c>
      <c r="F1642" t="s">
        <v>7</v>
      </c>
      <c r="G1642" t="s">
        <v>1991</v>
      </c>
      <c r="H1642">
        <v>51</v>
      </c>
      <c r="I1642">
        <f t="shared" si="27"/>
        <v>64</v>
      </c>
    </row>
    <row r="1643" spans="1:9">
      <c r="A1643" s="1">
        <v>42716.895138888889</v>
      </c>
      <c r="B1643" s="19">
        <v>42529</v>
      </c>
      <c r="C1643" s="21">
        <v>0.2722222222222222</v>
      </c>
      <c r="D1643" s="20" t="s">
        <v>3031</v>
      </c>
      <c r="E1643" t="s">
        <v>6</v>
      </c>
      <c r="F1643" t="s">
        <v>12</v>
      </c>
      <c r="G1643" t="s">
        <v>1992</v>
      </c>
      <c r="H1643">
        <v>4</v>
      </c>
      <c r="I1643">
        <f t="shared" si="27"/>
        <v>5</v>
      </c>
    </row>
    <row r="1644" spans="1:9" ht="28.8">
      <c r="A1644" s="1">
        <v>42716.884722222225</v>
      </c>
      <c r="B1644" s="19">
        <v>42529</v>
      </c>
      <c r="C1644" s="21">
        <v>0.26805555555555555</v>
      </c>
      <c r="D1644" s="20" t="s">
        <v>3031</v>
      </c>
      <c r="E1644" t="s">
        <v>6</v>
      </c>
      <c r="F1644" t="s">
        <v>21</v>
      </c>
      <c r="G1644" s="2" t="s">
        <v>1993</v>
      </c>
      <c r="H1644">
        <v>5</v>
      </c>
      <c r="I1644">
        <f t="shared" si="27"/>
        <v>7</v>
      </c>
    </row>
    <row r="1645" spans="1:9">
      <c r="A1645" s="1">
        <v>42716.834027777775</v>
      </c>
      <c r="B1645" s="19">
        <v>42529</v>
      </c>
      <c r="C1645" s="21">
        <v>0.1736111111111111</v>
      </c>
      <c r="D1645" s="20" t="s">
        <v>3054</v>
      </c>
      <c r="E1645" t="s">
        <v>2</v>
      </c>
      <c r="F1645" t="s">
        <v>5</v>
      </c>
      <c r="G1645" t="s">
        <v>1259</v>
      </c>
      <c r="H1645" t="e">
        <v>#VALUE!</v>
      </c>
      <c r="I1645" t="e">
        <f t="shared" si="27"/>
        <v>#VALUE!</v>
      </c>
    </row>
    <row r="1646" spans="1:9">
      <c r="A1646" s="1">
        <v>42716.688194444447</v>
      </c>
      <c r="B1646" s="19">
        <v>42529</v>
      </c>
      <c r="C1646" s="21">
        <v>0.11666666666666667</v>
      </c>
      <c r="D1646" s="20" t="s">
        <v>3052</v>
      </c>
      <c r="E1646" t="s">
        <v>6</v>
      </c>
      <c r="F1646" t="s">
        <v>26</v>
      </c>
      <c r="G1646" t="s">
        <v>1996</v>
      </c>
      <c r="H1646">
        <v>13</v>
      </c>
      <c r="I1646">
        <f t="shared" si="27"/>
        <v>17</v>
      </c>
    </row>
    <row r="1647" spans="1:9">
      <c r="A1647" s="1">
        <v>42716.664583333331</v>
      </c>
      <c r="B1647" s="19">
        <v>42530</v>
      </c>
      <c r="C1647" s="21">
        <v>0.93194444444444446</v>
      </c>
      <c r="D1647" s="20" t="s">
        <v>3049</v>
      </c>
      <c r="E1647" t="s">
        <v>0</v>
      </c>
      <c r="F1647" t="s">
        <v>1</v>
      </c>
      <c r="H1647" t="e">
        <v>#VALUE!</v>
      </c>
      <c r="I1647" t="e">
        <f t="shared" si="27"/>
        <v>#VALUE!</v>
      </c>
    </row>
    <row r="1648" spans="1:9">
      <c r="A1648" s="1">
        <v>42716.51458333333</v>
      </c>
      <c r="B1648" s="19">
        <v>42530</v>
      </c>
      <c r="C1648" s="21">
        <v>0.92708333333333337</v>
      </c>
      <c r="D1648" s="20" t="s">
        <v>3049</v>
      </c>
      <c r="E1648" t="s">
        <v>0</v>
      </c>
      <c r="G1648" t="s">
        <v>1923</v>
      </c>
      <c r="H1648" t="e">
        <v>#VALUE!</v>
      </c>
      <c r="I1648" t="e">
        <f t="shared" si="27"/>
        <v>#VALUE!</v>
      </c>
    </row>
    <row r="1649" spans="1:9">
      <c r="A1649" s="1">
        <v>42716.495833333334</v>
      </c>
      <c r="B1649" s="19">
        <v>42530</v>
      </c>
      <c r="C1649" s="21">
        <v>0.84652777777777777</v>
      </c>
      <c r="D1649" s="20" t="s">
        <v>3047</v>
      </c>
      <c r="E1649" t="s">
        <v>77</v>
      </c>
      <c r="F1649" t="s">
        <v>159</v>
      </c>
      <c r="G1649" t="s">
        <v>1973</v>
      </c>
      <c r="H1649" t="e">
        <v>#VALUE!</v>
      </c>
      <c r="I1649" t="e">
        <f t="shared" si="27"/>
        <v>#VALUE!</v>
      </c>
    </row>
    <row r="1650" spans="1:9">
      <c r="A1650" s="1">
        <v>42716.345833333333</v>
      </c>
      <c r="B1650" s="19">
        <v>42530</v>
      </c>
      <c r="C1650" s="21">
        <v>0.81666666666666665</v>
      </c>
      <c r="D1650" s="20" t="s">
        <v>3046</v>
      </c>
      <c r="E1650" t="s">
        <v>77</v>
      </c>
      <c r="F1650" t="s">
        <v>159</v>
      </c>
      <c r="G1650" t="s">
        <v>1973</v>
      </c>
      <c r="H1650">
        <v>50</v>
      </c>
      <c r="I1650">
        <f t="shared" si="27"/>
        <v>62</v>
      </c>
    </row>
    <row r="1651" spans="1:9">
      <c r="A1651" s="1">
        <v>42716.332638888889</v>
      </c>
      <c r="B1651" s="19">
        <v>42530</v>
      </c>
      <c r="C1651" s="21">
        <v>0.59861111111111109</v>
      </c>
      <c r="D1651" s="20" t="s">
        <v>3040</v>
      </c>
      <c r="E1651" t="s">
        <v>18</v>
      </c>
      <c r="G1651" t="s">
        <v>1977</v>
      </c>
      <c r="H1651">
        <v>48</v>
      </c>
      <c r="I1651">
        <f t="shared" si="27"/>
        <v>60</v>
      </c>
    </row>
    <row r="1652" spans="1:9">
      <c r="A1652" s="1">
        <v>42716.306250000001</v>
      </c>
      <c r="B1652" s="19">
        <v>42530</v>
      </c>
      <c r="C1652" s="21">
        <v>0.43263888888888891</v>
      </c>
      <c r="D1652" s="20" t="s">
        <v>3036</v>
      </c>
      <c r="E1652" t="s">
        <v>18</v>
      </c>
      <c r="G1652" t="s">
        <v>1978</v>
      </c>
      <c r="H1652">
        <v>50</v>
      </c>
      <c r="I1652">
        <f t="shared" si="27"/>
        <v>62</v>
      </c>
    </row>
    <row r="1653" spans="1:9">
      <c r="A1653" s="1">
        <v>42716.284722222219</v>
      </c>
      <c r="B1653" s="19">
        <v>42530</v>
      </c>
      <c r="C1653" s="21">
        <v>0.93958333333333333</v>
      </c>
      <c r="D1653" s="20" t="s">
        <v>3049</v>
      </c>
      <c r="E1653" t="s">
        <v>6</v>
      </c>
      <c r="F1653" t="s">
        <v>7</v>
      </c>
      <c r="G1653" t="s">
        <v>1735</v>
      </c>
      <c r="H1653">
        <v>13</v>
      </c>
      <c r="I1653">
        <f t="shared" si="27"/>
        <v>17</v>
      </c>
    </row>
    <row r="1654" spans="1:9">
      <c r="A1654" s="1">
        <v>42716.666666666664</v>
      </c>
      <c r="B1654" s="19">
        <v>42530</v>
      </c>
      <c r="C1654" s="21">
        <v>0.68680555555555556</v>
      </c>
      <c r="D1654" s="20" t="s">
        <v>3043</v>
      </c>
      <c r="E1654" t="s">
        <v>6</v>
      </c>
      <c r="F1654" t="s">
        <v>26</v>
      </c>
      <c r="G1654" t="s">
        <v>1974</v>
      </c>
      <c r="H1654">
        <v>38</v>
      </c>
      <c r="I1654">
        <f t="shared" si="27"/>
        <v>48</v>
      </c>
    </row>
    <row r="1655" spans="1:9">
      <c r="A1655" s="1">
        <v>42716.584722222222</v>
      </c>
      <c r="B1655" s="19">
        <v>42530</v>
      </c>
      <c r="C1655" s="21">
        <v>0.66527777777777775</v>
      </c>
      <c r="D1655" s="20" t="s">
        <v>3042</v>
      </c>
      <c r="E1655" t="s">
        <v>6</v>
      </c>
      <c r="F1655" t="s">
        <v>15</v>
      </c>
      <c r="G1655" t="s">
        <v>1975</v>
      </c>
      <c r="H1655">
        <v>48</v>
      </c>
      <c r="I1655">
        <f t="shared" si="27"/>
        <v>60</v>
      </c>
    </row>
    <row r="1656" spans="1:9">
      <c r="A1656" s="1">
        <v>42716.500694444447</v>
      </c>
      <c r="B1656" s="19">
        <v>42530</v>
      </c>
      <c r="C1656" s="21">
        <v>0.63958333333333328</v>
      </c>
      <c r="D1656" s="20" t="s">
        <v>3042</v>
      </c>
      <c r="E1656" t="s">
        <v>2</v>
      </c>
      <c r="F1656" t="s">
        <v>48</v>
      </c>
      <c r="G1656" t="s">
        <v>1976</v>
      </c>
      <c r="H1656">
        <v>75</v>
      </c>
      <c r="I1656">
        <f t="shared" si="27"/>
        <v>93</v>
      </c>
    </row>
    <row r="1657" spans="1:9">
      <c r="A1657" s="1">
        <v>42716.318749999999</v>
      </c>
      <c r="B1657" s="19">
        <v>42530</v>
      </c>
      <c r="C1657" s="21">
        <v>0.59097222222222223</v>
      </c>
      <c r="D1657" s="20" t="s">
        <v>3040</v>
      </c>
      <c r="E1657" t="s">
        <v>2</v>
      </c>
      <c r="F1657" t="s">
        <v>12</v>
      </c>
      <c r="G1657" t="s">
        <v>1046</v>
      </c>
      <c r="H1657">
        <v>14</v>
      </c>
      <c r="I1657">
        <f t="shared" si="27"/>
        <v>18</v>
      </c>
    </row>
    <row r="1658" spans="1:9">
      <c r="A1658" s="1">
        <v>42716.263194444444</v>
      </c>
      <c r="B1658" s="19">
        <v>42530</v>
      </c>
      <c r="C1658" s="21">
        <v>0.28611111111111109</v>
      </c>
      <c r="D1658" s="20" t="s">
        <v>3031</v>
      </c>
      <c r="E1658" t="s">
        <v>6</v>
      </c>
      <c r="F1658" t="s">
        <v>7</v>
      </c>
      <c r="G1658" t="s">
        <v>1979</v>
      </c>
      <c r="H1658">
        <v>2</v>
      </c>
      <c r="I1658">
        <f t="shared" si="27"/>
        <v>3</v>
      </c>
    </row>
    <row r="1659" spans="1:9">
      <c r="A1659" s="1">
        <v>42716.256944444445</v>
      </c>
      <c r="B1659" s="19">
        <v>42530</v>
      </c>
      <c r="C1659" s="21">
        <v>0.27430555555555558</v>
      </c>
      <c r="D1659" s="20" t="s">
        <v>3031</v>
      </c>
      <c r="E1659" t="s">
        <v>2</v>
      </c>
      <c r="F1659" t="s">
        <v>5</v>
      </c>
      <c r="G1659" t="s">
        <v>1980</v>
      </c>
      <c r="H1659" t="e">
        <v>#VALUE!</v>
      </c>
      <c r="I1659" t="e">
        <f t="shared" si="27"/>
        <v>#VALUE!</v>
      </c>
    </row>
    <row r="1660" spans="1:9">
      <c r="A1660" s="1">
        <v>42714.106249999997</v>
      </c>
      <c r="B1660" s="19">
        <v>42530</v>
      </c>
      <c r="C1660" s="21">
        <v>0.25069444444444444</v>
      </c>
      <c r="D1660" s="20" t="s">
        <v>3031</v>
      </c>
      <c r="E1660" t="s">
        <v>6</v>
      </c>
      <c r="F1660" t="s">
        <v>7</v>
      </c>
      <c r="G1660" t="s">
        <v>1981</v>
      </c>
      <c r="H1660">
        <v>2</v>
      </c>
      <c r="I1660">
        <f t="shared" si="27"/>
        <v>3</v>
      </c>
    </row>
    <row r="1661" spans="1:9">
      <c r="A1661" s="1">
        <v>42714.015972222223</v>
      </c>
      <c r="B1661" s="19">
        <v>42531</v>
      </c>
      <c r="C1661" s="21">
        <v>0.9458333333333333</v>
      </c>
      <c r="D1661" s="20" t="s">
        <v>3049</v>
      </c>
      <c r="E1661" t="s">
        <v>0</v>
      </c>
      <c r="G1661" t="s">
        <v>632</v>
      </c>
      <c r="H1661" t="e">
        <v>#VALUE!</v>
      </c>
      <c r="I1661" t="e">
        <f t="shared" si="27"/>
        <v>#VALUE!</v>
      </c>
    </row>
    <row r="1662" spans="1:9">
      <c r="A1662" s="1">
        <v>42713.752083333333</v>
      </c>
      <c r="B1662" s="19">
        <v>42531</v>
      </c>
      <c r="C1662" s="21">
        <v>0.68194444444444446</v>
      </c>
      <c r="D1662" s="20" t="s">
        <v>3043</v>
      </c>
      <c r="E1662" t="s">
        <v>0</v>
      </c>
      <c r="F1662" t="s">
        <v>10</v>
      </c>
      <c r="G1662" t="s">
        <v>1958</v>
      </c>
      <c r="H1662">
        <v>13</v>
      </c>
      <c r="I1662">
        <f t="shared" si="27"/>
        <v>17</v>
      </c>
    </row>
    <row r="1663" spans="1:9">
      <c r="A1663" s="1">
        <v>42713.663194444445</v>
      </c>
      <c r="B1663" s="19">
        <v>42531</v>
      </c>
      <c r="C1663" s="21">
        <v>0.62361111111111112</v>
      </c>
      <c r="D1663" s="20" t="s">
        <v>3040</v>
      </c>
      <c r="E1663" t="s">
        <v>0</v>
      </c>
      <c r="G1663" t="s">
        <v>1959</v>
      </c>
      <c r="H1663">
        <v>2</v>
      </c>
      <c r="I1663">
        <f t="shared" si="27"/>
        <v>3</v>
      </c>
    </row>
    <row r="1664" spans="1:9">
      <c r="A1664" s="1">
        <v>42713.5625</v>
      </c>
      <c r="B1664" s="19">
        <v>42531</v>
      </c>
      <c r="C1664" s="21">
        <v>0.57222222222222219</v>
      </c>
      <c r="D1664" s="20" t="s">
        <v>3039</v>
      </c>
      <c r="E1664" t="s">
        <v>0</v>
      </c>
      <c r="G1664" t="s">
        <v>1961</v>
      </c>
      <c r="H1664">
        <v>2</v>
      </c>
      <c r="I1664">
        <f t="shared" si="27"/>
        <v>3</v>
      </c>
    </row>
    <row r="1665" spans="1:9">
      <c r="A1665" s="1">
        <v>42713.390277777777</v>
      </c>
      <c r="B1665" s="19">
        <v>42531</v>
      </c>
      <c r="C1665" s="21">
        <v>0.57013888888888886</v>
      </c>
      <c r="D1665" s="20" t="s">
        <v>3039</v>
      </c>
      <c r="E1665" t="s">
        <v>77</v>
      </c>
      <c r="G1665" t="s">
        <v>1962</v>
      </c>
      <c r="H1665" t="e">
        <v>#VALUE!</v>
      </c>
      <c r="I1665" t="e">
        <f t="shared" si="27"/>
        <v>#VALUE!</v>
      </c>
    </row>
    <row r="1666" spans="1:9">
      <c r="A1666" s="1">
        <v>42713.379861111112</v>
      </c>
      <c r="B1666" s="19">
        <v>42531</v>
      </c>
      <c r="C1666" s="21">
        <v>0.55972222222222223</v>
      </c>
      <c r="D1666" s="20" t="s">
        <v>3039</v>
      </c>
      <c r="E1666" t="s">
        <v>0</v>
      </c>
      <c r="F1666" t="s">
        <v>1</v>
      </c>
      <c r="H1666">
        <v>7</v>
      </c>
      <c r="I1666">
        <f t="shared" si="27"/>
        <v>9</v>
      </c>
    </row>
    <row r="1667" spans="1:9">
      <c r="A1667" s="1">
        <v>42713.345833333333</v>
      </c>
      <c r="B1667" s="19">
        <v>42531</v>
      </c>
      <c r="C1667" s="21">
        <v>0.30208333333333331</v>
      </c>
      <c r="D1667" s="20" t="s">
        <v>3033</v>
      </c>
      <c r="E1667" t="s">
        <v>0</v>
      </c>
      <c r="G1667" t="s">
        <v>1968</v>
      </c>
      <c r="H1667">
        <v>29</v>
      </c>
      <c r="I1667">
        <f t="shared" ref="I1667:I1730" si="28">ROUNDUP((H1667*1.24), 0)</f>
        <v>36</v>
      </c>
    </row>
    <row r="1668" spans="1:9">
      <c r="A1668" s="1">
        <v>42713.919444444444</v>
      </c>
      <c r="B1668" s="19">
        <v>42531</v>
      </c>
      <c r="C1668" s="21">
        <v>0.18819444444444444</v>
      </c>
      <c r="D1668" s="20" t="s">
        <v>3054</v>
      </c>
      <c r="E1668" t="s">
        <v>33</v>
      </c>
      <c r="F1668" t="s">
        <v>155</v>
      </c>
      <c r="G1668" t="s">
        <v>1971</v>
      </c>
      <c r="H1668">
        <v>38</v>
      </c>
      <c r="I1668">
        <f t="shared" si="28"/>
        <v>48</v>
      </c>
    </row>
    <row r="1669" spans="1:9">
      <c r="A1669" s="1">
        <v>42713.893750000003</v>
      </c>
      <c r="B1669" s="19">
        <v>42531</v>
      </c>
      <c r="C1669" s="21">
        <v>0.13819444444444445</v>
      </c>
      <c r="D1669" s="20" t="s">
        <v>3053</v>
      </c>
      <c r="E1669" t="s">
        <v>77</v>
      </c>
      <c r="F1669" t="s">
        <v>159</v>
      </c>
      <c r="G1669" t="s">
        <v>1972</v>
      </c>
      <c r="H1669" t="e">
        <v>#VALUE!</v>
      </c>
      <c r="I1669" t="e">
        <f t="shared" si="28"/>
        <v>#VALUE!</v>
      </c>
    </row>
    <row r="1670" spans="1:9">
      <c r="A1670" s="1">
        <v>42713.645833333336</v>
      </c>
      <c r="B1670" s="19">
        <v>42531</v>
      </c>
      <c r="C1670" s="21">
        <v>0.96736111111111112</v>
      </c>
      <c r="D1670" s="20" t="s">
        <v>3063</v>
      </c>
      <c r="E1670" t="s">
        <v>2</v>
      </c>
      <c r="F1670" t="s">
        <v>5</v>
      </c>
      <c r="G1670" t="s">
        <v>1952</v>
      </c>
      <c r="H1670" t="e">
        <v>#VALUE!</v>
      </c>
      <c r="I1670" t="e">
        <f t="shared" si="28"/>
        <v>#VALUE!</v>
      </c>
    </row>
    <row r="1671" spans="1:9">
      <c r="A1671" s="1">
        <v>42713.582638888889</v>
      </c>
      <c r="B1671" s="19">
        <v>42531</v>
      </c>
      <c r="C1671" s="21">
        <v>0.96527777777777779</v>
      </c>
      <c r="D1671" s="20" t="s">
        <v>3063</v>
      </c>
      <c r="E1671" t="s">
        <v>6</v>
      </c>
      <c r="F1671" t="s">
        <v>12</v>
      </c>
      <c r="G1671" t="s">
        <v>1675</v>
      </c>
      <c r="H1671">
        <v>10</v>
      </c>
      <c r="I1671">
        <f t="shared" si="28"/>
        <v>13</v>
      </c>
    </row>
    <row r="1672" spans="1:9">
      <c r="A1672" s="1">
        <v>42713.118750000001</v>
      </c>
      <c r="B1672" s="19">
        <v>42531</v>
      </c>
      <c r="C1672" s="21">
        <v>0.91805555555555551</v>
      </c>
      <c r="D1672" s="20" t="s">
        <v>3049</v>
      </c>
      <c r="E1672" t="s">
        <v>6</v>
      </c>
      <c r="F1672" t="s">
        <v>26</v>
      </c>
      <c r="G1672" t="s">
        <v>1953</v>
      </c>
      <c r="H1672">
        <v>50</v>
      </c>
      <c r="I1672">
        <f t="shared" si="28"/>
        <v>62</v>
      </c>
    </row>
    <row r="1673" spans="1:9">
      <c r="A1673" s="1">
        <v>42712.993055555555</v>
      </c>
      <c r="B1673" s="19">
        <v>42531</v>
      </c>
      <c r="C1673" s="21">
        <v>0.89652777777777781</v>
      </c>
      <c r="D1673" s="20" t="s">
        <v>3048</v>
      </c>
      <c r="E1673" t="s">
        <v>6</v>
      </c>
      <c r="F1673" t="s">
        <v>26</v>
      </c>
      <c r="G1673" t="s">
        <v>1954</v>
      </c>
      <c r="H1673">
        <v>44</v>
      </c>
      <c r="I1673">
        <f t="shared" si="28"/>
        <v>55</v>
      </c>
    </row>
    <row r="1674" spans="1:9">
      <c r="A1674" s="1">
        <v>42712.958333333336</v>
      </c>
      <c r="B1674" s="19">
        <v>42531</v>
      </c>
      <c r="C1674" s="21">
        <v>0.88541666666666663</v>
      </c>
      <c r="D1674" s="20" t="s">
        <v>3048</v>
      </c>
      <c r="E1674" t="s">
        <v>6</v>
      </c>
      <c r="G1674" t="s">
        <v>1955</v>
      </c>
      <c r="H1674">
        <v>13</v>
      </c>
      <c r="I1674">
        <f t="shared" si="28"/>
        <v>17</v>
      </c>
    </row>
    <row r="1675" spans="1:9">
      <c r="A1675" s="1">
        <v>42712.759722222225</v>
      </c>
      <c r="B1675" s="19">
        <v>42531</v>
      </c>
      <c r="C1675" s="21">
        <v>0.83402777777777781</v>
      </c>
      <c r="D1675" s="20" t="s">
        <v>3047</v>
      </c>
      <c r="E1675" t="s">
        <v>6</v>
      </c>
      <c r="F1675" t="s">
        <v>12</v>
      </c>
      <c r="G1675" t="s">
        <v>1956</v>
      </c>
      <c r="H1675">
        <v>5</v>
      </c>
      <c r="I1675">
        <f t="shared" si="28"/>
        <v>7</v>
      </c>
    </row>
    <row r="1676" spans="1:9">
      <c r="A1676" s="1">
        <v>42712.609027777777</v>
      </c>
      <c r="B1676" s="19">
        <v>42531</v>
      </c>
      <c r="C1676" s="21">
        <v>0.78194444444444444</v>
      </c>
      <c r="D1676" s="20" t="s">
        <v>3045</v>
      </c>
      <c r="E1676" t="s">
        <v>6</v>
      </c>
      <c r="F1676" t="s">
        <v>12</v>
      </c>
      <c r="G1676" t="s">
        <v>1957</v>
      </c>
      <c r="H1676">
        <v>8</v>
      </c>
      <c r="I1676">
        <f t="shared" si="28"/>
        <v>10</v>
      </c>
    </row>
    <row r="1677" spans="1:9">
      <c r="A1677" s="1">
        <v>42712.581944444442</v>
      </c>
      <c r="B1677" s="19">
        <v>42531</v>
      </c>
      <c r="C1677" s="21">
        <v>0.58333333333333337</v>
      </c>
      <c r="D1677" s="20" t="s">
        <v>3040</v>
      </c>
      <c r="E1677" t="s">
        <v>2</v>
      </c>
      <c r="F1677" t="s">
        <v>5</v>
      </c>
      <c r="G1677" t="s">
        <v>1960</v>
      </c>
      <c r="H1677">
        <v>75</v>
      </c>
      <c r="I1677">
        <f t="shared" si="28"/>
        <v>93</v>
      </c>
    </row>
    <row r="1678" spans="1:9">
      <c r="A1678" s="1">
        <v>42712.15902777778</v>
      </c>
      <c r="B1678" s="19">
        <v>42531</v>
      </c>
      <c r="C1678" s="21">
        <v>0.55486111111111114</v>
      </c>
      <c r="D1678" s="20" t="s">
        <v>3039</v>
      </c>
      <c r="E1678" t="s">
        <v>2</v>
      </c>
      <c r="F1678" t="s">
        <v>5</v>
      </c>
      <c r="G1678" t="s">
        <v>1963</v>
      </c>
      <c r="H1678">
        <v>51</v>
      </c>
      <c r="I1678">
        <f t="shared" si="28"/>
        <v>64</v>
      </c>
    </row>
    <row r="1679" spans="1:9">
      <c r="A1679" s="1">
        <v>42712.915972222225</v>
      </c>
      <c r="B1679" s="19">
        <v>42531</v>
      </c>
      <c r="C1679" s="21">
        <v>0.54791666666666672</v>
      </c>
      <c r="D1679" s="20" t="s">
        <v>3039</v>
      </c>
      <c r="E1679" t="s">
        <v>2</v>
      </c>
      <c r="F1679" t="s">
        <v>5</v>
      </c>
      <c r="G1679" t="s">
        <v>67</v>
      </c>
      <c r="H1679">
        <v>10</v>
      </c>
      <c r="I1679">
        <f t="shared" si="28"/>
        <v>13</v>
      </c>
    </row>
    <row r="1680" spans="1:9">
      <c r="A1680" s="1">
        <v>42712.71875</v>
      </c>
      <c r="B1680" s="19">
        <v>42531</v>
      </c>
      <c r="C1680" s="21">
        <v>0.53125</v>
      </c>
      <c r="D1680" s="20" t="s">
        <v>3038</v>
      </c>
      <c r="E1680" t="s">
        <v>2</v>
      </c>
      <c r="F1680" t="s">
        <v>48</v>
      </c>
      <c r="G1680" t="s">
        <v>1964</v>
      </c>
      <c r="H1680">
        <v>30</v>
      </c>
      <c r="I1680">
        <f t="shared" si="28"/>
        <v>38</v>
      </c>
    </row>
    <row r="1681" spans="1:9">
      <c r="A1681" s="1">
        <v>42712.302083333336</v>
      </c>
      <c r="B1681" s="19">
        <v>42531</v>
      </c>
      <c r="C1681" s="21">
        <v>0.52916666666666667</v>
      </c>
      <c r="D1681" s="20" t="s">
        <v>3038</v>
      </c>
      <c r="E1681" t="s">
        <v>6</v>
      </c>
      <c r="F1681" t="s">
        <v>12</v>
      </c>
      <c r="G1681" t="s">
        <v>1965</v>
      </c>
      <c r="H1681">
        <v>4</v>
      </c>
      <c r="I1681">
        <f t="shared" si="28"/>
        <v>5</v>
      </c>
    </row>
    <row r="1682" spans="1:9">
      <c r="A1682" s="1">
        <v>42712.189583333333</v>
      </c>
      <c r="B1682" s="19">
        <v>42531</v>
      </c>
      <c r="C1682" s="21">
        <v>0.46250000000000002</v>
      </c>
      <c r="D1682" s="20" t="s">
        <v>3037</v>
      </c>
      <c r="E1682" t="s">
        <v>6</v>
      </c>
      <c r="F1682" t="s">
        <v>15</v>
      </c>
      <c r="G1682" t="s">
        <v>1966</v>
      </c>
      <c r="H1682" t="e">
        <v>#VALUE!</v>
      </c>
      <c r="I1682" t="e">
        <f t="shared" si="28"/>
        <v>#VALUE!</v>
      </c>
    </row>
    <row r="1683" spans="1:9">
      <c r="A1683" s="1">
        <v>42711.600694444445</v>
      </c>
      <c r="B1683" s="19">
        <v>42531</v>
      </c>
      <c r="C1683" s="21">
        <v>0.37638888888888888</v>
      </c>
      <c r="D1683" s="20" t="s">
        <v>3035</v>
      </c>
      <c r="E1683" t="s">
        <v>2</v>
      </c>
      <c r="F1683" t="s">
        <v>48</v>
      </c>
      <c r="G1683" t="s">
        <v>1967</v>
      </c>
      <c r="H1683">
        <v>48</v>
      </c>
      <c r="I1683">
        <f t="shared" si="28"/>
        <v>60</v>
      </c>
    </row>
    <row r="1684" spans="1:9">
      <c r="A1684" s="1">
        <v>42711.518055555556</v>
      </c>
      <c r="B1684" s="19">
        <v>42531</v>
      </c>
      <c r="C1684" s="21">
        <v>0.32847222222222222</v>
      </c>
      <c r="D1684" s="20" t="s">
        <v>3033</v>
      </c>
      <c r="E1684" t="s">
        <v>6</v>
      </c>
      <c r="F1684" t="s">
        <v>12</v>
      </c>
      <c r="G1684" t="s">
        <v>195</v>
      </c>
      <c r="H1684">
        <v>2</v>
      </c>
      <c r="I1684">
        <f t="shared" si="28"/>
        <v>3</v>
      </c>
    </row>
    <row r="1685" spans="1:9">
      <c r="A1685" s="1">
        <v>42711.425000000003</v>
      </c>
      <c r="B1685" s="19">
        <v>42531</v>
      </c>
      <c r="C1685" s="21">
        <v>0.29722222222222222</v>
      </c>
      <c r="D1685" s="20" t="s">
        <v>3033</v>
      </c>
      <c r="E1685" t="s">
        <v>2</v>
      </c>
      <c r="F1685" t="s">
        <v>3</v>
      </c>
      <c r="G1685" t="s">
        <v>365</v>
      </c>
      <c r="H1685">
        <v>9</v>
      </c>
      <c r="I1685">
        <f t="shared" si="28"/>
        <v>12</v>
      </c>
    </row>
    <row r="1686" spans="1:9">
      <c r="A1686" s="1">
        <v>42711.393055555556</v>
      </c>
      <c r="B1686" s="19">
        <v>42531</v>
      </c>
      <c r="C1686" s="21">
        <v>0.28819444444444442</v>
      </c>
      <c r="D1686" s="20" t="s">
        <v>3031</v>
      </c>
      <c r="E1686" t="s">
        <v>2</v>
      </c>
      <c r="F1686" t="s">
        <v>5</v>
      </c>
      <c r="G1686" t="s">
        <v>746</v>
      </c>
      <c r="H1686">
        <v>17</v>
      </c>
      <c r="I1686">
        <f t="shared" si="28"/>
        <v>22</v>
      </c>
    </row>
    <row r="1687" spans="1:9">
      <c r="A1687" s="1">
        <v>42711.917361111111</v>
      </c>
      <c r="B1687" s="19">
        <v>42531</v>
      </c>
      <c r="C1687" s="21">
        <v>0.25138888888888888</v>
      </c>
      <c r="D1687" s="20" t="s">
        <v>3031</v>
      </c>
      <c r="E1687" t="s">
        <v>6</v>
      </c>
      <c r="F1687" t="s">
        <v>12</v>
      </c>
      <c r="G1687" t="s">
        <v>1969</v>
      </c>
      <c r="H1687">
        <v>66</v>
      </c>
      <c r="I1687">
        <f t="shared" si="28"/>
        <v>82</v>
      </c>
    </row>
    <row r="1688" spans="1:9">
      <c r="A1688" s="1">
        <v>42711.583333333336</v>
      </c>
      <c r="B1688" s="19">
        <v>42531</v>
      </c>
      <c r="C1688" s="21">
        <v>0.19791666666666666</v>
      </c>
      <c r="D1688" s="20" t="s">
        <v>3054</v>
      </c>
      <c r="E1688" t="s">
        <v>6</v>
      </c>
      <c r="F1688" t="s">
        <v>12</v>
      </c>
      <c r="G1688" t="s">
        <v>1970</v>
      </c>
      <c r="H1688" t="e">
        <v>#VALUE!</v>
      </c>
      <c r="I1688" t="e">
        <f t="shared" si="28"/>
        <v>#VALUE!</v>
      </c>
    </row>
    <row r="1689" spans="1:9">
      <c r="A1689" s="1">
        <v>42711.231249999997</v>
      </c>
      <c r="B1689" s="19">
        <v>42531</v>
      </c>
      <c r="C1689" s="21">
        <v>0.19583333333333333</v>
      </c>
      <c r="D1689" s="20" t="s">
        <v>3054</v>
      </c>
      <c r="E1689" t="s">
        <v>6</v>
      </c>
      <c r="F1689" t="s">
        <v>15</v>
      </c>
      <c r="G1689" t="s">
        <v>102</v>
      </c>
      <c r="H1689">
        <v>4</v>
      </c>
      <c r="I1689">
        <f t="shared" si="28"/>
        <v>5</v>
      </c>
    </row>
    <row r="1690" spans="1:9">
      <c r="A1690" s="1">
        <v>42711.213194444441</v>
      </c>
      <c r="B1690" s="19">
        <v>42531</v>
      </c>
      <c r="C1690" s="21">
        <v>1.6666666666666666E-2</v>
      </c>
      <c r="D1690" s="20" t="s">
        <v>3050</v>
      </c>
      <c r="E1690" t="s">
        <v>6</v>
      </c>
      <c r="F1690" t="s">
        <v>46</v>
      </c>
      <c r="G1690" t="s">
        <v>1449</v>
      </c>
      <c r="H1690">
        <v>4</v>
      </c>
      <c r="I1690">
        <f t="shared" si="28"/>
        <v>5</v>
      </c>
    </row>
    <row r="1691" spans="1:9">
      <c r="A1691" s="1">
        <v>42711.211805555555</v>
      </c>
      <c r="B1691" s="19">
        <v>42532</v>
      </c>
      <c r="C1691" s="21">
        <v>0.14652777777777778</v>
      </c>
      <c r="D1691" s="20" t="s">
        <v>3053</v>
      </c>
      <c r="E1691" t="s">
        <v>77</v>
      </c>
      <c r="F1691" t="s">
        <v>78</v>
      </c>
      <c r="G1691" t="s">
        <v>1948</v>
      </c>
      <c r="H1691">
        <v>4</v>
      </c>
      <c r="I1691">
        <f t="shared" si="28"/>
        <v>5</v>
      </c>
    </row>
    <row r="1692" spans="1:9">
      <c r="A1692" s="1">
        <v>42710.954861111109</v>
      </c>
      <c r="B1692" s="19">
        <v>42532</v>
      </c>
      <c r="C1692" s="21">
        <v>0.1125</v>
      </c>
      <c r="D1692" s="20" t="s">
        <v>3052</v>
      </c>
      <c r="E1692" t="s">
        <v>77</v>
      </c>
      <c r="F1692" t="s">
        <v>159</v>
      </c>
      <c r="G1692" t="s">
        <v>1949</v>
      </c>
      <c r="H1692" t="e">
        <v>#VALUE!</v>
      </c>
      <c r="I1692" t="e">
        <f t="shared" si="28"/>
        <v>#VALUE!</v>
      </c>
    </row>
    <row r="1693" spans="1:9">
      <c r="A1693" s="1">
        <v>42710.95</v>
      </c>
      <c r="B1693" s="19">
        <v>42532</v>
      </c>
      <c r="C1693" s="21">
        <v>0.22569444444444445</v>
      </c>
      <c r="D1693" s="20" t="s">
        <v>3055</v>
      </c>
      <c r="E1693" t="s">
        <v>6</v>
      </c>
      <c r="F1693" t="s">
        <v>12</v>
      </c>
      <c r="G1693" t="s">
        <v>1947</v>
      </c>
      <c r="H1693">
        <v>19</v>
      </c>
      <c r="I1693">
        <f t="shared" si="28"/>
        <v>24</v>
      </c>
    </row>
    <row r="1694" spans="1:9">
      <c r="A1694" s="1">
        <v>42710.777083333334</v>
      </c>
      <c r="B1694" s="19">
        <v>42532</v>
      </c>
      <c r="C1694" s="21">
        <v>6.3194444444444442E-2</v>
      </c>
      <c r="D1694" s="20" t="s">
        <v>3051</v>
      </c>
      <c r="E1694" t="s">
        <v>2</v>
      </c>
      <c r="F1694" t="s">
        <v>3</v>
      </c>
      <c r="G1694" t="s">
        <v>1950</v>
      </c>
      <c r="H1694">
        <v>13</v>
      </c>
      <c r="I1694">
        <f t="shared" si="28"/>
        <v>17</v>
      </c>
    </row>
    <row r="1695" spans="1:9">
      <c r="A1695" s="1">
        <v>42710.503472222219</v>
      </c>
      <c r="B1695" s="19">
        <v>42532</v>
      </c>
      <c r="C1695" s="21">
        <v>4.4444444444444446E-2</v>
      </c>
      <c r="D1695" s="20" t="s">
        <v>3051</v>
      </c>
      <c r="E1695" t="s">
        <v>6</v>
      </c>
      <c r="F1695" t="s">
        <v>7</v>
      </c>
      <c r="G1695" t="s">
        <v>1951</v>
      </c>
      <c r="H1695">
        <v>31</v>
      </c>
      <c r="I1695">
        <f t="shared" si="28"/>
        <v>39</v>
      </c>
    </row>
    <row r="1696" spans="1:9">
      <c r="A1696" s="1">
        <v>42710.393055555556</v>
      </c>
      <c r="B1696" s="19">
        <v>42534</v>
      </c>
      <c r="C1696" s="21">
        <v>0.90208333333333335</v>
      </c>
      <c r="D1696" s="20" t="s">
        <v>3048</v>
      </c>
      <c r="H1696">
        <v>0</v>
      </c>
      <c r="I1696">
        <f t="shared" si="28"/>
        <v>0</v>
      </c>
    </row>
    <row r="1697" spans="1:9">
      <c r="A1697" s="1">
        <v>42710.269444444442</v>
      </c>
      <c r="B1697" s="19">
        <v>42534</v>
      </c>
      <c r="C1697" s="21">
        <v>0.89861111111111114</v>
      </c>
      <c r="D1697" s="20" t="s">
        <v>3048</v>
      </c>
      <c r="E1697" t="s">
        <v>77</v>
      </c>
      <c r="F1697" t="s">
        <v>78</v>
      </c>
      <c r="G1697" t="s">
        <v>51</v>
      </c>
      <c r="H1697">
        <v>4</v>
      </c>
      <c r="I1697">
        <f t="shared" si="28"/>
        <v>5</v>
      </c>
    </row>
    <row r="1698" spans="1:9">
      <c r="A1698" s="1">
        <v>42710.171527777777</v>
      </c>
      <c r="B1698" s="19">
        <v>42534</v>
      </c>
      <c r="C1698" s="21">
        <v>0.80625000000000002</v>
      </c>
      <c r="D1698" s="20" t="s">
        <v>3046</v>
      </c>
      <c r="E1698" t="s">
        <v>77</v>
      </c>
      <c r="F1698" t="s">
        <v>159</v>
      </c>
      <c r="G1698" t="s">
        <v>1935</v>
      </c>
      <c r="H1698" t="e">
        <v>#VALUE!</v>
      </c>
      <c r="I1698" t="e">
        <f t="shared" si="28"/>
        <v>#VALUE!</v>
      </c>
    </row>
    <row r="1699" spans="1:9">
      <c r="A1699" s="1">
        <v>42710.169444444444</v>
      </c>
      <c r="B1699" s="19">
        <v>42534</v>
      </c>
      <c r="C1699" s="21">
        <v>0.79166666666666663</v>
      </c>
      <c r="D1699" s="20" t="s">
        <v>3046</v>
      </c>
      <c r="E1699" t="s">
        <v>149</v>
      </c>
      <c r="F1699" t="s">
        <v>150</v>
      </c>
      <c r="G1699" t="s">
        <v>1936</v>
      </c>
      <c r="H1699">
        <v>13</v>
      </c>
      <c r="I1699">
        <f t="shared" si="28"/>
        <v>17</v>
      </c>
    </row>
    <row r="1700" spans="1:9">
      <c r="A1700" s="1">
        <v>42710.109027777777</v>
      </c>
      <c r="B1700" s="19">
        <v>42534</v>
      </c>
      <c r="C1700" s="21">
        <v>0.69930555555555551</v>
      </c>
      <c r="D1700" s="20" t="s">
        <v>3043</v>
      </c>
      <c r="E1700" t="s">
        <v>33</v>
      </c>
      <c r="F1700" t="s">
        <v>155</v>
      </c>
      <c r="G1700" t="s">
        <v>1937</v>
      </c>
      <c r="H1700">
        <v>19</v>
      </c>
      <c r="I1700">
        <f t="shared" si="28"/>
        <v>24</v>
      </c>
    </row>
    <row r="1701" spans="1:9">
      <c r="A1701" s="1">
        <v>42710.1</v>
      </c>
      <c r="B1701" s="19">
        <v>42534</v>
      </c>
      <c r="C1701" s="21">
        <v>0.64930555555555558</v>
      </c>
      <c r="D1701" s="20" t="s">
        <v>3042</v>
      </c>
      <c r="E1701" t="s">
        <v>33</v>
      </c>
      <c r="F1701" t="s">
        <v>44</v>
      </c>
      <c r="G1701" t="s">
        <v>1938</v>
      </c>
      <c r="H1701" t="e">
        <v>#VALUE!</v>
      </c>
      <c r="I1701" t="e">
        <f t="shared" si="28"/>
        <v>#VALUE!</v>
      </c>
    </row>
    <row r="1702" spans="1:9">
      <c r="A1702" s="1">
        <v>42710.092361111114</v>
      </c>
      <c r="B1702" s="19">
        <v>42534</v>
      </c>
      <c r="C1702" s="21">
        <v>0.625</v>
      </c>
      <c r="D1702" s="20" t="s">
        <v>3042</v>
      </c>
      <c r="E1702" t="s">
        <v>33</v>
      </c>
      <c r="F1702" t="s">
        <v>44</v>
      </c>
      <c r="G1702" t="s">
        <v>1940</v>
      </c>
      <c r="H1702">
        <v>38</v>
      </c>
      <c r="I1702">
        <f t="shared" si="28"/>
        <v>48</v>
      </c>
    </row>
    <row r="1703" spans="1:9">
      <c r="A1703" s="1">
        <v>42710.916666666664</v>
      </c>
      <c r="B1703" s="19">
        <v>42534</v>
      </c>
      <c r="C1703" s="21">
        <v>0.62083333333333335</v>
      </c>
      <c r="D1703" s="20" t="s">
        <v>3040</v>
      </c>
      <c r="E1703" t="s">
        <v>0</v>
      </c>
      <c r="G1703" t="s">
        <v>1882</v>
      </c>
      <c r="H1703">
        <v>7</v>
      </c>
      <c r="I1703">
        <f t="shared" si="28"/>
        <v>9</v>
      </c>
    </row>
    <row r="1704" spans="1:9">
      <c r="A1704" s="1">
        <v>42710.583333333336</v>
      </c>
      <c r="B1704" s="19">
        <v>42534</v>
      </c>
      <c r="C1704" s="21">
        <v>0.60069444444444442</v>
      </c>
      <c r="D1704" s="20" t="s">
        <v>3040</v>
      </c>
      <c r="E1704" t="s">
        <v>18</v>
      </c>
      <c r="F1704" t="s">
        <v>19</v>
      </c>
      <c r="G1704" t="s">
        <v>1941</v>
      </c>
      <c r="H1704" t="e">
        <v>#VALUE!</v>
      </c>
      <c r="I1704" t="e">
        <f t="shared" si="28"/>
        <v>#VALUE!</v>
      </c>
    </row>
    <row r="1705" spans="1:9">
      <c r="A1705" s="1">
        <v>42709.869444444441</v>
      </c>
      <c r="B1705" s="19">
        <v>42534</v>
      </c>
      <c r="C1705" s="21">
        <v>0.45833333333333331</v>
      </c>
      <c r="D1705" s="20" t="s">
        <v>3037</v>
      </c>
      <c r="E1705" t="s">
        <v>0</v>
      </c>
      <c r="G1705" t="s">
        <v>1944</v>
      </c>
      <c r="H1705">
        <v>19</v>
      </c>
      <c r="I1705">
        <f t="shared" si="28"/>
        <v>24</v>
      </c>
    </row>
    <row r="1706" spans="1:9">
      <c r="A1706" s="1">
        <v>42709.84097222222</v>
      </c>
      <c r="B1706" s="19">
        <v>42534</v>
      </c>
      <c r="C1706" s="21">
        <v>0.26458333333333334</v>
      </c>
      <c r="D1706" s="20" t="s">
        <v>3031</v>
      </c>
      <c r="E1706" t="s">
        <v>0</v>
      </c>
      <c r="G1706" t="s">
        <v>1946</v>
      </c>
      <c r="H1706">
        <v>25</v>
      </c>
      <c r="I1706">
        <f t="shared" si="28"/>
        <v>31</v>
      </c>
    </row>
    <row r="1707" spans="1:9">
      <c r="A1707" s="1">
        <v>42709.620833333334</v>
      </c>
      <c r="B1707" s="19">
        <v>42534</v>
      </c>
      <c r="C1707" s="21">
        <v>0.90208333333333335</v>
      </c>
      <c r="D1707" s="20" t="s">
        <v>3048</v>
      </c>
      <c r="E1707" t="s">
        <v>6</v>
      </c>
      <c r="F1707" t="s">
        <v>7</v>
      </c>
      <c r="H1707">
        <v>13</v>
      </c>
      <c r="I1707">
        <f t="shared" si="28"/>
        <v>17</v>
      </c>
    </row>
    <row r="1708" spans="1:9">
      <c r="A1708" s="1">
        <v>42709.447916666664</v>
      </c>
      <c r="B1708" s="19">
        <v>42534</v>
      </c>
      <c r="C1708" s="21">
        <v>0.81180555555555556</v>
      </c>
      <c r="D1708" s="20" t="s">
        <v>3046</v>
      </c>
      <c r="E1708" t="s">
        <v>6</v>
      </c>
      <c r="F1708" t="s">
        <v>7</v>
      </c>
      <c r="G1708" t="s">
        <v>1934</v>
      </c>
      <c r="H1708">
        <v>13</v>
      </c>
      <c r="I1708">
        <f t="shared" si="28"/>
        <v>17</v>
      </c>
    </row>
    <row r="1709" spans="1:9">
      <c r="A1709" s="1">
        <v>42709.367361111108</v>
      </c>
      <c r="B1709" s="19">
        <v>42534</v>
      </c>
      <c r="C1709" s="21">
        <v>0.62777777777777777</v>
      </c>
      <c r="D1709" s="20" t="s">
        <v>3042</v>
      </c>
      <c r="E1709" t="s">
        <v>6</v>
      </c>
      <c r="F1709" t="s">
        <v>26</v>
      </c>
      <c r="G1709" t="s">
        <v>1939</v>
      </c>
      <c r="H1709">
        <v>15</v>
      </c>
      <c r="I1709">
        <f t="shared" si="28"/>
        <v>19</v>
      </c>
    </row>
    <row r="1710" spans="1:9">
      <c r="A1710" s="1">
        <v>42709.918749999997</v>
      </c>
      <c r="B1710" s="19">
        <v>42534</v>
      </c>
      <c r="C1710" s="21">
        <v>0.59583333333333333</v>
      </c>
      <c r="D1710" s="20" t="s">
        <v>3040</v>
      </c>
      <c r="E1710" t="s">
        <v>6</v>
      </c>
      <c r="F1710" t="s">
        <v>12</v>
      </c>
      <c r="G1710" t="s">
        <v>1382</v>
      </c>
      <c r="H1710">
        <v>13</v>
      </c>
      <c r="I1710">
        <f t="shared" si="28"/>
        <v>17</v>
      </c>
    </row>
    <row r="1711" spans="1:9">
      <c r="A1711" s="1">
        <v>42709.583333333336</v>
      </c>
      <c r="B1711" s="19">
        <v>42534</v>
      </c>
      <c r="C1711" s="21">
        <v>0.49236111111111114</v>
      </c>
      <c r="D1711" s="20" t="s">
        <v>3037</v>
      </c>
      <c r="E1711" t="s">
        <v>6</v>
      </c>
      <c r="F1711" t="s">
        <v>15</v>
      </c>
      <c r="G1711" t="s">
        <v>1942</v>
      </c>
      <c r="H1711">
        <v>14</v>
      </c>
      <c r="I1711">
        <f t="shared" si="28"/>
        <v>18</v>
      </c>
    </row>
    <row r="1712" spans="1:9">
      <c r="A1712" s="1">
        <v>42709.365277777775</v>
      </c>
      <c r="B1712" s="19">
        <v>42534</v>
      </c>
      <c r="C1712" s="21">
        <v>0.46458333333333335</v>
      </c>
      <c r="D1712" s="20" t="s">
        <v>3037</v>
      </c>
      <c r="E1712" t="s">
        <v>6</v>
      </c>
      <c r="F1712" t="s">
        <v>15</v>
      </c>
      <c r="G1712" t="s">
        <v>1943</v>
      </c>
      <c r="H1712">
        <v>25</v>
      </c>
      <c r="I1712">
        <f t="shared" si="28"/>
        <v>31</v>
      </c>
    </row>
    <row r="1713" spans="1:9">
      <c r="A1713" s="1">
        <v>42709.363888888889</v>
      </c>
      <c r="B1713" s="19">
        <v>42534</v>
      </c>
      <c r="C1713" s="21">
        <v>0.38958333333333334</v>
      </c>
      <c r="D1713" s="20" t="s">
        <v>3035</v>
      </c>
      <c r="E1713" t="s">
        <v>6</v>
      </c>
      <c r="F1713" t="s">
        <v>12</v>
      </c>
      <c r="G1713" t="s">
        <v>1945</v>
      </c>
      <c r="H1713">
        <v>5</v>
      </c>
      <c r="I1713">
        <f t="shared" si="28"/>
        <v>7</v>
      </c>
    </row>
    <row r="1714" spans="1:9">
      <c r="A1714" s="1">
        <v>42709.362500000003</v>
      </c>
      <c r="B1714" s="19">
        <v>42535</v>
      </c>
      <c r="C1714" s="21">
        <v>0.91805555555555551</v>
      </c>
      <c r="D1714" s="20" t="s">
        <v>3049</v>
      </c>
      <c r="E1714" t="s">
        <v>0</v>
      </c>
      <c r="G1714" t="s">
        <v>1918</v>
      </c>
      <c r="H1714" t="e">
        <v>#VALUE!</v>
      </c>
      <c r="I1714" t="e">
        <f t="shared" si="28"/>
        <v>#VALUE!</v>
      </c>
    </row>
    <row r="1715" spans="1:9">
      <c r="A1715" s="1">
        <v>42707.222222222219</v>
      </c>
      <c r="B1715" s="19">
        <v>42535</v>
      </c>
      <c r="C1715" s="21">
        <v>0.67847222222222225</v>
      </c>
      <c r="D1715" s="20" t="s">
        <v>3043</v>
      </c>
      <c r="E1715" t="s">
        <v>0</v>
      </c>
      <c r="G1715" t="s">
        <v>1921</v>
      </c>
      <c r="H1715">
        <v>50</v>
      </c>
      <c r="I1715">
        <f t="shared" si="28"/>
        <v>62</v>
      </c>
    </row>
    <row r="1716" spans="1:9">
      <c r="A1716" s="1">
        <v>42707.209722222222</v>
      </c>
      <c r="B1716" s="19">
        <v>42535</v>
      </c>
      <c r="C1716" s="21">
        <v>0.58611111111111114</v>
      </c>
      <c r="D1716" s="20" t="s">
        <v>3040</v>
      </c>
      <c r="E1716" t="s">
        <v>0</v>
      </c>
      <c r="G1716" t="s">
        <v>1923</v>
      </c>
      <c r="H1716" t="e">
        <v>#VALUE!</v>
      </c>
      <c r="I1716" t="e">
        <f t="shared" si="28"/>
        <v>#VALUE!</v>
      </c>
    </row>
    <row r="1717" spans="1:9">
      <c r="A1717" s="1">
        <v>42707.165972222225</v>
      </c>
      <c r="B1717" s="19">
        <v>42535</v>
      </c>
      <c r="C1717" s="21">
        <v>0.56736111111111109</v>
      </c>
      <c r="D1717" s="20" t="s">
        <v>3039</v>
      </c>
      <c r="E1717" t="s">
        <v>0</v>
      </c>
      <c r="G1717" t="s">
        <v>1924</v>
      </c>
      <c r="H1717">
        <v>13</v>
      </c>
      <c r="I1717">
        <f t="shared" si="28"/>
        <v>17</v>
      </c>
    </row>
    <row r="1718" spans="1:9">
      <c r="A1718" s="1">
        <v>42707.155555555553</v>
      </c>
      <c r="B1718" s="19">
        <v>42535</v>
      </c>
      <c r="C1718" s="21">
        <v>0.55902777777777779</v>
      </c>
      <c r="D1718" s="20" t="s">
        <v>3039</v>
      </c>
      <c r="E1718" t="s">
        <v>33</v>
      </c>
      <c r="G1718" t="s">
        <v>1925</v>
      </c>
      <c r="H1718">
        <v>19</v>
      </c>
      <c r="I1718">
        <f t="shared" si="28"/>
        <v>24</v>
      </c>
    </row>
    <row r="1719" spans="1:9">
      <c r="A1719" s="1">
        <v>42707.121527777781</v>
      </c>
      <c r="B1719" s="19">
        <v>42535</v>
      </c>
      <c r="C1719" s="21">
        <v>0.49861111111111112</v>
      </c>
      <c r="D1719" s="20" t="s">
        <v>3037</v>
      </c>
      <c r="E1719" t="s">
        <v>33</v>
      </c>
      <c r="G1719" t="s">
        <v>1926</v>
      </c>
      <c r="H1719">
        <v>9</v>
      </c>
      <c r="I1719">
        <f t="shared" si="28"/>
        <v>12</v>
      </c>
    </row>
    <row r="1720" spans="1:9">
      <c r="A1720" s="1">
        <v>42707.103472222225</v>
      </c>
      <c r="B1720" s="19">
        <v>42535</v>
      </c>
      <c r="C1720" s="21">
        <v>0.39583333333333331</v>
      </c>
      <c r="D1720" s="20" t="s">
        <v>3035</v>
      </c>
      <c r="E1720" t="s">
        <v>0</v>
      </c>
      <c r="G1720" t="s">
        <v>1927</v>
      </c>
      <c r="H1720">
        <v>0</v>
      </c>
      <c r="I1720">
        <f t="shared" si="28"/>
        <v>0</v>
      </c>
    </row>
    <row r="1721" spans="1:9">
      <c r="A1721" s="1">
        <v>42706.934027777781</v>
      </c>
      <c r="B1721" s="19">
        <v>42535</v>
      </c>
      <c r="C1721" s="21">
        <v>0.25</v>
      </c>
      <c r="D1721" s="20" t="s">
        <v>3031</v>
      </c>
      <c r="E1721" t="s">
        <v>0</v>
      </c>
      <c r="F1721" t="s">
        <v>10</v>
      </c>
      <c r="G1721" t="s">
        <v>1929</v>
      </c>
      <c r="H1721">
        <v>13</v>
      </c>
      <c r="I1721">
        <f t="shared" si="28"/>
        <v>17</v>
      </c>
    </row>
    <row r="1722" spans="1:9">
      <c r="A1722" s="1">
        <v>42706.819444444445</v>
      </c>
      <c r="B1722" s="19">
        <v>42535</v>
      </c>
      <c r="C1722" s="21">
        <v>2.0833333333333332E-2</v>
      </c>
      <c r="D1722" s="20" t="s">
        <v>3050</v>
      </c>
      <c r="E1722" t="s">
        <v>33</v>
      </c>
      <c r="F1722" t="s">
        <v>34</v>
      </c>
      <c r="G1722" t="s">
        <v>1933</v>
      </c>
      <c r="H1722">
        <v>10</v>
      </c>
      <c r="I1722">
        <f t="shared" si="28"/>
        <v>13</v>
      </c>
    </row>
    <row r="1723" spans="1:9">
      <c r="A1723" s="1">
        <v>42706.712500000001</v>
      </c>
      <c r="B1723" s="19">
        <v>42535</v>
      </c>
      <c r="C1723" s="21">
        <v>0.99861111111111112</v>
      </c>
      <c r="D1723" s="20" t="s">
        <v>3063</v>
      </c>
      <c r="E1723" t="s">
        <v>2</v>
      </c>
      <c r="F1723" t="s">
        <v>5</v>
      </c>
      <c r="G1723" t="s">
        <v>1917</v>
      </c>
      <c r="H1723">
        <v>25</v>
      </c>
      <c r="I1723">
        <f t="shared" si="28"/>
        <v>31</v>
      </c>
    </row>
    <row r="1724" spans="1:9">
      <c r="A1724" s="1">
        <v>42706.509722222225</v>
      </c>
      <c r="B1724" s="19">
        <v>42535</v>
      </c>
      <c r="C1724" s="21">
        <v>0.86250000000000004</v>
      </c>
      <c r="D1724" s="20" t="s">
        <v>3047</v>
      </c>
      <c r="E1724" t="s">
        <v>2</v>
      </c>
      <c r="F1724" t="s">
        <v>5</v>
      </c>
      <c r="G1724" t="s">
        <v>1919</v>
      </c>
      <c r="H1724" t="e">
        <v>#VALUE!</v>
      </c>
      <c r="I1724" t="e">
        <f t="shared" si="28"/>
        <v>#VALUE!</v>
      </c>
    </row>
    <row r="1725" spans="1:9">
      <c r="A1725" s="1">
        <v>42706.443055555559</v>
      </c>
      <c r="B1725" s="19">
        <v>42535</v>
      </c>
      <c r="C1725" s="21">
        <v>0.70763888888888893</v>
      </c>
      <c r="D1725" s="20" t="s">
        <v>3043</v>
      </c>
      <c r="E1725" t="s">
        <v>6</v>
      </c>
      <c r="F1725" t="s">
        <v>754</v>
      </c>
      <c r="G1725" t="s">
        <v>1684</v>
      </c>
      <c r="H1725" t="e">
        <v>#VALUE!</v>
      </c>
      <c r="I1725" t="e">
        <f t="shared" si="28"/>
        <v>#VALUE!</v>
      </c>
    </row>
    <row r="1726" spans="1:9">
      <c r="A1726" s="1">
        <v>42706.421527777777</v>
      </c>
      <c r="B1726" s="19">
        <v>42535</v>
      </c>
      <c r="C1726" s="21">
        <v>0.70486111111111116</v>
      </c>
      <c r="D1726" s="20" t="s">
        <v>3043</v>
      </c>
      <c r="E1726" t="s">
        <v>6</v>
      </c>
      <c r="F1726" t="s">
        <v>167</v>
      </c>
      <c r="G1726" t="s">
        <v>1920</v>
      </c>
      <c r="H1726" t="e">
        <v>#VALUE!</v>
      </c>
      <c r="I1726" t="e">
        <f t="shared" si="28"/>
        <v>#VALUE!</v>
      </c>
    </row>
    <row r="1727" spans="1:9">
      <c r="A1727" s="1">
        <v>42706.326388888891</v>
      </c>
      <c r="B1727" s="19">
        <v>42535</v>
      </c>
      <c r="C1727" s="21">
        <v>0.67291666666666672</v>
      </c>
      <c r="D1727" s="20" t="s">
        <v>3043</v>
      </c>
      <c r="E1727" t="s">
        <v>6</v>
      </c>
      <c r="F1727" t="s">
        <v>46</v>
      </c>
      <c r="G1727" t="s">
        <v>1922</v>
      </c>
      <c r="H1727">
        <v>5</v>
      </c>
      <c r="I1727">
        <f t="shared" si="28"/>
        <v>7</v>
      </c>
    </row>
    <row r="1728" spans="1:9">
      <c r="A1728" s="1">
        <v>42706.306944444441</v>
      </c>
      <c r="B1728" s="19">
        <v>42535</v>
      </c>
      <c r="C1728" s="21">
        <v>0.64097222222222228</v>
      </c>
      <c r="D1728" s="20" t="s">
        <v>3042</v>
      </c>
      <c r="E1728" t="s">
        <v>6</v>
      </c>
      <c r="F1728" t="s">
        <v>46</v>
      </c>
      <c r="G1728" t="s">
        <v>1722</v>
      </c>
      <c r="H1728">
        <v>5</v>
      </c>
      <c r="I1728">
        <f t="shared" si="28"/>
        <v>7</v>
      </c>
    </row>
    <row r="1729" spans="1:9">
      <c r="A1729" s="1">
        <v>42706.271527777775</v>
      </c>
      <c r="B1729" s="19">
        <v>42535</v>
      </c>
      <c r="C1729" s="21">
        <v>0.60902777777777772</v>
      </c>
      <c r="D1729" s="20" t="s">
        <v>3040</v>
      </c>
      <c r="E1729" t="s">
        <v>6</v>
      </c>
      <c r="F1729" t="s">
        <v>46</v>
      </c>
      <c r="G1729" t="s">
        <v>1722</v>
      </c>
      <c r="H1729" t="e">
        <v>#VALUE!</v>
      </c>
      <c r="I1729" t="e">
        <f t="shared" si="28"/>
        <v>#VALUE!</v>
      </c>
    </row>
    <row r="1730" spans="1:9">
      <c r="A1730" s="1">
        <v>42706.262499999997</v>
      </c>
      <c r="B1730" s="19">
        <v>42535</v>
      </c>
      <c r="C1730" s="21">
        <v>0.38472222222222224</v>
      </c>
      <c r="D1730" s="20" t="s">
        <v>3035</v>
      </c>
      <c r="E1730" t="s">
        <v>6</v>
      </c>
      <c r="F1730" t="s">
        <v>15</v>
      </c>
      <c r="G1730" t="s">
        <v>1928</v>
      </c>
      <c r="H1730" t="e">
        <v>#VALUE!</v>
      </c>
      <c r="I1730" t="e">
        <f t="shared" si="28"/>
        <v>#VALUE!</v>
      </c>
    </row>
    <row r="1731" spans="1:9">
      <c r="A1731" s="1">
        <v>42706.118750000001</v>
      </c>
      <c r="B1731" s="19">
        <v>42535</v>
      </c>
      <c r="C1731" s="21">
        <v>0.19652777777777777</v>
      </c>
      <c r="D1731" s="20" t="s">
        <v>3054</v>
      </c>
      <c r="E1731" t="s">
        <v>6</v>
      </c>
      <c r="F1731" t="s">
        <v>15</v>
      </c>
      <c r="G1731" t="s">
        <v>1930</v>
      </c>
      <c r="H1731" t="e">
        <v>#VALUE!</v>
      </c>
      <c r="I1731" t="e">
        <f t="shared" ref="I1731:I1794" si="29">ROUNDUP((H1731*1.24), 0)</f>
        <v>#VALUE!</v>
      </c>
    </row>
    <row r="1732" spans="1:9">
      <c r="A1732" s="1">
        <v>42706.038194444445</v>
      </c>
      <c r="B1732" s="19">
        <v>42535</v>
      </c>
      <c r="C1732" s="21">
        <v>0.1673611111111111</v>
      </c>
      <c r="D1732" s="20" t="s">
        <v>3054</v>
      </c>
      <c r="E1732" t="s">
        <v>6</v>
      </c>
      <c r="F1732" t="s">
        <v>21</v>
      </c>
      <c r="G1732" t="s">
        <v>1931</v>
      </c>
      <c r="H1732">
        <v>15</v>
      </c>
      <c r="I1732">
        <f t="shared" si="29"/>
        <v>19</v>
      </c>
    </row>
    <row r="1733" spans="1:9">
      <c r="A1733" s="1">
        <v>42706.009027777778</v>
      </c>
      <c r="B1733" s="19">
        <v>42535</v>
      </c>
      <c r="C1733" s="21">
        <v>3.9583333333333331E-2</v>
      </c>
      <c r="D1733" s="20" t="s">
        <v>3050</v>
      </c>
      <c r="E1733" t="s">
        <v>6</v>
      </c>
      <c r="F1733" t="s">
        <v>7</v>
      </c>
      <c r="G1733" t="s">
        <v>1932</v>
      </c>
      <c r="H1733">
        <v>4</v>
      </c>
      <c r="I1733">
        <f t="shared" si="29"/>
        <v>5</v>
      </c>
    </row>
    <row r="1734" spans="1:9">
      <c r="A1734" s="1">
        <v>42706.943749999999</v>
      </c>
      <c r="B1734" s="19">
        <v>42536</v>
      </c>
      <c r="C1734" s="21">
        <v>0.91874999999999996</v>
      </c>
      <c r="D1734" s="20" t="s">
        <v>3049</v>
      </c>
      <c r="E1734" t="s">
        <v>0</v>
      </c>
      <c r="G1734" t="s">
        <v>1910</v>
      </c>
      <c r="H1734">
        <v>2</v>
      </c>
      <c r="I1734">
        <f t="shared" si="29"/>
        <v>3</v>
      </c>
    </row>
    <row r="1735" spans="1:9">
      <c r="A1735" s="1">
        <v>42706.915277777778</v>
      </c>
      <c r="B1735" s="19">
        <v>42536</v>
      </c>
      <c r="C1735" s="21">
        <v>0.75763888888888886</v>
      </c>
      <c r="D1735" s="20" t="s">
        <v>3045</v>
      </c>
      <c r="E1735" t="s">
        <v>18</v>
      </c>
      <c r="F1735" t="s">
        <v>19</v>
      </c>
      <c r="H1735">
        <v>14</v>
      </c>
      <c r="I1735">
        <f t="shared" si="29"/>
        <v>18</v>
      </c>
    </row>
    <row r="1736" spans="1:9">
      <c r="A1736" s="1">
        <v>42706.873611111114</v>
      </c>
      <c r="B1736" s="19">
        <v>42536</v>
      </c>
      <c r="C1736" s="21">
        <v>0.72638888888888886</v>
      </c>
      <c r="D1736" s="20" t="s">
        <v>3044</v>
      </c>
      <c r="E1736" t="s">
        <v>0</v>
      </c>
      <c r="F1736" t="s">
        <v>313</v>
      </c>
      <c r="G1736" t="s">
        <v>1882</v>
      </c>
      <c r="H1736">
        <v>8</v>
      </c>
      <c r="I1736">
        <f t="shared" si="29"/>
        <v>10</v>
      </c>
    </row>
    <row r="1737" spans="1:9">
      <c r="A1737" s="1">
        <v>42706.621527777781</v>
      </c>
      <c r="B1737" s="19">
        <v>42536</v>
      </c>
      <c r="C1737" s="21">
        <v>0.66736111111111107</v>
      </c>
      <c r="D1737" s="20" t="s">
        <v>3043</v>
      </c>
      <c r="E1737" t="s">
        <v>0</v>
      </c>
      <c r="F1737" t="s">
        <v>10</v>
      </c>
      <c r="G1737" t="s">
        <v>59</v>
      </c>
      <c r="H1737">
        <v>13</v>
      </c>
      <c r="I1737">
        <f t="shared" si="29"/>
        <v>17</v>
      </c>
    </row>
    <row r="1738" spans="1:9">
      <c r="A1738" s="1">
        <v>42706.557638888888</v>
      </c>
      <c r="B1738" s="19">
        <v>42536</v>
      </c>
      <c r="C1738" s="21">
        <v>0.66111111111111109</v>
      </c>
      <c r="D1738" s="20" t="s">
        <v>3042</v>
      </c>
      <c r="E1738" t="s">
        <v>0</v>
      </c>
      <c r="F1738" t="s">
        <v>313</v>
      </c>
      <c r="G1738" t="s">
        <v>1882</v>
      </c>
      <c r="H1738">
        <v>13</v>
      </c>
      <c r="I1738">
        <f t="shared" si="29"/>
        <v>17</v>
      </c>
    </row>
    <row r="1739" spans="1:9">
      <c r="A1739" s="1">
        <v>42706.253472222219</v>
      </c>
      <c r="B1739" s="19">
        <v>42536</v>
      </c>
      <c r="C1739" s="21">
        <v>0.56736111111111109</v>
      </c>
      <c r="D1739" s="20" t="s">
        <v>3039</v>
      </c>
      <c r="E1739" t="s">
        <v>0</v>
      </c>
      <c r="F1739" t="s">
        <v>1</v>
      </c>
      <c r="H1739">
        <v>17</v>
      </c>
      <c r="I1739">
        <f t="shared" si="29"/>
        <v>22</v>
      </c>
    </row>
    <row r="1740" spans="1:9">
      <c r="A1740" s="1">
        <v>42705.804861111108</v>
      </c>
      <c r="B1740" s="19">
        <v>42536</v>
      </c>
      <c r="C1740" s="21">
        <v>0.42499999999999999</v>
      </c>
      <c r="D1740" s="20" t="s">
        <v>3036</v>
      </c>
      <c r="E1740" t="s">
        <v>0</v>
      </c>
      <c r="G1740" t="s">
        <v>1916</v>
      </c>
      <c r="H1740">
        <v>13</v>
      </c>
      <c r="I1740">
        <f t="shared" si="29"/>
        <v>17</v>
      </c>
    </row>
    <row r="1741" spans="1:9">
      <c r="A1741" s="1">
        <v>42705.702777777777</v>
      </c>
      <c r="B1741" s="19">
        <v>42536</v>
      </c>
      <c r="C1741" s="21">
        <v>0.97638888888888886</v>
      </c>
      <c r="D1741" s="20" t="s">
        <v>3063</v>
      </c>
      <c r="E1741" t="s">
        <v>6</v>
      </c>
      <c r="F1741" t="s">
        <v>46</v>
      </c>
      <c r="G1741" t="s">
        <v>1909</v>
      </c>
      <c r="H1741">
        <v>3</v>
      </c>
      <c r="I1741">
        <f t="shared" si="29"/>
        <v>4</v>
      </c>
    </row>
    <row r="1742" spans="1:9">
      <c r="A1742" s="1">
        <v>42705.698611111111</v>
      </c>
      <c r="B1742" s="19">
        <v>42536</v>
      </c>
      <c r="C1742" s="21">
        <v>0.875</v>
      </c>
      <c r="D1742" s="20" t="s">
        <v>3048</v>
      </c>
      <c r="E1742" t="s">
        <v>6</v>
      </c>
      <c r="F1742" t="s">
        <v>12</v>
      </c>
      <c r="G1742" t="s">
        <v>1911</v>
      </c>
      <c r="H1742">
        <v>48</v>
      </c>
      <c r="I1742">
        <f t="shared" si="29"/>
        <v>60</v>
      </c>
    </row>
    <row r="1743" spans="1:9">
      <c r="A1743" s="1">
        <v>42705.92083333333</v>
      </c>
      <c r="B1743" s="19">
        <v>42536</v>
      </c>
      <c r="C1743" s="21">
        <v>0.84791666666666665</v>
      </c>
      <c r="D1743" s="20" t="s">
        <v>3047</v>
      </c>
      <c r="E1743" t="s">
        <v>6</v>
      </c>
      <c r="F1743" t="s">
        <v>12</v>
      </c>
      <c r="G1743" t="s">
        <v>1912</v>
      </c>
      <c r="H1743">
        <v>10</v>
      </c>
      <c r="I1743">
        <f t="shared" si="29"/>
        <v>13</v>
      </c>
    </row>
    <row r="1744" spans="1:9">
      <c r="A1744" s="1">
        <v>42705.79791666667</v>
      </c>
      <c r="B1744" s="19">
        <v>42536</v>
      </c>
      <c r="C1744" s="21">
        <v>0.83680555555555558</v>
      </c>
      <c r="D1744" s="20" t="s">
        <v>3047</v>
      </c>
      <c r="E1744" t="s">
        <v>6</v>
      </c>
      <c r="F1744" t="s">
        <v>7</v>
      </c>
      <c r="G1744" t="s">
        <v>1913</v>
      </c>
      <c r="H1744">
        <v>12</v>
      </c>
      <c r="I1744">
        <f t="shared" si="29"/>
        <v>15</v>
      </c>
    </row>
    <row r="1745" spans="1:9">
      <c r="A1745" s="1">
        <v>42705.636805555558</v>
      </c>
      <c r="B1745" s="19">
        <v>42536</v>
      </c>
      <c r="C1745" s="21">
        <v>0.81388888888888888</v>
      </c>
      <c r="D1745" s="20" t="s">
        <v>3046</v>
      </c>
      <c r="E1745" t="s">
        <v>6</v>
      </c>
      <c r="F1745" t="s">
        <v>12</v>
      </c>
      <c r="G1745" t="s">
        <v>1914</v>
      </c>
      <c r="H1745">
        <v>14</v>
      </c>
      <c r="I1745">
        <f t="shared" si="29"/>
        <v>18</v>
      </c>
    </row>
    <row r="1746" spans="1:9">
      <c r="A1746" s="1">
        <v>42703.194444444445</v>
      </c>
      <c r="B1746" s="19">
        <v>42536</v>
      </c>
      <c r="C1746" s="21">
        <v>0.70833333333333337</v>
      </c>
      <c r="D1746" s="20" t="s">
        <v>3044</v>
      </c>
      <c r="E1746" t="s">
        <v>6</v>
      </c>
      <c r="F1746" t="s">
        <v>7</v>
      </c>
      <c r="G1746" t="s">
        <v>1863</v>
      </c>
      <c r="H1746">
        <v>12</v>
      </c>
      <c r="I1746">
        <f t="shared" si="29"/>
        <v>15</v>
      </c>
    </row>
    <row r="1747" spans="1:9">
      <c r="A1747" s="1">
        <v>42703.251388888886</v>
      </c>
      <c r="B1747" s="19">
        <v>42536</v>
      </c>
      <c r="C1747" s="21">
        <v>0.62013888888888891</v>
      </c>
      <c r="D1747" s="20" t="s">
        <v>3040</v>
      </c>
      <c r="E1747" t="s">
        <v>6</v>
      </c>
      <c r="F1747" t="s">
        <v>12</v>
      </c>
      <c r="G1747" t="s">
        <v>1382</v>
      </c>
      <c r="H1747">
        <v>7</v>
      </c>
      <c r="I1747">
        <f t="shared" si="29"/>
        <v>9</v>
      </c>
    </row>
    <row r="1748" spans="1:9">
      <c r="A1748" s="1">
        <v>42703.012499999997</v>
      </c>
      <c r="B1748" s="19">
        <v>42536</v>
      </c>
      <c r="C1748" s="21">
        <v>0.61319444444444449</v>
      </c>
      <c r="D1748" s="20" t="s">
        <v>3040</v>
      </c>
      <c r="E1748" t="s">
        <v>6</v>
      </c>
      <c r="F1748" t="s">
        <v>12</v>
      </c>
      <c r="G1748" t="s">
        <v>1382</v>
      </c>
      <c r="H1748" t="e">
        <v>#VALUE!</v>
      </c>
      <c r="I1748" t="e">
        <f t="shared" si="29"/>
        <v>#VALUE!</v>
      </c>
    </row>
    <row r="1749" spans="1:9">
      <c r="A1749" s="1">
        <v>42702.880555555559</v>
      </c>
      <c r="B1749" s="19">
        <v>42536</v>
      </c>
      <c r="C1749" s="21">
        <v>0.6118055555555556</v>
      </c>
      <c r="D1749" s="20" t="s">
        <v>3040</v>
      </c>
      <c r="E1749" t="s">
        <v>6</v>
      </c>
      <c r="F1749" t="s">
        <v>7</v>
      </c>
      <c r="G1749" t="s">
        <v>1863</v>
      </c>
      <c r="H1749">
        <v>8</v>
      </c>
      <c r="I1749">
        <f t="shared" si="29"/>
        <v>10</v>
      </c>
    </row>
    <row r="1750" spans="1:9">
      <c r="A1750" s="1">
        <v>42702.593055555553</v>
      </c>
      <c r="B1750" s="19">
        <v>42536</v>
      </c>
      <c r="C1750" s="21">
        <v>0.43958333333333333</v>
      </c>
      <c r="D1750" s="20" t="s">
        <v>3036</v>
      </c>
      <c r="E1750" t="s">
        <v>2</v>
      </c>
      <c r="F1750" t="s">
        <v>5</v>
      </c>
      <c r="G1750" t="s">
        <v>1915</v>
      </c>
      <c r="H1750" t="e">
        <v>#VALUE!</v>
      </c>
      <c r="I1750" t="e">
        <f t="shared" si="29"/>
        <v>#VALUE!</v>
      </c>
    </row>
    <row r="1751" spans="1:9">
      <c r="A1751" s="1">
        <v>42702.461111111108</v>
      </c>
      <c r="B1751" s="19">
        <v>42536</v>
      </c>
      <c r="C1751" s="21">
        <v>0.27500000000000002</v>
      </c>
      <c r="D1751" s="20" t="s">
        <v>3031</v>
      </c>
      <c r="E1751" t="s">
        <v>6</v>
      </c>
      <c r="F1751" t="s">
        <v>15</v>
      </c>
      <c r="G1751" t="s">
        <v>103</v>
      </c>
      <c r="H1751">
        <v>25</v>
      </c>
      <c r="I1751">
        <f t="shared" si="29"/>
        <v>31</v>
      </c>
    </row>
    <row r="1752" spans="1:9">
      <c r="A1752" s="1">
        <v>42702.418055555558</v>
      </c>
      <c r="B1752" s="19">
        <v>42537</v>
      </c>
      <c r="C1752" s="21">
        <v>0.16805555555555557</v>
      </c>
      <c r="D1752" s="20" t="s">
        <v>3054</v>
      </c>
      <c r="E1752" t="s">
        <v>33</v>
      </c>
      <c r="F1752" t="s">
        <v>44</v>
      </c>
      <c r="G1752" t="s">
        <v>1907</v>
      </c>
      <c r="H1752">
        <v>2</v>
      </c>
      <c r="I1752">
        <f t="shared" si="29"/>
        <v>3</v>
      </c>
    </row>
    <row r="1753" spans="1:9">
      <c r="A1753" s="1">
        <v>42702.336111111108</v>
      </c>
      <c r="B1753" s="19">
        <v>42537</v>
      </c>
      <c r="C1753" s="21">
        <v>0.14166666666666666</v>
      </c>
      <c r="D1753" s="20" t="s">
        <v>3053</v>
      </c>
      <c r="E1753" t="s">
        <v>6</v>
      </c>
      <c r="F1753" t="s">
        <v>7</v>
      </c>
      <c r="G1753" t="s">
        <v>1908</v>
      </c>
      <c r="H1753">
        <v>7</v>
      </c>
      <c r="I1753">
        <f t="shared" si="29"/>
        <v>9</v>
      </c>
    </row>
    <row r="1754" spans="1:9">
      <c r="A1754" s="1">
        <v>42702.915972222225</v>
      </c>
      <c r="B1754" s="19">
        <v>42538</v>
      </c>
      <c r="C1754" s="21">
        <v>0.53125</v>
      </c>
      <c r="D1754" s="20" t="s">
        <v>3038</v>
      </c>
      <c r="E1754" t="s">
        <v>149</v>
      </c>
      <c r="F1754" t="s">
        <v>150</v>
      </c>
      <c r="G1754" t="s">
        <v>1899</v>
      </c>
      <c r="H1754" t="e">
        <v>#VALUE!</v>
      </c>
      <c r="I1754" t="e">
        <f t="shared" si="29"/>
        <v>#VALUE!</v>
      </c>
    </row>
    <row r="1755" spans="1:9">
      <c r="A1755" s="1">
        <v>42702.767361111109</v>
      </c>
      <c r="B1755" s="19">
        <v>42538</v>
      </c>
      <c r="C1755" s="21">
        <v>0.29444444444444445</v>
      </c>
      <c r="D1755" s="20" t="s">
        <v>3033</v>
      </c>
      <c r="E1755" t="s">
        <v>0</v>
      </c>
      <c r="F1755" t="s">
        <v>313</v>
      </c>
      <c r="G1755" t="s">
        <v>1882</v>
      </c>
      <c r="H1755" t="e">
        <v>#VALUE!</v>
      </c>
      <c r="I1755" t="e">
        <f t="shared" si="29"/>
        <v>#VALUE!</v>
      </c>
    </row>
    <row r="1756" spans="1:9">
      <c r="A1756" s="1">
        <v>42702.585416666669</v>
      </c>
      <c r="B1756" s="19">
        <v>42538</v>
      </c>
      <c r="C1756" s="21">
        <v>0.25277777777777777</v>
      </c>
      <c r="D1756" s="20" t="s">
        <v>3031</v>
      </c>
      <c r="E1756" t="s">
        <v>0</v>
      </c>
      <c r="G1756" t="s">
        <v>1905</v>
      </c>
      <c r="H1756" t="e">
        <v>#VALUE!</v>
      </c>
      <c r="I1756" t="e">
        <f t="shared" si="29"/>
        <v>#VALUE!</v>
      </c>
    </row>
    <row r="1757" spans="1:9">
      <c r="A1757" s="1">
        <v>42702.522916666669</v>
      </c>
      <c r="B1757" s="19">
        <v>42538</v>
      </c>
      <c r="C1757" s="21">
        <v>0.25277777777777777</v>
      </c>
      <c r="D1757" s="20" t="s">
        <v>3031</v>
      </c>
      <c r="E1757" t="s">
        <v>0</v>
      </c>
      <c r="G1757" t="s">
        <v>1906</v>
      </c>
      <c r="H1757" t="e">
        <v>#VALUE!</v>
      </c>
      <c r="I1757" t="e">
        <f t="shared" si="29"/>
        <v>#VALUE!</v>
      </c>
    </row>
    <row r="1758" spans="1:9">
      <c r="A1758" s="1">
        <v>42702.436111111114</v>
      </c>
      <c r="B1758" s="19">
        <v>42538</v>
      </c>
      <c r="C1758" s="21">
        <v>0.54791666666666672</v>
      </c>
      <c r="D1758" s="20" t="s">
        <v>3039</v>
      </c>
      <c r="E1758" t="s">
        <v>6</v>
      </c>
      <c r="F1758" t="s">
        <v>12</v>
      </c>
      <c r="G1758" t="s">
        <v>1675</v>
      </c>
      <c r="H1758" t="e">
        <v>#VALUE!</v>
      </c>
      <c r="I1758" t="e">
        <f t="shared" si="29"/>
        <v>#VALUE!</v>
      </c>
    </row>
    <row r="1759" spans="1:9">
      <c r="A1759" s="1">
        <v>42702.364583333336</v>
      </c>
      <c r="B1759" s="19">
        <v>42538</v>
      </c>
      <c r="C1759" s="21">
        <v>0.54652777777777772</v>
      </c>
      <c r="D1759" s="20" t="s">
        <v>3039</v>
      </c>
      <c r="E1759" t="s">
        <v>6</v>
      </c>
      <c r="F1759" t="s">
        <v>12</v>
      </c>
      <c r="G1759" t="s">
        <v>1675</v>
      </c>
      <c r="H1759" t="e">
        <v>#VALUE!</v>
      </c>
      <c r="I1759" t="e">
        <f t="shared" si="29"/>
        <v>#VALUE!</v>
      </c>
    </row>
    <row r="1760" spans="1:9">
      <c r="A1760" s="1">
        <v>42702.34375</v>
      </c>
      <c r="B1760" s="19">
        <v>42538</v>
      </c>
      <c r="C1760" s="21">
        <v>0.54236111111111107</v>
      </c>
      <c r="D1760" s="20" t="s">
        <v>3039</v>
      </c>
      <c r="E1760" t="s">
        <v>6</v>
      </c>
      <c r="F1760" t="s">
        <v>12</v>
      </c>
      <c r="G1760" t="s">
        <v>1675</v>
      </c>
      <c r="H1760" t="e">
        <v>#VALUE!</v>
      </c>
      <c r="I1760" t="e">
        <f t="shared" si="29"/>
        <v>#VALUE!</v>
      </c>
    </row>
    <row r="1761" spans="1:9">
      <c r="A1761" s="1">
        <v>42702.325694444444</v>
      </c>
      <c r="B1761" s="19">
        <v>42538</v>
      </c>
      <c r="C1761" s="21">
        <v>0.53333333333333333</v>
      </c>
      <c r="D1761" s="20" t="s">
        <v>3038</v>
      </c>
      <c r="E1761" t="s">
        <v>6</v>
      </c>
      <c r="F1761" t="s">
        <v>12</v>
      </c>
      <c r="G1761" t="s">
        <v>1675</v>
      </c>
      <c r="H1761" t="e">
        <v>#VALUE!</v>
      </c>
      <c r="I1761" t="e">
        <f t="shared" si="29"/>
        <v>#VALUE!</v>
      </c>
    </row>
    <row r="1762" spans="1:9">
      <c r="A1762" s="1">
        <v>42702.324999999997</v>
      </c>
      <c r="B1762" s="19">
        <v>42538</v>
      </c>
      <c r="C1762" s="21">
        <v>0.45208333333333334</v>
      </c>
      <c r="D1762" s="20" t="s">
        <v>3036</v>
      </c>
      <c r="E1762" t="s">
        <v>6</v>
      </c>
      <c r="F1762" t="s">
        <v>12</v>
      </c>
      <c r="G1762" t="s">
        <v>1900</v>
      </c>
      <c r="H1762" t="e">
        <v>#VALUE!</v>
      </c>
      <c r="I1762" t="e">
        <f t="shared" si="29"/>
        <v>#VALUE!</v>
      </c>
    </row>
    <row r="1763" spans="1:9">
      <c r="A1763" s="1">
        <v>42699.956944444442</v>
      </c>
      <c r="B1763" s="19">
        <v>42538</v>
      </c>
      <c r="C1763" s="21">
        <v>0.44097222222222221</v>
      </c>
      <c r="D1763" s="20" t="s">
        <v>3036</v>
      </c>
      <c r="E1763" t="s">
        <v>6</v>
      </c>
      <c r="F1763" t="s">
        <v>12</v>
      </c>
      <c r="G1763" t="s">
        <v>1901</v>
      </c>
      <c r="H1763" t="e">
        <v>#VALUE!</v>
      </c>
      <c r="I1763" t="e">
        <f t="shared" si="29"/>
        <v>#VALUE!</v>
      </c>
    </row>
    <row r="1764" spans="1:9">
      <c r="A1764" s="1">
        <v>42699.919444444444</v>
      </c>
      <c r="B1764" s="19">
        <v>42538</v>
      </c>
      <c r="C1764" s="21">
        <v>0.43888888888888888</v>
      </c>
      <c r="D1764" s="20" t="s">
        <v>3036</v>
      </c>
      <c r="E1764" t="s">
        <v>6</v>
      </c>
      <c r="F1764" t="s">
        <v>12</v>
      </c>
      <c r="G1764" t="s">
        <v>1902</v>
      </c>
      <c r="H1764" t="e">
        <v>#VALUE!</v>
      </c>
      <c r="I1764" t="e">
        <f t="shared" si="29"/>
        <v>#VALUE!</v>
      </c>
    </row>
    <row r="1765" spans="1:9">
      <c r="A1765" s="1">
        <v>42699.705555555556</v>
      </c>
      <c r="B1765" s="19">
        <v>42538</v>
      </c>
      <c r="C1765" s="21">
        <v>0.39305555555555555</v>
      </c>
      <c r="D1765" s="20" t="s">
        <v>3035</v>
      </c>
      <c r="E1765" t="s">
        <v>6</v>
      </c>
      <c r="F1765" t="s">
        <v>12</v>
      </c>
      <c r="G1765" t="s">
        <v>1675</v>
      </c>
      <c r="H1765" t="e">
        <v>#VALUE!</v>
      </c>
      <c r="I1765" t="e">
        <f t="shared" si="29"/>
        <v>#VALUE!</v>
      </c>
    </row>
    <row r="1766" spans="1:9">
      <c r="A1766" s="1">
        <v>42699.694444444445</v>
      </c>
      <c r="B1766" s="19">
        <v>42538</v>
      </c>
      <c r="C1766" s="21">
        <v>0.38055555555555554</v>
      </c>
      <c r="D1766" s="20" t="s">
        <v>3035</v>
      </c>
      <c r="E1766" t="s">
        <v>2</v>
      </c>
      <c r="G1766" t="s">
        <v>1903</v>
      </c>
      <c r="H1766" t="e">
        <v>#VALUE!</v>
      </c>
      <c r="I1766" t="e">
        <f t="shared" si="29"/>
        <v>#VALUE!</v>
      </c>
    </row>
    <row r="1767" spans="1:9">
      <c r="A1767" s="1">
        <v>42699.676388888889</v>
      </c>
      <c r="B1767" s="19">
        <v>42538</v>
      </c>
      <c r="C1767" s="21">
        <v>0.37638888888888888</v>
      </c>
      <c r="D1767" s="20" t="s">
        <v>3035</v>
      </c>
      <c r="E1767" t="s">
        <v>6</v>
      </c>
      <c r="F1767" t="s">
        <v>46</v>
      </c>
      <c r="G1767" t="s">
        <v>1904</v>
      </c>
      <c r="H1767" t="e">
        <v>#VALUE!</v>
      </c>
      <c r="I1767" t="e">
        <f t="shared" si="29"/>
        <v>#VALUE!</v>
      </c>
    </row>
    <row r="1768" spans="1:9">
      <c r="A1768" s="1">
        <v>42699.665277777778</v>
      </c>
      <c r="B1768" s="19">
        <v>42538</v>
      </c>
      <c r="C1768" s="21">
        <v>0.34583333333333333</v>
      </c>
      <c r="D1768" s="20" t="s">
        <v>3034</v>
      </c>
      <c r="E1768" t="s">
        <v>6</v>
      </c>
      <c r="F1768" t="s">
        <v>46</v>
      </c>
      <c r="G1768" t="s">
        <v>1904</v>
      </c>
      <c r="H1768" t="e">
        <v>#VALUE!</v>
      </c>
      <c r="I1768" t="e">
        <f t="shared" si="29"/>
        <v>#VALUE!</v>
      </c>
    </row>
    <row r="1769" spans="1:9">
      <c r="A1769" s="1">
        <v>42699.629861111112</v>
      </c>
      <c r="B1769" s="19">
        <v>42538</v>
      </c>
      <c r="C1769" s="21">
        <v>0.31666666666666665</v>
      </c>
      <c r="D1769" s="20" t="s">
        <v>3033</v>
      </c>
      <c r="E1769" t="s">
        <v>6</v>
      </c>
      <c r="F1769" t="s">
        <v>46</v>
      </c>
      <c r="G1769" t="s">
        <v>1904</v>
      </c>
      <c r="H1769" t="e">
        <v>#VALUE!</v>
      </c>
      <c r="I1769" t="e">
        <f t="shared" si="29"/>
        <v>#VALUE!</v>
      </c>
    </row>
    <row r="1770" spans="1:9">
      <c r="A1770" s="1">
        <v>42699.584722222222</v>
      </c>
      <c r="B1770" s="19">
        <v>42538</v>
      </c>
      <c r="C1770" s="21">
        <v>0.3125</v>
      </c>
      <c r="D1770" s="20" t="s">
        <v>3033</v>
      </c>
      <c r="E1770" t="s">
        <v>6</v>
      </c>
      <c r="F1770" t="s">
        <v>46</v>
      </c>
      <c r="G1770" t="s">
        <v>1904</v>
      </c>
      <c r="H1770" t="e">
        <v>#VALUE!</v>
      </c>
      <c r="I1770" t="e">
        <f t="shared" si="29"/>
        <v>#VALUE!</v>
      </c>
    </row>
    <row r="1771" spans="1:9">
      <c r="A1771" s="1">
        <v>42699.574999999997</v>
      </c>
      <c r="B1771" s="19">
        <v>42538</v>
      </c>
      <c r="C1771" s="21">
        <v>0.30277777777777776</v>
      </c>
      <c r="D1771" s="20" t="s">
        <v>3033</v>
      </c>
      <c r="E1771" t="s">
        <v>6</v>
      </c>
      <c r="F1771" t="s">
        <v>46</v>
      </c>
      <c r="G1771" t="s">
        <v>1904</v>
      </c>
      <c r="H1771" t="e">
        <v>#VALUE!</v>
      </c>
      <c r="I1771" t="e">
        <f t="shared" si="29"/>
        <v>#VALUE!</v>
      </c>
    </row>
    <row r="1772" spans="1:9">
      <c r="A1772" s="1">
        <v>42699.445833333331</v>
      </c>
      <c r="B1772" s="19">
        <v>42541</v>
      </c>
      <c r="C1772" s="21">
        <v>0.71319444444444446</v>
      </c>
      <c r="D1772" s="20" t="s">
        <v>3044</v>
      </c>
      <c r="E1772" t="s">
        <v>0</v>
      </c>
      <c r="G1772" t="s">
        <v>1415</v>
      </c>
      <c r="H1772">
        <v>4</v>
      </c>
      <c r="I1772">
        <f t="shared" si="29"/>
        <v>5</v>
      </c>
    </row>
    <row r="1773" spans="1:9">
      <c r="A1773" s="1">
        <v>42699.352777777778</v>
      </c>
      <c r="B1773" s="19">
        <v>42541</v>
      </c>
      <c r="C1773" s="21">
        <v>0.64027777777777772</v>
      </c>
      <c r="D1773" s="20" t="s">
        <v>3042</v>
      </c>
      <c r="E1773" t="s">
        <v>0</v>
      </c>
      <c r="G1773" t="s">
        <v>1894</v>
      </c>
      <c r="H1773">
        <v>2</v>
      </c>
      <c r="I1773">
        <f t="shared" si="29"/>
        <v>3</v>
      </c>
    </row>
    <row r="1774" spans="1:9">
      <c r="A1774" s="1">
        <v>42699.34652777778</v>
      </c>
      <c r="B1774" s="19">
        <v>42541</v>
      </c>
      <c r="C1774" s="21">
        <v>0.56180555555555556</v>
      </c>
      <c r="D1774" s="20" t="s">
        <v>3039</v>
      </c>
      <c r="E1774" t="s">
        <v>0</v>
      </c>
      <c r="F1774" t="s">
        <v>313</v>
      </c>
      <c r="G1774" t="s">
        <v>1882</v>
      </c>
      <c r="H1774">
        <v>8</v>
      </c>
      <c r="I1774">
        <f t="shared" si="29"/>
        <v>10</v>
      </c>
    </row>
    <row r="1775" spans="1:9">
      <c r="A1775" s="1">
        <v>42699.309027777781</v>
      </c>
      <c r="B1775" s="19">
        <v>42541</v>
      </c>
      <c r="C1775" s="21">
        <v>0.51180555555555551</v>
      </c>
      <c r="D1775" s="20" t="s">
        <v>3038</v>
      </c>
      <c r="E1775" t="s">
        <v>0</v>
      </c>
      <c r="G1775" t="s">
        <v>1882</v>
      </c>
      <c r="H1775">
        <v>8</v>
      </c>
      <c r="I1775">
        <f t="shared" si="29"/>
        <v>10</v>
      </c>
    </row>
    <row r="1776" spans="1:9">
      <c r="A1776" s="1">
        <v>42699.275000000001</v>
      </c>
      <c r="B1776" s="19">
        <v>42541</v>
      </c>
      <c r="C1776" s="21">
        <v>0.38124999999999998</v>
      </c>
      <c r="D1776" s="20" t="s">
        <v>3035</v>
      </c>
      <c r="E1776" t="s">
        <v>33</v>
      </c>
      <c r="F1776" t="s">
        <v>44</v>
      </c>
      <c r="G1776" t="s">
        <v>1896</v>
      </c>
      <c r="H1776">
        <v>19</v>
      </c>
      <c r="I1776">
        <f t="shared" si="29"/>
        <v>24</v>
      </c>
    </row>
    <row r="1777" spans="1:9">
      <c r="A1777" s="1">
        <v>42699.25</v>
      </c>
      <c r="B1777" s="19">
        <v>42541</v>
      </c>
      <c r="C1777" s="21">
        <v>0.33263888888888887</v>
      </c>
      <c r="D1777" s="20" t="s">
        <v>3033</v>
      </c>
      <c r="E1777" t="s">
        <v>0</v>
      </c>
      <c r="F1777" t="s">
        <v>313</v>
      </c>
      <c r="G1777" t="s">
        <v>1882</v>
      </c>
      <c r="H1777">
        <v>8</v>
      </c>
      <c r="I1777">
        <f t="shared" si="29"/>
        <v>10</v>
      </c>
    </row>
    <row r="1778" spans="1:9">
      <c r="A1778" s="1">
        <v>42699.043749999997</v>
      </c>
      <c r="B1778" s="19">
        <v>42541</v>
      </c>
      <c r="C1778" s="21">
        <v>0.24930555555555556</v>
      </c>
      <c r="D1778" s="20" t="s">
        <v>3055</v>
      </c>
      <c r="E1778" t="s">
        <v>0</v>
      </c>
      <c r="G1778" t="s">
        <v>1898</v>
      </c>
      <c r="H1778">
        <v>7</v>
      </c>
      <c r="I1778">
        <f t="shared" si="29"/>
        <v>9</v>
      </c>
    </row>
    <row r="1779" spans="1:9">
      <c r="A1779" s="1">
        <v>42699.018055555556</v>
      </c>
      <c r="B1779" s="19">
        <v>42541</v>
      </c>
      <c r="C1779" s="21">
        <v>0.99930555555555556</v>
      </c>
      <c r="D1779" s="20" t="s">
        <v>3063</v>
      </c>
      <c r="E1779" t="s">
        <v>2</v>
      </c>
      <c r="F1779" t="s">
        <v>5</v>
      </c>
      <c r="G1779" t="s">
        <v>1891</v>
      </c>
      <c r="H1779">
        <v>75</v>
      </c>
      <c r="I1779">
        <f t="shared" si="29"/>
        <v>93</v>
      </c>
    </row>
    <row r="1780" spans="1:9">
      <c r="A1780" s="1">
        <v>42699.011805555558</v>
      </c>
      <c r="B1780" s="19">
        <v>42541</v>
      </c>
      <c r="C1780" s="21">
        <v>0.95902777777777781</v>
      </c>
      <c r="D1780" s="20" t="s">
        <v>3063</v>
      </c>
      <c r="E1780" t="s">
        <v>2</v>
      </c>
      <c r="F1780" t="s">
        <v>5</v>
      </c>
      <c r="G1780" t="s">
        <v>1891</v>
      </c>
      <c r="H1780">
        <v>75</v>
      </c>
      <c r="I1780">
        <f t="shared" si="29"/>
        <v>93</v>
      </c>
    </row>
    <row r="1781" spans="1:9">
      <c r="A1781" s="1">
        <v>42699.685416666667</v>
      </c>
      <c r="B1781" s="19">
        <v>42541</v>
      </c>
      <c r="C1781" s="21">
        <v>0.94305555555555554</v>
      </c>
      <c r="D1781" s="20" t="s">
        <v>3049</v>
      </c>
      <c r="E1781" t="s">
        <v>2</v>
      </c>
      <c r="F1781" t="s">
        <v>5</v>
      </c>
      <c r="G1781" t="s">
        <v>1891</v>
      </c>
      <c r="H1781">
        <v>28</v>
      </c>
      <c r="I1781">
        <f t="shared" si="29"/>
        <v>35</v>
      </c>
    </row>
    <row r="1782" spans="1:9">
      <c r="A1782" s="1">
        <v>42699.669444444444</v>
      </c>
      <c r="B1782" s="19">
        <v>42541</v>
      </c>
      <c r="C1782" s="21">
        <v>0.93611111111111112</v>
      </c>
      <c r="D1782" s="20" t="s">
        <v>3049</v>
      </c>
      <c r="E1782" t="s">
        <v>6</v>
      </c>
      <c r="F1782" t="s">
        <v>21</v>
      </c>
      <c r="G1782" t="s">
        <v>1892</v>
      </c>
      <c r="H1782">
        <v>13</v>
      </c>
      <c r="I1782">
        <f t="shared" si="29"/>
        <v>17</v>
      </c>
    </row>
    <row r="1783" spans="1:9">
      <c r="A1783" s="1">
        <v>42699.59097222222</v>
      </c>
      <c r="B1783" s="19">
        <v>42541</v>
      </c>
      <c r="C1783" s="21">
        <v>0.7895833333333333</v>
      </c>
      <c r="D1783" s="20" t="s">
        <v>3045</v>
      </c>
      <c r="E1783" t="s">
        <v>6</v>
      </c>
      <c r="F1783" t="s">
        <v>89</v>
      </c>
      <c r="G1783" t="s">
        <v>1893</v>
      </c>
      <c r="H1783">
        <v>17</v>
      </c>
      <c r="I1783">
        <f t="shared" si="29"/>
        <v>22</v>
      </c>
    </row>
    <row r="1784" spans="1:9">
      <c r="A1784" s="1">
        <v>42699.541666666664</v>
      </c>
      <c r="B1784" s="19">
        <v>42541</v>
      </c>
      <c r="C1784" s="21">
        <v>0.52083333333333337</v>
      </c>
      <c r="D1784" s="20" t="s">
        <v>3038</v>
      </c>
      <c r="E1784" t="s">
        <v>2</v>
      </c>
      <c r="F1784" t="s">
        <v>56</v>
      </c>
      <c r="G1784" t="s">
        <v>1895</v>
      </c>
      <c r="H1784">
        <v>5</v>
      </c>
      <c r="I1784">
        <f t="shared" si="29"/>
        <v>7</v>
      </c>
    </row>
    <row r="1785" spans="1:9">
      <c r="A1785" s="1">
        <v>42699.255555555559</v>
      </c>
      <c r="B1785" s="19">
        <v>42541</v>
      </c>
      <c r="C1785" s="21">
        <v>0.50208333333333333</v>
      </c>
      <c r="D1785" s="20" t="s">
        <v>3038</v>
      </c>
      <c r="E1785" t="s">
        <v>6</v>
      </c>
      <c r="F1785" t="s">
        <v>12</v>
      </c>
      <c r="G1785" t="s">
        <v>1675</v>
      </c>
      <c r="H1785">
        <v>4</v>
      </c>
      <c r="I1785">
        <f t="shared" si="29"/>
        <v>5</v>
      </c>
    </row>
    <row r="1786" spans="1:9">
      <c r="A1786" s="1">
        <v>42698.540972222225</v>
      </c>
      <c r="B1786" s="19">
        <v>42541</v>
      </c>
      <c r="C1786" s="21">
        <v>0.44027777777777777</v>
      </c>
      <c r="D1786" s="20" t="s">
        <v>3036</v>
      </c>
      <c r="E1786" t="s">
        <v>6</v>
      </c>
      <c r="F1786" t="s">
        <v>46</v>
      </c>
      <c r="G1786" t="s">
        <v>1722</v>
      </c>
      <c r="H1786">
        <v>4</v>
      </c>
      <c r="I1786">
        <f t="shared" si="29"/>
        <v>5</v>
      </c>
    </row>
    <row r="1787" spans="1:9">
      <c r="A1787" s="1">
        <v>42698.594444444447</v>
      </c>
      <c r="B1787" s="19">
        <v>42541</v>
      </c>
      <c r="C1787" s="21">
        <v>0.35069444444444442</v>
      </c>
      <c r="D1787" s="20" t="s">
        <v>3034</v>
      </c>
      <c r="E1787" t="s">
        <v>6</v>
      </c>
      <c r="F1787" t="s">
        <v>12</v>
      </c>
      <c r="G1787" t="s">
        <v>1675</v>
      </c>
      <c r="H1787">
        <v>4</v>
      </c>
      <c r="I1787">
        <f t="shared" si="29"/>
        <v>5</v>
      </c>
    </row>
    <row r="1788" spans="1:9">
      <c r="A1788" s="1">
        <v>42698.563888888886</v>
      </c>
      <c r="B1788" s="19">
        <v>42541</v>
      </c>
      <c r="C1788" s="21">
        <v>0.34444444444444444</v>
      </c>
      <c r="D1788" s="20" t="s">
        <v>3034</v>
      </c>
      <c r="E1788" t="s">
        <v>6</v>
      </c>
      <c r="F1788" t="s">
        <v>12</v>
      </c>
      <c r="G1788" t="s">
        <v>1675</v>
      </c>
      <c r="H1788">
        <v>9</v>
      </c>
      <c r="I1788">
        <f t="shared" si="29"/>
        <v>12</v>
      </c>
    </row>
    <row r="1789" spans="1:9">
      <c r="A1789" s="1">
        <v>42698.459027777775</v>
      </c>
      <c r="B1789" s="19">
        <v>42541</v>
      </c>
      <c r="C1789" s="21">
        <v>0.33055555555555555</v>
      </c>
      <c r="D1789" s="20" t="s">
        <v>3033</v>
      </c>
      <c r="E1789" t="s">
        <v>6</v>
      </c>
      <c r="F1789" t="s">
        <v>12</v>
      </c>
      <c r="G1789" t="s">
        <v>1675</v>
      </c>
      <c r="H1789">
        <v>4</v>
      </c>
      <c r="I1789">
        <f t="shared" si="29"/>
        <v>5</v>
      </c>
    </row>
    <row r="1790" spans="1:9">
      <c r="A1790" s="1">
        <v>42698.458333333336</v>
      </c>
      <c r="B1790" s="19">
        <v>42541</v>
      </c>
      <c r="C1790" s="21">
        <v>0.25486111111111109</v>
      </c>
      <c r="D1790" s="20" t="s">
        <v>3031</v>
      </c>
      <c r="E1790" t="s">
        <v>6</v>
      </c>
      <c r="F1790" t="s">
        <v>12</v>
      </c>
      <c r="G1790" t="s">
        <v>1897</v>
      </c>
      <c r="H1790" t="e">
        <v>#VALUE!</v>
      </c>
      <c r="I1790" t="e">
        <f t="shared" si="29"/>
        <v>#VALUE!</v>
      </c>
    </row>
    <row r="1791" spans="1:9">
      <c r="A1791" s="1">
        <v>42697.270833333336</v>
      </c>
      <c r="B1791" s="19">
        <v>42542</v>
      </c>
      <c r="C1791" s="21">
        <v>0.93958333333333333</v>
      </c>
      <c r="D1791" s="20" t="s">
        <v>3049</v>
      </c>
      <c r="E1791" t="s">
        <v>0</v>
      </c>
      <c r="F1791" t="s">
        <v>75</v>
      </c>
      <c r="G1791" t="s">
        <v>1875</v>
      </c>
      <c r="H1791">
        <v>4</v>
      </c>
      <c r="I1791">
        <f t="shared" si="29"/>
        <v>5</v>
      </c>
    </row>
    <row r="1792" spans="1:9">
      <c r="A1792" s="1">
        <v>42697.259722222225</v>
      </c>
      <c r="B1792" s="19">
        <v>42542</v>
      </c>
      <c r="C1792" s="21">
        <v>0.8618055555555556</v>
      </c>
      <c r="D1792" s="20" t="s">
        <v>3047</v>
      </c>
      <c r="E1792" t="s">
        <v>33</v>
      </c>
      <c r="G1792" t="s">
        <v>1059</v>
      </c>
      <c r="H1792">
        <v>3</v>
      </c>
      <c r="I1792">
        <f t="shared" si="29"/>
        <v>4</v>
      </c>
    </row>
    <row r="1793" spans="1:9">
      <c r="A1793" s="1">
        <v>42697.586805555555</v>
      </c>
      <c r="B1793" s="19">
        <v>42542</v>
      </c>
      <c r="C1793" s="21">
        <v>0.39513888888888887</v>
      </c>
      <c r="D1793" s="20" t="s">
        <v>3035</v>
      </c>
      <c r="E1793" t="s">
        <v>33</v>
      </c>
      <c r="F1793" t="s">
        <v>44</v>
      </c>
      <c r="G1793" t="s">
        <v>1881</v>
      </c>
      <c r="H1793" t="e">
        <v>#VALUE!</v>
      </c>
      <c r="I1793" t="e">
        <f t="shared" si="29"/>
        <v>#VALUE!</v>
      </c>
    </row>
    <row r="1794" spans="1:9">
      <c r="A1794" s="1">
        <v>42697.584027777775</v>
      </c>
      <c r="B1794" s="19">
        <v>42542</v>
      </c>
      <c r="C1794" s="21">
        <v>0.34375</v>
      </c>
      <c r="D1794" s="20" t="s">
        <v>3034</v>
      </c>
      <c r="E1794" t="s">
        <v>0</v>
      </c>
      <c r="F1794" t="s">
        <v>313</v>
      </c>
      <c r="G1794" t="s">
        <v>1882</v>
      </c>
      <c r="H1794">
        <v>8</v>
      </c>
      <c r="I1794">
        <f t="shared" si="29"/>
        <v>10</v>
      </c>
    </row>
    <row r="1795" spans="1:9">
      <c r="A1795" s="1">
        <v>42697.428472222222</v>
      </c>
      <c r="B1795" s="19">
        <v>42542</v>
      </c>
      <c r="C1795" s="21">
        <v>0.2951388888888889</v>
      </c>
      <c r="D1795" s="20" t="s">
        <v>3033</v>
      </c>
      <c r="E1795" t="s">
        <v>0</v>
      </c>
      <c r="F1795" t="s">
        <v>313</v>
      </c>
      <c r="G1795" t="s">
        <v>1882</v>
      </c>
      <c r="H1795">
        <v>8</v>
      </c>
      <c r="I1795">
        <f t="shared" ref="I1795:I1858" si="30">ROUNDUP((H1795*1.24), 0)</f>
        <v>10</v>
      </c>
    </row>
    <row r="1796" spans="1:9">
      <c r="A1796" s="1">
        <v>42697.255555555559</v>
      </c>
      <c r="B1796" s="19">
        <v>42542</v>
      </c>
      <c r="C1796" s="21">
        <v>0.27013888888888887</v>
      </c>
      <c r="D1796" s="20" t="s">
        <v>3031</v>
      </c>
      <c r="E1796" t="s">
        <v>149</v>
      </c>
      <c r="F1796" t="s">
        <v>150</v>
      </c>
      <c r="G1796" t="s">
        <v>1883</v>
      </c>
      <c r="H1796">
        <v>18</v>
      </c>
      <c r="I1796">
        <f t="shared" si="30"/>
        <v>23</v>
      </c>
    </row>
    <row r="1797" spans="1:9">
      <c r="A1797" s="1">
        <v>42696.963888888888</v>
      </c>
      <c r="B1797" s="19">
        <v>42542</v>
      </c>
      <c r="C1797" s="21">
        <v>0.25069444444444444</v>
      </c>
      <c r="D1797" s="20" t="s">
        <v>3031</v>
      </c>
      <c r="E1797" t="s">
        <v>0</v>
      </c>
      <c r="G1797" t="s">
        <v>1884</v>
      </c>
      <c r="H1797" t="e">
        <v>#VALUE!</v>
      </c>
      <c r="I1797" t="e">
        <f t="shared" si="30"/>
        <v>#VALUE!</v>
      </c>
    </row>
    <row r="1798" spans="1:9">
      <c r="A1798" s="1">
        <v>42696.932638888888</v>
      </c>
      <c r="B1798" s="19">
        <v>42542</v>
      </c>
      <c r="C1798" s="21">
        <v>0.15486111111111112</v>
      </c>
      <c r="D1798" s="20" t="s">
        <v>3053</v>
      </c>
      <c r="E1798" t="s">
        <v>33</v>
      </c>
      <c r="F1798" t="s">
        <v>44</v>
      </c>
      <c r="G1798" t="s">
        <v>1887</v>
      </c>
      <c r="H1798">
        <v>13</v>
      </c>
      <c r="I1798">
        <f t="shared" si="30"/>
        <v>17</v>
      </c>
    </row>
    <row r="1799" spans="1:9">
      <c r="A1799" s="1">
        <v>42696.890972222223</v>
      </c>
      <c r="B1799" s="19">
        <v>42542</v>
      </c>
      <c r="C1799" s="21">
        <v>0.75069444444444444</v>
      </c>
      <c r="D1799" s="20" t="s">
        <v>3045</v>
      </c>
      <c r="E1799" t="s">
        <v>6</v>
      </c>
      <c r="F1799" t="s">
        <v>21</v>
      </c>
      <c r="G1799" t="s">
        <v>1876</v>
      </c>
      <c r="H1799" t="e">
        <v>#VALUE!</v>
      </c>
      <c r="I1799" t="e">
        <f t="shared" si="30"/>
        <v>#VALUE!</v>
      </c>
    </row>
    <row r="1800" spans="1:9">
      <c r="A1800" s="1">
        <v>42696.599305555559</v>
      </c>
      <c r="B1800" s="19">
        <v>42542</v>
      </c>
      <c r="C1800" s="21">
        <v>0.60347222222222219</v>
      </c>
      <c r="D1800" s="20" t="s">
        <v>3040</v>
      </c>
      <c r="E1800" t="s">
        <v>2</v>
      </c>
      <c r="F1800" t="s">
        <v>48</v>
      </c>
      <c r="H1800">
        <v>20</v>
      </c>
      <c r="I1800">
        <f t="shared" si="30"/>
        <v>25</v>
      </c>
    </row>
    <row r="1801" spans="1:9">
      <c r="A1801" s="1">
        <v>42696.597916666666</v>
      </c>
      <c r="B1801" s="19">
        <v>42542</v>
      </c>
      <c r="C1801" s="21">
        <v>0.58819444444444446</v>
      </c>
      <c r="D1801" s="20" t="s">
        <v>3040</v>
      </c>
      <c r="E1801" t="s">
        <v>6</v>
      </c>
      <c r="F1801" t="s">
        <v>12</v>
      </c>
      <c r="G1801" t="s">
        <v>1877</v>
      </c>
      <c r="H1801">
        <v>28</v>
      </c>
      <c r="I1801">
        <f t="shared" si="30"/>
        <v>35</v>
      </c>
    </row>
    <row r="1802" spans="1:9">
      <c r="A1802" s="1">
        <v>42696.503472222219</v>
      </c>
      <c r="B1802" s="19">
        <v>42542</v>
      </c>
      <c r="C1802" s="21">
        <v>0.52013888888888893</v>
      </c>
      <c r="D1802" s="20" t="s">
        <v>3038</v>
      </c>
      <c r="E1802" t="s">
        <v>6</v>
      </c>
      <c r="F1802" t="s">
        <v>12</v>
      </c>
      <c r="G1802" t="s">
        <v>1675</v>
      </c>
      <c r="H1802">
        <v>4</v>
      </c>
      <c r="I1802">
        <f t="shared" si="30"/>
        <v>5</v>
      </c>
    </row>
    <row r="1803" spans="1:9">
      <c r="A1803" s="1">
        <v>42696.388888888891</v>
      </c>
      <c r="B1803" s="19">
        <v>42542</v>
      </c>
      <c r="C1803" s="21">
        <v>0.51527777777777772</v>
      </c>
      <c r="D1803" s="20" t="s">
        <v>3038</v>
      </c>
      <c r="E1803" t="s">
        <v>2</v>
      </c>
      <c r="F1803" t="s">
        <v>48</v>
      </c>
      <c r="G1803" t="s">
        <v>969</v>
      </c>
      <c r="H1803">
        <v>9</v>
      </c>
      <c r="I1803">
        <f t="shared" si="30"/>
        <v>12</v>
      </c>
    </row>
    <row r="1804" spans="1:9">
      <c r="A1804" s="1">
        <v>42696.361805555556</v>
      </c>
      <c r="B1804" s="19">
        <v>42542</v>
      </c>
      <c r="C1804" s="21">
        <v>0.48194444444444445</v>
      </c>
      <c r="D1804" s="20" t="s">
        <v>3037</v>
      </c>
      <c r="E1804" t="s">
        <v>6</v>
      </c>
      <c r="F1804" t="s">
        <v>12</v>
      </c>
      <c r="G1804" t="s">
        <v>1878</v>
      </c>
      <c r="H1804">
        <v>25</v>
      </c>
      <c r="I1804">
        <f t="shared" si="30"/>
        <v>31</v>
      </c>
    </row>
    <row r="1805" spans="1:9">
      <c r="A1805" s="1">
        <v>42696.348611111112</v>
      </c>
      <c r="B1805" s="19">
        <v>42542</v>
      </c>
      <c r="C1805" s="21">
        <v>0.47986111111111113</v>
      </c>
      <c r="D1805" s="20" t="s">
        <v>3037</v>
      </c>
      <c r="E1805" t="s">
        <v>6</v>
      </c>
      <c r="F1805" t="s">
        <v>12</v>
      </c>
      <c r="G1805" t="s">
        <v>1879</v>
      </c>
      <c r="H1805">
        <v>10</v>
      </c>
      <c r="I1805">
        <f t="shared" si="30"/>
        <v>13</v>
      </c>
    </row>
    <row r="1806" spans="1:9">
      <c r="A1806" s="1">
        <v>42696.345138888886</v>
      </c>
      <c r="B1806" s="19">
        <v>42542</v>
      </c>
      <c r="C1806" s="21">
        <v>0.45902777777777776</v>
      </c>
      <c r="D1806" s="20" t="s">
        <v>3037</v>
      </c>
      <c r="E1806" t="s">
        <v>6</v>
      </c>
      <c r="F1806" t="s">
        <v>12</v>
      </c>
      <c r="G1806" t="s">
        <v>1675</v>
      </c>
      <c r="H1806">
        <v>4</v>
      </c>
      <c r="I1806">
        <f t="shared" si="30"/>
        <v>5</v>
      </c>
    </row>
    <row r="1807" spans="1:9">
      <c r="A1807" s="1">
        <v>42696.262499999997</v>
      </c>
      <c r="B1807" s="19">
        <v>42542</v>
      </c>
      <c r="C1807" s="21">
        <v>0.4548611111111111</v>
      </c>
      <c r="D1807" s="20" t="s">
        <v>3036</v>
      </c>
      <c r="E1807" t="s">
        <v>6</v>
      </c>
      <c r="F1807" t="s">
        <v>12</v>
      </c>
      <c r="G1807" t="s">
        <v>1880</v>
      </c>
      <c r="H1807">
        <v>8</v>
      </c>
      <c r="I1807">
        <f t="shared" si="30"/>
        <v>10</v>
      </c>
    </row>
    <row r="1808" spans="1:9">
      <c r="A1808" s="1">
        <v>42696.206250000003</v>
      </c>
      <c r="B1808" s="19">
        <v>42542</v>
      </c>
      <c r="C1808" s="21">
        <v>0.3659722222222222</v>
      </c>
      <c r="D1808" s="20" t="s">
        <v>3034</v>
      </c>
      <c r="E1808" t="s">
        <v>6</v>
      </c>
      <c r="F1808" t="s">
        <v>12</v>
      </c>
      <c r="G1808" t="s">
        <v>1675</v>
      </c>
      <c r="H1808">
        <v>4</v>
      </c>
      <c r="I1808">
        <f t="shared" si="30"/>
        <v>5</v>
      </c>
    </row>
    <row r="1809" spans="1:9">
      <c r="A1809" s="1">
        <v>42696.177777777775</v>
      </c>
      <c r="B1809" s="19">
        <v>42542</v>
      </c>
      <c r="C1809" s="21">
        <v>0.31805555555555554</v>
      </c>
      <c r="D1809" s="20" t="s">
        <v>3033</v>
      </c>
      <c r="E1809" t="s">
        <v>6</v>
      </c>
      <c r="F1809" t="s">
        <v>46</v>
      </c>
      <c r="G1809" t="s">
        <v>1722</v>
      </c>
      <c r="H1809">
        <v>4</v>
      </c>
      <c r="I1809">
        <f t="shared" si="30"/>
        <v>5</v>
      </c>
    </row>
    <row r="1810" spans="1:9">
      <c r="A1810" s="1">
        <v>42696.142361111109</v>
      </c>
      <c r="B1810" s="19">
        <v>42542</v>
      </c>
      <c r="C1810" s="21">
        <v>0.30833333333333335</v>
      </c>
      <c r="D1810" s="20" t="s">
        <v>3033</v>
      </c>
      <c r="E1810" t="s">
        <v>6</v>
      </c>
      <c r="F1810" t="s">
        <v>46</v>
      </c>
      <c r="G1810" t="s">
        <v>1722</v>
      </c>
      <c r="H1810">
        <v>4</v>
      </c>
      <c r="I1810">
        <f t="shared" si="30"/>
        <v>5</v>
      </c>
    </row>
    <row r="1811" spans="1:9">
      <c r="A1811" s="1">
        <v>42696.800000000003</v>
      </c>
      <c r="B1811" s="19">
        <v>42542</v>
      </c>
      <c r="C1811" s="21">
        <v>0.25694444444444442</v>
      </c>
      <c r="D1811" s="20" t="s">
        <v>3031</v>
      </c>
      <c r="E1811" t="s">
        <v>6</v>
      </c>
      <c r="F1811" t="s">
        <v>12</v>
      </c>
      <c r="G1811" t="s">
        <v>1675</v>
      </c>
      <c r="H1811">
        <v>5</v>
      </c>
      <c r="I1811">
        <f t="shared" si="30"/>
        <v>7</v>
      </c>
    </row>
    <row r="1812" spans="1:9">
      <c r="A1812" s="1">
        <v>42696.569444444445</v>
      </c>
      <c r="B1812" s="19">
        <v>42542</v>
      </c>
      <c r="C1812" s="21">
        <v>0.17222222222222222</v>
      </c>
      <c r="D1812" s="20" t="s">
        <v>3054</v>
      </c>
      <c r="E1812" t="s">
        <v>2</v>
      </c>
      <c r="F1812" t="s">
        <v>3</v>
      </c>
      <c r="G1812" t="s">
        <v>1885</v>
      </c>
      <c r="H1812">
        <v>13</v>
      </c>
      <c r="I1812">
        <f t="shared" si="30"/>
        <v>17</v>
      </c>
    </row>
    <row r="1813" spans="1:9">
      <c r="A1813" s="1">
        <v>42696.165972222225</v>
      </c>
      <c r="B1813" s="19">
        <v>42542</v>
      </c>
      <c r="C1813" s="21">
        <v>0.16319444444444445</v>
      </c>
      <c r="D1813" s="20" t="s">
        <v>3053</v>
      </c>
      <c r="E1813" t="s">
        <v>6</v>
      </c>
      <c r="F1813" t="s">
        <v>21</v>
      </c>
      <c r="G1813" t="s">
        <v>1886</v>
      </c>
      <c r="H1813">
        <v>7</v>
      </c>
      <c r="I1813">
        <f t="shared" si="30"/>
        <v>9</v>
      </c>
    </row>
    <row r="1814" spans="1:9">
      <c r="A1814" s="1">
        <v>42695.925000000003</v>
      </c>
      <c r="B1814" s="19">
        <v>42542</v>
      </c>
      <c r="C1814" s="21">
        <v>0.12638888888888888</v>
      </c>
      <c r="D1814" s="20" t="s">
        <v>3053</v>
      </c>
      <c r="E1814" t="s">
        <v>6</v>
      </c>
      <c r="G1814" t="s">
        <v>1888</v>
      </c>
      <c r="H1814">
        <v>19</v>
      </c>
      <c r="I1814">
        <f t="shared" si="30"/>
        <v>24</v>
      </c>
    </row>
    <row r="1815" spans="1:9">
      <c r="A1815" s="1">
        <v>42695.779166666667</v>
      </c>
      <c r="B1815" s="19">
        <v>42542</v>
      </c>
      <c r="C1815" s="21">
        <v>0.11666666666666667</v>
      </c>
      <c r="D1815" s="20" t="s">
        <v>3052</v>
      </c>
      <c r="E1815" t="s">
        <v>6</v>
      </c>
      <c r="F1815" t="s">
        <v>26</v>
      </c>
      <c r="G1815" t="s">
        <v>1889</v>
      </c>
      <c r="H1815">
        <v>9</v>
      </c>
      <c r="I1815">
        <f t="shared" si="30"/>
        <v>12</v>
      </c>
    </row>
    <row r="1816" spans="1:9">
      <c r="A1816" s="1">
        <v>42695.645833333336</v>
      </c>
      <c r="B1816" s="19">
        <v>42542</v>
      </c>
      <c r="C1816" s="21">
        <v>4.2361111111111113E-2</v>
      </c>
      <c r="D1816" s="20" t="s">
        <v>3051</v>
      </c>
      <c r="E1816" t="s">
        <v>6</v>
      </c>
      <c r="F1816" t="s">
        <v>21</v>
      </c>
      <c r="G1816" t="s">
        <v>1890</v>
      </c>
      <c r="H1816">
        <v>50</v>
      </c>
      <c r="I1816">
        <f t="shared" si="30"/>
        <v>62</v>
      </c>
    </row>
    <row r="1817" spans="1:9">
      <c r="A1817" s="1">
        <v>42695.617361111108</v>
      </c>
      <c r="B1817" s="19">
        <v>42543</v>
      </c>
      <c r="C1817" s="21">
        <v>0.47499999999999998</v>
      </c>
      <c r="D1817" s="20" t="s">
        <v>3037</v>
      </c>
      <c r="E1817" t="s">
        <v>18</v>
      </c>
      <c r="F1817" t="s">
        <v>19</v>
      </c>
      <c r="G1817" t="s">
        <v>1871</v>
      </c>
      <c r="H1817">
        <v>7</v>
      </c>
      <c r="I1817">
        <f t="shared" si="30"/>
        <v>9</v>
      </c>
    </row>
    <row r="1818" spans="1:9">
      <c r="A1818" s="1">
        <v>42695.293055555558</v>
      </c>
      <c r="B1818" s="19">
        <v>42543</v>
      </c>
      <c r="C1818" s="21">
        <v>0.45555555555555555</v>
      </c>
      <c r="D1818" s="20" t="s">
        <v>3036</v>
      </c>
      <c r="E1818" t="s">
        <v>77</v>
      </c>
      <c r="F1818" t="s">
        <v>78</v>
      </c>
      <c r="G1818" t="s">
        <v>1598</v>
      </c>
      <c r="H1818">
        <v>4</v>
      </c>
      <c r="I1818">
        <f t="shared" si="30"/>
        <v>5</v>
      </c>
    </row>
    <row r="1819" spans="1:9">
      <c r="A1819" s="1">
        <v>42695.285416666666</v>
      </c>
      <c r="B1819" s="19">
        <v>42543</v>
      </c>
      <c r="C1819" s="21">
        <v>0.26111111111111113</v>
      </c>
      <c r="D1819" s="20" t="s">
        <v>3031</v>
      </c>
      <c r="E1819" t="s">
        <v>77</v>
      </c>
      <c r="F1819" t="s">
        <v>159</v>
      </c>
      <c r="G1819" t="s">
        <v>1874</v>
      </c>
      <c r="H1819">
        <v>5</v>
      </c>
      <c r="I1819">
        <f t="shared" si="30"/>
        <v>7</v>
      </c>
    </row>
    <row r="1820" spans="1:9">
      <c r="A1820" s="1">
        <v>42695.259027777778</v>
      </c>
      <c r="B1820" s="19">
        <v>42543</v>
      </c>
      <c r="C1820" s="21">
        <v>0.1701388888888889</v>
      </c>
      <c r="D1820" s="20" t="s">
        <v>3054</v>
      </c>
      <c r="H1820">
        <v>0</v>
      </c>
      <c r="I1820">
        <f t="shared" si="30"/>
        <v>0</v>
      </c>
    </row>
    <row r="1821" spans="1:9" ht="28.8">
      <c r="A1821" s="1">
        <v>42695.999305555553</v>
      </c>
      <c r="B1821" s="19">
        <v>42543</v>
      </c>
      <c r="C1821" s="21">
        <v>0.58611111111111114</v>
      </c>
      <c r="D1821" s="20" t="s">
        <v>3040</v>
      </c>
      <c r="E1821" t="s">
        <v>6</v>
      </c>
      <c r="F1821" t="s">
        <v>12</v>
      </c>
      <c r="G1821" s="2" t="s">
        <v>1870</v>
      </c>
      <c r="H1821">
        <v>12</v>
      </c>
      <c r="I1821">
        <f t="shared" si="30"/>
        <v>15</v>
      </c>
    </row>
    <row r="1822" spans="1:9">
      <c r="A1822" s="1">
        <v>42695.840277777781</v>
      </c>
      <c r="B1822" s="19">
        <v>42543</v>
      </c>
      <c r="C1822" s="21">
        <v>0.57361111111111107</v>
      </c>
      <c r="D1822" s="20" t="s">
        <v>3039</v>
      </c>
      <c r="E1822" t="s">
        <v>6</v>
      </c>
      <c r="F1822" t="s">
        <v>46</v>
      </c>
      <c r="G1822" t="s">
        <v>1722</v>
      </c>
      <c r="H1822">
        <v>4</v>
      </c>
      <c r="I1822">
        <f t="shared" si="30"/>
        <v>5</v>
      </c>
    </row>
    <row r="1823" spans="1:9">
      <c r="A1823" s="1">
        <v>42695.677083333336</v>
      </c>
      <c r="B1823" s="19">
        <v>42543</v>
      </c>
      <c r="C1823" s="21">
        <v>0.52430555555555558</v>
      </c>
      <c r="D1823" s="20" t="s">
        <v>3038</v>
      </c>
      <c r="E1823" t="s">
        <v>6</v>
      </c>
      <c r="F1823" t="s">
        <v>46</v>
      </c>
      <c r="G1823" t="s">
        <v>1722</v>
      </c>
      <c r="H1823">
        <v>4</v>
      </c>
      <c r="I1823">
        <f t="shared" si="30"/>
        <v>5</v>
      </c>
    </row>
    <row r="1824" spans="1:9">
      <c r="A1824" s="1">
        <v>42695.588888888888</v>
      </c>
      <c r="B1824" s="19">
        <v>42543</v>
      </c>
      <c r="C1824" s="21">
        <v>0.38958333333333334</v>
      </c>
      <c r="D1824" s="20" t="s">
        <v>3035</v>
      </c>
      <c r="E1824" t="s">
        <v>6</v>
      </c>
      <c r="F1824" t="s">
        <v>26</v>
      </c>
      <c r="G1824" t="s">
        <v>1872</v>
      </c>
      <c r="H1824">
        <v>25</v>
      </c>
      <c r="I1824">
        <f t="shared" si="30"/>
        <v>31</v>
      </c>
    </row>
    <row r="1825" spans="1:9">
      <c r="A1825" s="1">
        <v>42695.285416666666</v>
      </c>
      <c r="B1825" s="19">
        <v>42543</v>
      </c>
      <c r="C1825" s="21">
        <v>0.38333333333333336</v>
      </c>
      <c r="D1825" s="20" t="s">
        <v>3035</v>
      </c>
      <c r="E1825" t="s">
        <v>6</v>
      </c>
      <c r="F1825" t="s">
        <v>21</v>
      </c>
      <c r="G1825" t="s">
        <v>1873</v>
      </c>
      <c r="H1825">
        <v>13</v>
      </c>
      <c r="I1825">
        <f t="shared" si="30"/>
        <v>17</v>
      </c>
    </row>
    <row r="1826" spans="1:9">
      <c r="A1826" s="1">
        <v>42695.260416666664</v>
      </c>
      <c r="B1826" s="19">
        <v>42543</v>
      </c>
      <c r="C1826" s="21">
        <v>0.27986111111111112</v>
      </c>
      <c r="D1826" s="20" t="s">
        <v>3031</v>
      </c>
      <c r="E1826" t="s">
        <v>2</v>
      </c>
      <c r="F1826" t="s">
        <v>56</v>
      </c>
      <c r="G1826" t="s">
        <v>1827</v>
      </c>
      <c r="H1826">
        <v>50</v>
      </c>
      <c r="I1826">
        <f t="shared" si="30"/>
        <v>62</v>
      </c>
    </row>
    <row r="1827" spans="1:9">
      <c r="A1827" s="1">
        <v>42695.23541666667</v>
      </c>
      <c r="B1827" s="19">
        <v>42543</v>
      </c>
      <c r="C1827" s="21">
        <v>0.15555555555555556</v>
      </c>
      <c r="D1827" s="20" t="s">
        <v>3053</v>
      </c>
      <c r="E1827" t="s">
        <v>6</v>
      </c>
      <c r="G1827" t="s">
        <v>825</v>
      </c>
      <c r="H1827">
        <v>19</v>
      </c>
      <c r="I1827">
        <f t="shared" si="30"/>
        <v>24</v>
      </c>
    </row>
    <row r="1828" spans="1:9">
      <c r="A1828" s="1">
        <v>42689.859722222223</v>
      </c>
      <c r="B1828" s="19">
        <v>42544</v>
      </c>
      <c r="C1828" s="21">
        <v>0.90902777777777777</v>
      </c>
      <c r="D1828" s="20" t="s">
        <v>3048</v>
      </c>
      <c r="E1828" t="s">
        <v>0</v>
      </c>
      <c r="F1828" t="s">
        <v>10</v>
      </c>
      <c r="G1828" t="s">
        <v>1860</v>
      </c>
      <c r="H1828">
        <v>13</v>
      </c>
      <c r="I1828">
        <f t="shared" si="30"/>
        <v>17</v>
      </c>
    </row>
    <row r="1829" spans="1:9">
      <c r="A1829" s="1">
        <v>42689.179166666669</v>
      </c>
      <c r="B1829" s="19">
        <v>42544</v>
      </c>
      <c r="C1829" s="21">
        <v>0.83194444444444449</v>
      </c>
      <c r="D1829" s="20" t="s">
        <v>3046</v>
      </c>
      <c r="E1829" t="s">
        <v>0</v>
      </c>
      <c r="F1829" t="s">
        <v>10</v>
      </c>
      <c r="G1829" t="s">
        <v>1833</v>
      </c>
      <c r="H1829">
        <v>13</v>
      </c>
      <c r="I1829">
        <f t="shared" si="30"/>
        <v>17</v>
      </c>
    </row>
    <row r="1830" spans="1:9">
      <c r="A1830" s="1">
        <v>42689.170138888891</v>
      </c>
      <c r="B1830" s="19">
        <v>42544</v>
      </c>
      <c r="C1830" s="21">
        <v>0.67847222222222225</v>
      </c>
      <c r="D1830" s="20" t="s">
        <v>3043</v>
      </c>
      <c r="E1830" t="s">
        <v>33</v>
      </c>
      <c r="G1830" t="s">
        <v>836</v>
      </c>
      <c r="H1830">
        <v>2</v>
      </c>
      <c r="I1830">
        <f t="shared" si="30"/>
        <v>3</v>
      </c>
    </row>
    <row r="1831" spans="1:9">
      <c r="A1831" s="1">
        <v>42689.844444444447</v>
      </c>
      <c r="B1831" s="19">
        <v>42544</v>
      </c>
      <c r="C1831" s="21">
        <v>0.66527777777777775</v>
      </c>
      <c r="D1831" s="20" t="s">
        <v>3042</v>
      </c>
      <c r="E1831" t="s">
        <v>0</v>
      </c>
      <c r="F1831" t="s">
        <v>10</v>
      </c>
      <c r="G1831" t="s">
        <v>1833</v>
      </c>
      <c r="H1831">
        <v>13</v>
      </c>
      <c r="I1831">
        <f t="shared" si="30"/>
        <v>17</v>
      </c>
    </row>
    <row r="1832" spans="1:9">
      <c r="A1832" s="1">
        <v>42689.661805555559</v>
      </c>
      <c r="B1832" s="19">
        <v>42544</v>
      </c>
      <c r="C1832" s="21">
        <v>0.43125000000000002</v>
      </c>
      <c r="D1832" s="20" t="s">
        <v>3036</v>
      </c>
      <c r="E1832" t="s">
        <v>77</v>
      </c>
      <c r="F1832" t="s">
        <v>159</v>
      </c>
      <c r="G1832" t="s">
        <v>1865</v>
      </c>
      <c r="H1832" t="e">
        <v>#VALUE!</v>
      </c>
      <c r="I1832" t="e">
        <f t="shared" si="30"/>
        <v>#VALUE!</v>
      </c>
    </row>
    <row r="1833" spans="1:9">
      <c r="A1833" s="1">
        <v>42689.583333333336</v>
      </c>
      <c r="B1833" s="19">
        <v>42544</v>
      </c>
      <c r="C1833" s="21">
        <v>0.37916666666666665</v>
      </c>
      <c r="D1833" s="20" t="s">
        <v>3035</v>
      </c>
      <c r="E1833" t="s">
        <v>33</v>
      </c>
      <c r="F1833" t="s">
        <v>44</v>
      </c>
      <c r="G1833" t="s">
        <v>1866</v>
      </c>
      <c r="H1833">
        <v>75</v>
      </c>
      <c r="I1833">
        <f t="shared" si="30"/>
        <v>93</v>
      </c>
    </row>
    <row r="1834" spans="1:9">
      <c r="A1834" s="1">
        <v>42689.576388888891</v>
      </c>
      <c r="B1834" s="19">
        <v>42544</v>
      </c>
      <c r="C1834" s="21">
        <v>0.31666666666666665</v>
      </c>
      <c r="D1834" s="20" t="s">
        <v>3033</v>
      </c>
      <c r="E1834" t="s">
        <v>0</v>
      </c>
      <c r="G1834" t="s">
        <v>1867</v>
      </c>
      <c r="H1834">
        <v>2</v>
      </c>
      <c r="I1834">
        <f t="shared" si="30"/>
        <v>3</v>
      </c>
    </row>
    <row r="1835" spans="1:9">
      <c r="A1835" s="1">
        <v>42689.26666666667</v>
      </c>
      <c r="B1835" s="19">
        <v>42544</v>
      </c>
      <c r="C1835" s="21">
        <v>0.2590277777777778</v>
      </c>
      <c r="D1835" s="20" t="s">
        <v>3031</v>
      </c>
      <c r="E1835" t="s">
        <v>77</v>
      </c>
      <c r="F1835" t="s">
        <v>159</v>
      </c>
      <c r="G1835" t="s">
        <v>1868</v>
      </c>
      <c r="H1835" t="e">
        <v>#VALUE!</v>
      </c>
      <c r="I1835" t="e">
        <f t="shared" si="30"/>
        <v>#VALUE!</v>
      </c>
    </row>
    <row r="1836" spans="1:9">
      <c r="A1836" s="1">
        <v>42689.226388888892</v>
      </c>
      <c r="B1836" s="19">
        <v>42544</v>
      </c>
      <c r="C1836" s="21">
        <v>0.72013888888888888</v>
      </c>
      <c r="D1836" s="20" t="s">
        <v>3044</v>
      </c>
      <c r="E1836" t="s">
        <v>6</v>
      </c>
      <c r="F1836" t="s">
        <v>21</v>
      </c>
      <c r="G1836" t="s">
        <v>1861</v>
      </c>
      <c r="H1836">
        <v>17</v>
      </c>
      <c r="I1836">
        <f t="shared" si="30"/>
        <v>22</v>
      </c>
    </row>
    <row r="1837" spans="1:9">
      <c r="A1837" s="1">
        <v>42689.208333333336</v>
      </c>
      <c r="B1837" s="19">
        <v>42544</v>
      </c>
      <c r="C1837" s="21">
        <v>0.53819444444444442</v>
      </c>
      <c r="D1837" s="20" t="s">
        <v>3038</v>
      </c>
      <c r="E1837" t="s">
        <v>6</v>
      </c>
      <c r="F1837" t="s">
        <v>7</v>
      </c>
      <c r="G1837" t="s">
        <v>1862</v>
      </c>
      <c r="H1837">
        <v>14</v>
      </c>
      <c r="I1837">
        <f t="shared" si="30"/>
        <v>18</v>
      </c>
    </row>
    <row r="1838" spans="1:9">
      <c r="A1838" s="1">
        <v>42688.886805555558</v>
      </c>
      <c r="B1838" s="19">
        <v>42544</v>
      </c>
      <c r="C1838" s="21">
        <v>0.52986111111111112</v>
      </c>
      <c r="D1838" s="20" t="s">
        <v>3038</v>
      </c>
      <c r="E1838" t="s">
        <v>6</v>
      </c>
      <c r="F1838" t="s">
        <v>7</v>
      </c>
      <c r="G1838" t="s">
        <v>1863</v>
      </c>
      <c r="H1838">
        <v>4</v>
      </c>
      <c r="I1838">
        <f t="shared" si="30"/>
        <v>5</v>
      </c>
    </row>
    <row r="1839" spans="1:9">
      <c r="A1839" s="1">
        <v>42688.795138888891</v>
      </c>
      <c r="B1839" s="19">
        <v>42544</v>
      </c>
      <c r="C1839" s="21">
        <v>0.52638888888888891</v>
      </c>
      <c r="D1839" s="20" t="s">
        <v>3038</v>
      </c>
      <c r="E1839" t="s">
        <v>6</v>
      </c>
      <c r="F1839" t="s">
        <v>754</v>
      </c>
      <c r="G1839" t="s">
        <v>1864</v>
      </c>
      <c r="H1839">
        <v>4</v>
      </c>
      <c r="I1839">
        <f t="shared" si="30"/>
        <v>5</v>
      </c>
    </row>
    <row r="1840" spans="1:9">
      <c r="A1840" s="1">
        <v>42688.65347222222</v>
      </c>
      <c r="B1840" s="19">
        <v>42544</v>
      </c>
      <c r="C1840" s="21">
        <v>0.43888888888888888</v>
      </c>
      <c r="D1840" s="20" t="s">
        <v>3036</v>
      </c>
      <c r="E1840" t="s">
        <v>6</v>
      </c>
      <c r="F1840" t="s">
        <v>12</v>
      </c>
      <c r="G1840" t="s">
        <v>1382</v>
      </c>
      <c r="H1840">
        <v>3</v>
      </c>
      <c r="I1840">
        <f t="shared" si="30"/>
        <v>4</v>
      </c>
    </row>
    <row r="1841" spans="1:9">
      <c r="A1841" s="1">
        <v>42688.65</v>
      </c>
      <c r="B1841" s="19">
        <v>42544</v>
      </c>
      <c r="C1841" s="21">
        <v>0.43402777777777779</v>
      </c>
      <c r="D1841" s="20" t="s">
        <v>3036</v>
      </c>
      <c r="E1841" t="s">
        <v>6</v>
      </c>
      <c r="F1841" t="s">
        <v>754</v>
      </c>
      <c r="G1841" t="s">
        <v>1864</v>
      </c>
      <c r="H1841">
        <v>13</v>
      </c>
      <c r="I1841">
        <f t="shared" si="30"/>
        <v>17</v>
      </c>
    </row>
    <row r="1842" spans="1:9">
      <c r="A1842" s="1">
        <v>42688.554166666669</v>
      </c>
      <c r="B1842" s="19">
        <v>42544</v>
      </c>
      <c r="C1842" s="21">
        <v>0.29722222222222222</v>
      </c>
      <c r="D1842" s="20" t="s">
        <v>3033</v>
      </c>
      <c r="E1842" t="s">
        <v>6</v>
      </c>
      <c r="F1842" t="s">
        <v>46</v>
      </c>
      <c r="G1842" t="s">
        <v>120</v>
      </c>
      <c r="H1842">
        <v>3</v>
      </c>
      <c r="I1842">
        <f t="shared" si="30"/>
        <v>4</v>
      </c>
    </row>
    <row r="1843" spans="1:9">
      <c r="A1843" s="1">
        <v>42688.43472222222</v>
      </c>
      <c r="B1843" s="19">
        <v>42544</v>
      </c>
      <c r="C1843" s="21">
        <v>0.2951388888888889</v>
      </c>
      <c r="D1843" s="20" t="s">
        <v>3033</v>
      </c>
      <c r="E1843" t="s">
        <v>6</v>
      </c>
      <c r="F1843" t="s">
        <v>46</v>
      </c>
      <c r="G1843" t="s">
        <v>120</v>
      </c>
      <c r="H1843">
        <v>4</v>
      </c>
      <c r="I1843">
        <f t="shared" si="30"/>
        <v>5</v>
      </c>
    </row>
    <row r="1844" spans="1:9">
      <c r="A1844" s="1">
        <v>42688.320833333331</v>
      </c>
      <c r="B1844" s="19">
        <v>42544</v>
      </c>
      <c r="C1844" s="21">
        <v>0.28680555555555554</v>
      </c>
      <c r="D1844" s="20" t="s">
        <v>3031</v>
      </c>
      <c r="E1844" t="s">
        <v>6</v>
      </c>
      <c r="F1844" t="s">
        <v>12</v>
      </c>
      <c r="G1844" t="s">
        <v>1382</v>
      </c>
      <c r="H1844">
        <v>3</v>
      </c>
      <c r="I1844">
        <f t="shared" si="30"/>
        <v>4</v>
      </c>
    </row>
    <row r="1845" spans="1:9">
      <c r="A1845" s="1">
        <v>42688.036111111112</v>
      </c>
      <c r="B1845" s="19">
        <v>42544</v>
      </c>
      <c r="C1845" s="21">
        <v>0.28125</v>
      </c>
      <c r="D1845" s="20" t="s">
        <v>3031</v>
      </c>
      <c r="E1845" t="s">
        <v>6</v>
      </c>
      <c r="F1845" t="s">
        <v>12</v>
      </c>
      <c r="G1845" t="s">
        <v>1382</v>
      </c>
      <c r="H1845">
        <v>3</v>
      </c>
      <c r="I1845">
        <f t="shared" si="30"/>
        <v>4</v>
      </c>
    </row>
    <row r="1846" spans="1:9">
      <c r="A1846" s="1">
        <v>42688.918749999997</v>
      </c>
      <c r="B1846" s="19">
        <v>42544</v>
      </c>
      <c r="C1846" s="21">
        <v>0.27916666666666667</v>
      </c>
      <c r="D1846" s="20" t="s">
        <v>3031</v>
      </c>
      <c r="E1846" t="s">
        <v>6</v>
      </c>
      <c r="F1846" t="s">
        <v>12</v>
      </c>
      <c r="G1846" t="s">
        <v>1382</v>
      </c>
      <c r="H1846">
        <v>3</v>
      </c>
      <c r="I1846">
        <f t="shared" si="30"/>
        <v>4</v>
      </c>
    </row>
    <row r="1847" spans="1:9">
      <c r="A1847" s="1">
        <v>42688.584027777775</v>
      </c>
      <c r="B1847" s="19">
        <v>42544</v>
      </c>
      <c r="C1847" s="21">
        <v>0.27777777777777779</v>
      </c>
      <c r="D1847" s="20" t="s">
        <v>3031</v>
      </c>
      <c r="E1847" t="s">
        <v>6</v>
      </c>
      <c r="F1847" t="s">
        <v>12</v>
      </c>
      <c r="G1847" t="s">
        <v>1382</v>
      </c>
      <c r="H1847">
        <v>3</v>
      </c>
      <c r="I1847">
        <f t="shared" si="30"/>
        <v>4</v>
      </c>
    </row>
    <row r="1848" spans="1:9">
      <c r="A1848" s="1">
        <v>42688.584027777775</v>
      </c>
      <c r="B1848" s="19">
        <v>42544</v>
      </c>
      <c r="C1848" s="21">
        <v>0.27638888888888891</v>
      </c>
      <c r="D1848" s="20" t="s">
        <v>3031</v>
      </c>
      <c r="E1848" t="s">
        <v>6</v>
      </c>
      <c r="F1848" t="s">
        <v>12</v>
      </c>
      <c r="G1848" t="s">
        <v>1382</v>
      </c>
      <c r="H1848">
        <v>3</v>
      </c>
      <c r="I1848">
        <f t="shared" si="30"/>
        <v>4</v>
      </c>
    </row>
    <row r="1849" spans="1:9">
      <c r="A1849" s="1">
        <v>42688.262499999997</v>
      </c>
      <c r="B1849" s="19">
        <v>42544</v>
      </c>
      <c r="C1849" s="21">
        <v>0.23749999999999999</v>
      </c>
      <c r="D1849" s="20" t="s">
        <v>3055</v>
      </c>
      <c r="E1849" t="s">
        <v>6</v>
      </c>
      <c r="F1849" t="s">
        <v>46</v>
      </c>
      <c r="G1849" t="s">
        <v>1869</v>
      </c>
      <c r="H1849">
        <v>10</v>
      </c>
      <c r="I1849">
        <f t="shared" si="30"/>
        <v>13</v>
      </c>
    </row>
    <row r="1850" spans="1:9">
      <c r="A1850" s="1">
        <v>42688.250694444447</v>
      </c>
      <c r="B1850" s="19">
        <v>42545</v>
      </c>
      <c r="C1850" s="21">
        <v>0.83125000000000004</v>
      </c>
      <c r="D1850" s="20" t="s">
        <v>3046</v>
      </c>
      <c r="E1850" t="s">
        <v>0</v>
      </c>
      <c r="F1850" t="s">
        <v>10</v>
      </c>
      <c r="G1850" t="s">
        <v>1833</v>
      </c>
      <c r="H1850">
        <v>13</v>
      </c>
      <c r="I1850">
        <f t="shared" si="30"/>
        <v>17</v>
      </c>
    </row>
    <row r="1851" spans="1:9">
      <c r="A1851" s="1">
        <v>42687.932638888888</v>
      </c>
      <c r="B1851" s="19">
        <v>42545</v>
      </c>
      <c r="C1851" s="21">
        <v>0.66388888888888886</v>
      </c>
      <c r="D1851" s="20" t="s">
        <v>3042</v>
      </c>
      <c r="E1851" t="s">
        <v>0</v>
      </c>
      <c r="F1851" t="s">
        <v>10</v>
      </c>
      <c r="G1851" t="s">
        <v>1833</v>
      </c>
      <c r="H1851">
        <v>13</v>
      </c>
      <c r="I1851">
        <f t="shared" si="30"/>
        <v>17</v>
      </c>
    </row>
    <row r="1852" spans="1:9">
      <c r="A1852" s="1">
        <v>42687.925000000003</v>
      </c>
      <c r="B1852" s="19">
        <v>42545</v>
      </c>
      <c r="C1852" s="21">
        <v>0.5708333333333333</v>
      </c>
      <c r="D1852" s="20" t="s">
        <v>3039</v>
      </c>
      <c r="E1852" t="s">
        <v>77</v>
      </c>
      <c r="F1852" t="s">
        <v>78</v>
      </c>
      <c r="G1852" t="s">
        <v>1849</v>
      </c>
      <c r="H1852">
        <v>4</v>
      </c>
      <c r="I1852">
        <f t="shared" si="30"/>
        <v>5</v>
      </c>
    </row>
    <row r="1853" spans="1:9">
      <c r="A1853" s="1">
        <v>42687.918055555558</v>
      </c>
      <c r="B1853" s="19">
        <v>42545</v>
      </c>
      <c r="C1853" s="21">
        <v>0.53194444444444444</v>
      </c>
      <c r="D1853" s="20" t="s">
        <v>3038</v>
      </c>
      <c r="E1853" t="s">
        <v>0</v>
      </c>
      <c r="F1853" t="s">
        <v>1</v>
      </c>
      <c r="H1853">
        <v>9</v>
      </c>
      <c r="I1853">
        <f t="shared" si="30"/>
        <v>12</v>
      </c>
    </row>
    <row r="1854" spans="1:9">
      <c r="A1854" s="1">
        <v>42687.917361111111</v>
      </c>
      <c r="B1854" s="19">
        <v>42545</v>
      </c>
      <c r="C1854" s="21">
        <v>0.4826388888888889</v>
      </c>
      <c r="D1854" s="20" t="s">
        <v>3037</v>
      </c>
      <c r="E1854" t="s">
        <v>77</v>
      </c>
      <c r="F1854" t="s">
        <v>159</v>
      </c>
      <c r="G1854" t="s">
        <v>1852</v>
      </c>
      <c r="H1854" t="e">
        <v>#VALUE!</v>
      </c>
      <c r="I1854" t="e">
        <f t="shared" si="30"/>
        <v>#VALUE!</v>
      </c>
    </row>
    <row r="1855" spans="1:9">
      <c r="A1855" s="1">
        <v>42685.015277777777</v>
      </c>
      <c r="B1855" s="19">
        <v>42545</v>
      </c>
      <c r="C1855" s="21">
        <v>0.46597222222222223</v>
      </c>
      <c r="D1855" s="20" t="s">
        <v>3037</v>
      </c>
      <c r="E1855" t="s">
        <v>33</v>
      </c>
      <c r="F1855" t="s">
        <v>155</v>
      </c>
      <c r="G1855" t="s">
        <v>1854</v>
      </c>
      <c r="H1855">
        <v>4</v>
      </c>
      <c r="I1855">
        <f t="shared" si="30"/>
        <v>5</v>
      </c>
    </row>
    <row r="1856" spans="1:9">
      <c r="A1856" s="1">
        <v>42684.994444444441</v>
      </c>
      <c r="B1856" s="19">
        <v>42545</v>
      </c>
      <c r="C1856" s="21">
        <v>0.46458333333333335</v>
      </c>
      <c r="D1856" s="20" t="s">
        <v>3037</v>
      </c>
      <c r="E1856" t="s">
        <v>77</v>
      </c>
      <c r="F1856" t="s">
        <v>159</v>
      </c>
      <c r="G1856" t="s">
        <v>1852</v>
      </c>
      <c r="H1856">
        <v>15</v>
      </c>
      <c r="I1856">
        <f t="shared" si="30"/>
        <v>19</v>
      </c>
    </row>
    <row r="1857" spans="1:9">
      <c r="A1857" s="1">
        <v>42684.98333333333</v>
      </c>
      <c r="B1857" s="19">
        <v>42545</v>
      </c>
      <c r="C1857" s="21">
        <v>0.3923611111111111</v>
      </c>
      <c r="D1857" s="20" t="s">
        <v>3035</v>
      </c>
      <c r="E1857" t="s">
        <v>33</v>
      </c>
      <c r="G1857" t="s">
        <v>836</v>
      </c>
      <c r="H1857">
        <v>3</v>
      </c>
      <c r="I1857">
        <f t="shared" si="30"/>
        <v>4</v>
      </c>
    </row>
    <row r="1858" spans="1:9">
      <c r="A1858" s="1">
        <v>42684.982638888891</v>
      </c>
      <c r="B1858" s="19">
        <v>42545</v>
      </c>
      <c r="C1858" s="21">
        <v>0.3263888888888889</v>
      </c>
      <c r="D1858" s="20" t="s">
        <v>3033</v>
      </c>
      <c r="E1858" t="s">
        <v>0</v>
      </c>
      <c r="F1858" t="s">
        <v>1</v>
      </c>
      <c r="H1858">
        <v>13</v>
      </c>
      <c r="I1858">
        <f t="shared" si="30"/>
        <v>17</v>
      </c>
    </row>
    <row r="1859" spans="1:9">
      <c r="A1859" s="1">
        <v>42684.915277777778</v>
      </c>
      <c r="B1859" s="19">
        <v>42545</v>
      </c>
      <c r="C1859" s="21">
        <v>0.6069444444444444</v>
      </c>
      <c r="D1859" s="20" t="s">
        <v>3040</v>
      </c>
      <c r="E1859" t="s">
        <v>2</v>
      </c>
      <c r="F1859" t="s">
        <v>48</v>
      </c>
      <c r="G1859" t="s">
        <v>67</v>
      </c>
      <c r="H1859">
        <v>13</v>
      </c>
      <c r="I1859">
        <f t="shared" ref="I1859:I1922" si="31">ROUNDUP((H1859*1.24), 0)</f>
        <v>17</v>
      </c>
    </row>
    <row r="1860" spans="1:9">
      <c r="A1860" s="1">
        <v>42684.629861111112</v>
      </c>
      <c r="B1860" s="19">
        <v>42545</v>
      </c>
      <c r="C1860" s="21">
        <v>0.6020833333333333</v>
      </c>
      <c r="D1860" s="20" t="s">
        <v>3040</v>
      </c>
      <c r="E1860" t="s">
        <v>6</v>
      </c>
      <c r="F1860" t="s">
        <v>12</v>
      </c>
      <c r="G1860" t="s">
        <v>1848</v>
      </c>
      <c r="H1860">
        <v>9</v>
      </c>
      <c r="I1860">
        <f t="shared" si="31"/>
        <v>12</v>
      </c>
    </row>
    <row r="1861" spans="1:9">
      <c r="A1861" s="1">
        <v>42684.605555555558</v>
      </c>
      <c r="B1861" s="19">
        <v>42545</v>
      </c>
      <c r="C1861" s="21">
        <v>0.57013888888888886</v>
      </c>
      <c r="D1861" s="20" t="s">
        <v>3039</v>
      </c>
      <c r="E1861" t="s">
        <v>6</v>
      </c>
      <c r="F1861" t="s">
        <v>12</v>
      </c>
      <c r="G1861" t="s">
        <v>1850</v>
      </c>
      <c r="H1861">
        <v>7</v>
      </c>
      <c r="I1861">
        <f t="shared" si="31"/>
        <v>9</v>
      </c>
    </row>
    <row r="1862" spans="1:9">
      <c r="A1862" s="1">
        <v>42684.59097222222</v>
      </c>
      <c r="B1862" s="19">
        <v>42545</v>
      </c>
      <c r="C1862" s="21">
        <v>0.5625</v>
      </c>
      <c r="D1862" s="20" t="s">
        <v>3039</v>
      </c>
      <c r="E1862" t="s">
        <v>6</v>
      </c>
      <c r="F1862" t="s">
        <v>46</v>
      </c>
      <c r="G1862" t="s">
        <v>1851</v>
      </c>
      <c r="H1862">
        <v>4</v>
      </c>
      <c r="I1862">
        <f t="shared" si="31"/>
        <v>5</v>
      </c>
    </row>
    <row r="1863" spans="1:9">
      <c r="A1863" s="1">
        <v>42684.474999999999</v>
      </c>
      <c r="B1863" s="19">
        <v>42545</v>
      </c>
      <c r="C1863" s="21">
        <v>0.47499999999999998</v>
      </c>
      <c r="D1863" s="20" t="s">
        <v>3037</v>
      </c>
      <c r="E1863" t="s">
        <v>2</v>
      </c>
      <c r="F1863" t="s">
        <v>48</v>
      </c>
      <c r="G1863" t="s">
        <v>1853</v>
      </c>
      <c r="H1863">
        <v>7</v>
      </c>
      <c r="I1863">
        <f t="shared" si="31"/>
        <v>9</v>
      </c>
    </row>
    <row r="1864" spans="1:9">
      <c r="A1864" s="1">
        <v>42684.450694444444</v>
      </c>
      <c r="B1864" s="19">
        <v>42545</v>
      </c>
      <c r="C1864" s="21">
        <v>0.42291666666666666</v>
      </c>
      <c r="D1864" s="20" t="s">
        <v>3036</v>
      </c>
      <c r="E1864" t="s">
        <v>2</v>
      </c>
      <c r="F1864" t="s">
        <v>56</v>
      </c>
      <c r="G1864" t="s">
        <v>1855</v>
      </c>
      <c r="H1864">
        <v>62</v>
      </c>
      <c r="I1864">
        <f t="shared" si="31"/>
        <v>77</v>
      </c>
    </row>
    <row r="1865" spans="1:9">
      <c r="A1865" s="1">
        <v>42684.272222222222</v>
      </c>
      <c r="B1865" s="19">
        <v>42545</v>
      </c>
      <c r="C1865" s="21">
        <v>0.34652777777777777</v>
      </c>
      <c r="D1865" s="20" t="s">
        <v>3034</v>
      </c>
      <c r="E1865" t="s">
        <v>6</v>
      </c>
      <c r="F1865" t="s">
        <v>7</v>
      </c>
      <c r="G1865" t="s">
        <v>1856</v>
      </c>
      <c r="H1865">
        <v>5</v>
      </c>
      <c r="I1865">
        <f t="shared" si="31"/>
        <v>7</v>
      </c>
    </row>
    <row r="1866" spans="1:9">
      <c r="A1866" s="1">
        <v>42684.26666666667</v>
      </c>
      <c r="B1866" s="19">
        <v>42545</v>
      </c>
      <c r="C1866" s="21">
        <v>0.33541666666666664</v>
      </c>
      <c r="D1866" s="20" t="s">
        <v>3034</v>
      </c>
      <c r="E1866" t="s">
        <v>6</v>
      </c>
      <c r="F1866" t="s">
        <v>26</v>
      </c>
      <c r="G1866" t="s">
        <v>1857</v>
      </c>
      <c r="H1866">
        <v>18</v>
      </c>
      <c r="I1866">
        <f t="shared" si="31"/>
        <v>23</v>
      </c>
    </row>
    <row r="1867" spans="1:9">
      <c r="A1867" s="1">
        <v>42684.918055555558</v>
      </c>
      <c r="B1867" s="19">
        <v>42545</v>
      </c>
      <c r="C1867" s="21">
        <v>0.25</v>
      </c>
      <c r="D1867" s="20" t="s">
        <v>3031</v>
      </c>
      <c r="E1867" t="s">
        <v>6</v>
      </c>
      <c r="G1867" t="s">
        <v>249</v>
      </c>
      <c r="H1867" t="e">
        <v>#VALUE!</v>
      </c>
      <c r="I1867" t="e">
        <f t="shared" si="31"/>
        <v>#VALUE!</v>
      </c>
    </row>
    <row r="1868" spans="1:9">
      <c r="A1868" s="1">
        <v>42684.916666666664</v>
      </c>
      <c r="B1868" s="19">
        <v>42545</v>
      </c>
      <c r="C1868" s="21">
        <v>0.22847222222222222</v>
      </c>
      <c r="D1868" s="20" t="s">
        <v>3055</v>
      </c>
      <c r="E1868" t="s">
        <v>6</v>
      </c>
      <c r="G1868" t="s">
        <v>1858</v>
      </c>
      <c r="H1868">
        <v>38</v>
      </c>
      <c r="I1868">
        <f t="shared" si="31"/>
        <v>48</v>
      </c>
    </row>
    <row r="1869" spans="1:9">
      <c r="A1869" s="1">
        <v>42684.914583333331</v>
      </c>
      <c r="B1869" s="19">
        <v>42545</v>
      </c>
      <c r="C1869" s="21">
        <v>3.888888888888889E-2</v>
      </c>
      <c r="D1869" s="20" t="s">
        <v>3050</v>
      </c>
      <c r="E1869" t="s">
        <v>2</v>
      </c>
      <c r="F1869" t="s">
        <v>5</v>
      </c>
      <c r="G1869" t="s">
        <v>1859</v>
      </c>
      <c r="H1869">
        <v>29</v>
      </c>
      <c r="I1869">
        <f t="shared" si="31"/>
        <v>36</v>
      </c>
    </row>
    <row r="1870" spans="1:9">
      <c r="A1870" s="1">
        <v>42684.909722222219</v>
      </c>
      <c r="B1870" s="19">
        <v>42545</v>
      </c>
      <c r="C1870" s="21">
        <v>1.6666666666666666E-2</v>
      </c>
      <c r="D1870" s="20" t="s">
        <v>3050</v>
      </c>
      <c r="E1870" t="s">
        <v>6</v>
      </c>
      <c r="F1870" t="s">
        <v>46</v>
      </c>
      <c r="G1870" t="s">
        <v>82</v>
      </c>
      <c r="H1870">
        <v>28</v>
      </c>
      <c r="I1870">
        <f t="shared" si="31"/>
        <v>35</v>
      </c>
    </row>
    <row r="1871" spans="1:9">
      <c r="A1871" s="1">
        <v>42684.583333333336</v>
      </c>
      <c r="B1871" s="19">
        <v>42546</v>
      </c>
      <c r="C1871" s="21">
        <v>0.24097222222222223</v>
      </c>
      <c r="D1871" s="20" t="s">
        <v>3055</v>
      </c>
      <c r="E1871" t="s">
        <v>0</v>
      </c>
      <c r="F1871" t="s">
        <v>75</v>
      </c>
      <c r="G1871" t="s">
        <v>1846</v>
      </c>
      <c r="H1871">
        <v>5</v>
      </c>
      <c r="I1871">
        <f t="shared" si="31"/>
        <v>7</v>
      </c>
    </row>
    <row r="1872" spans="1:9">
      <c r="A1872" s="1">
        <v>42684.253472222219</v>
      </c>
      <c r="B1872" s="19">
        <v>42546</v>
      </c>
      <c r="C1872" s="21">
        <v>0.10347222222222222</v>
      </c>
      <c r="D1872" s="20" t="s">
        <v>3052</v>
      </c>
      <c r="E1872" t="s">
        <v>2</v>
      </c>
      <c r="F1872" t="s">
        <v>5</v>
      </c>
      <c r="G1872" t="s">
        <v>1847</v>
      </c>
      <c r="H1872">
        <v>35</v>
      </c>
      <c r="I1872">
        <f t="shared" si="31"/>
        <v>44</v>
      </c>
    </row>
    <row r="1873" spans="1:9">
      <c r="A1873" s="1">
        <v>42683.92083333333</v>
      </c>
      <c r="B1873" s="19">
        <v>42546</v>
      </c>
      <c r="C1873" s="21">
        <v>6.3194444444444442E-2</v>
      </c>
      <c r="D1873" s="20" t="s">
        <v>3051</v>
      </c>
      <c r="E1873" t="s">
        <v>6</v>
      </c>
      <c r="F1873" t="s">
        <v>12</v>
      </c>
      <c r="G1873" t="s">
        <v>82</v>
      </c>
      <c r="H1873">
        <v>75</v>
      </c>
      <c r="I1873">
        <f t="shared" si="31"/>
        <v>93</v>
      </c>
    </row>
    <row r="1874" spans="1:9">
      <c r="A1874" s="1">
        <v>42683.89166666667</v>
      </c>
      <c r="B1874" s="19">
        <v>42547</v>
      </c>
      <c r="C1874" s="21">
        <v>0.92986111111111114</v>
      </c>
      <c r="D1874" s="20" t="s">
        <v>3049</v>
      </c>
      <c r="E1874" t="s">
        <v>0</v>
      </c>
      <c r="G1874" t="s">
        <v>1843</v>
      </c>
      <c r="H1874">
        <v>38</v>
      </c>
      <c r="I1874">
        <f t="shared" si="31"/>
        <v>48</v>
      </c>
    </row>
    <row r="1875" spans="1:9">
      <c r="A1875" s="1">
        <v>42683.586111111108</v>
      </c>
      <c r="B1875" s="19">
        <v>42547</v>
      </c>
      <c r="C1875" s="21">
        <v>0.92361111111111116</v>
      </c>
      <c r="D1875" s="20" t="s">
        <v>3049</v>
      </c>
      <c r="E1875" t="s">
        <v>0</v>
      </c>
      <c r="G1875" t="s">
        <v>1844</v>
      </c>
      <c r="H1875">
        <v>7</v>
      </c>
      <c r="I1875">
        <f t="shared" si="31"/>
        <v>9</v>
      </c>
    </row>
    <row r="1876" spans="1:9">
      <c r="A1876" s="1">
        <v>42683.450694444444</v>
      </c>
      <c r="B1876" s="19">
        <v>42547</v>
      </c>
      <c r="C1876" s="21">
        <v>0.92013888888888884</v>
      </c>
      <c r="D1876" s="20" t="s">
        <v>3049</v>
      </c>
      <c r="E1876" t="s">
        <v>0</v>
      </c>
      <c r="G1876" t="s">
        <v>1845</v>
      </c>
      <c r="H1876">
        <v>13</v>
      </c>
      <c r="I1876">
        <f t="shared" si="31"/>
        <v>17</v>
      </c>
    </row>
    <row r="1877" spans="1:9">
      <c r="A1877" s="1">
        <v>42683.274305555555</v>
      </c>
      <c r="B1877" s="19">
        <v>42547</v>
      </c>
      <c r="C1877" s="21">
        <v>0.99791666666666667</v>
      </c>
      <c r="D1877" s="20" t="s">
        <v>3063</v>
      </c>
      <c r="E1877" t="s">
        <v>6</v>
      </c>
      <c r="F1877" t="s">
        <v>21</v>
      </c>
      <c r="G1877" t="s">
        <v>1839</v>
      </c>
      <c r="H1877">
        <v>8</v>
      </c>
      <c r="I1877">
        <f t="shared" si="31"/>
        <v>10</v>
      </c>
    </row>
    <row r="1878" spans="1:9">
      <c r="A1878" s="1">
        <v>42683.92083333333</v>
      </c>
      <c r="B1878" s="19">
        <v>42547</v>
      </c>
      <c r="C1878" s="21">
        <v>0.9916666666666667</v>
      </c>
      <c r="D1878" s="20" t="s">
        <v>3063</v>
      </c>
      <c r="E1878" t="s">
        <v>6</v>
      </c>
      <c r="G1878" t="s">
        <v>1840</v>
      </c>
      <c r="H1878">
        <v>13</v>
      </c>
      <c r="I1878">
        <f t="shared" si="31"/>
        <v>17</v>
      </c>
    </row>
    <row r="1879" spans="1:9">
      <c r="A1879" s="1">
        <v>42683.92083333333</v>
      </c>
      <c r="B1879" s="19">
        <v>42547</v>
      </c>
      <c r="C1879" s="21">
        <v>0.98541666666666672</v>
      </c>
      <c r="D1879" s="20" t="s">
        <v>3063</v>
      </c>
      <c r="E1879" t="s">
        <v>6</v>
      </c>
      <c r="G1879" t="s">
        <v>1841</v>
      </c>
      <c r="H1879">
        <v>7</v>
      </c>
      <c r="I1879">
        <f t="shared" si="31"/>
        <v>9</v>
      </c>
    </row>
    <row r="1880" spans="1:9">
      <c r="A1880" s="1">
        <v>42683.9</v>
      </c>
      <c r="B1880" s="19">
        <v>42547</v>
      </c>
      <c r="C1880" s="21">
        <v>0.93055555555555558</v>
      </c>
      <c r="D1880" s="20" t="s">
        <v>3049</v>
      </c>
      <c r="E1880" t="s">
        <v>6</v>
      </c>
      <c r="F1880" t="s">
        <v>754</v>
      </c>
      <c r="G1880" t="s">
        <v>1842</v>
      </c>
      <c r="H1880" t="e">
        <v>#VALUE!</v>
      </c>
      <c r="I1880" t="e">
        <f t="shared" si="31"/>
        <v>#VALUE!</v>
      </c>
    </row>
    <row r="1881" spans="1:9">
      <c r="A1881" s="1">
        <v>42683.586111111108</v>
      </c>
      <c r="B1881" s="19">
        <v>42548</v>
      </c>
      <c r="C1881" s="21">
        <v>0.83472222222222225</v>
      </c>
      <c r="D1881" s="20" t="s">
        <v>3047</v>
      </c>
      <c r="E1881" t="s">
        <v>0</v>
      </c>
      <c r="F1881" t="s">
        <v>10</v>
      </c>
      <c r="H1881">
        <v>13</v>
      </c>
      <c r="I1881">
        <f t="shared" si="31"/>
        <v>17</v>
      </c>
    </row>
    <row r="1882" spans="1:9">
      <c r="A1882" s="1">
        <v>42683.493750000001</v>
      </c>
      <c r="B1882" s="19">
        <v>42548</v>
      </c>
      <c r="C1882" s="21">
        <v>0.83333333333333337</v>
      </c>
      <c r="D1882" s="20" t="s">
        <v>3047</v>
      </c>
      <c r="E1882" t="s">
        <v>33</v>
      </c>
      <c r="F1882" t="s">
        <v>44</v>
      </c>
      <c r="G1882" t="s">
        <v>1829</v>
      </c>
      <c r="H1882">
        <v>0</v>
      </c>
      <c r="I1882">
        <f t="shared" si="31"/>
        <v>0</v>
      </c>
    </row>
    <row r="1883" spans="1:9">
      <c r="A1883" s="1">
        <v>42683.431250000001</v>
      </c>
      <c r="B1883" s="19">
        <v>42548</v>
      </c>
      <c r="C1883" s="21">
        <v>0.6645833333333333</v>
      </c>
      <c r="D1883" s="20" t="s">
        <v>3042</v>
      </c>
      <c r="E1883" t="s">
        <v>0</v>
      </c>
      <c r="F1883" t="s">
        <v>10</v>
      </c>
      <c r="G1883" t="s">
        <v>1830</v>
      </c>
      <c r="H1883">
        <v>13</v>
      </c>
      <c r="I1883">
        <f t="shared" si="31"/>
        <v>17</v>
      </c>
    </row>
    <row r="1884" spans="1:9">
      <c r="A1884" s="1">
        <v>42683.251388888886</v>
      </c>
      <c r="B1884" s="19">
        <v>42548</v>
      </c>
      <c r="C1884" s="21">
        <v>0.49930555555555556</v>
      </c>
      <c r="D1884" s="20" t="s">
        <v>3037</v>
      </c>
      <c r="E1884" t="s">
        <v>0</v>
      </c>
      <c r="F1884" t="s">
        <v>10</v>
      </c>
      <c r="G1884" t="s">
        <v>1833</v>
      </c>
      <c r="H1884">
        <v>13</v>
      </c>
      <c r="I1884">
        <f t="shared" si="31"/>
        <v>17</v>
      </c>
    </row>
    <row r="1885" spans="1:9">
      <c r="A1885" s="1">
        <v>42683.193055555559</v>
      </c>
      <c r="B1885" s="19">
        <v>42548</v>
      </c>
      <c r="C1885" s="21">
        <v>0.38263888888888886</v>
      </c>
      <c r="D1885" s="20" t="s">
        <v>3035</v>
      </c>
      <c r="E1885" t="s">
        <v>0</v>
      </c>
      <c r="F1885" t="s">
        <v>1</v>
      </c>
      <c r="H1885">
        <v>13</v>
      </c>
      <c r="I1885">
        <f t="shared" si="31"/>
        <v>17</v>
      </c>
    </row>
    <row r="1886" spans="1:9">
      <c r="A1886" s="1">
        <v>42682.915972222225</v>
      </c>
      <c r="B1886" s="19">
        <v>42548</v>
      </c>
      <c r="C1886" s="21">
        <v>0.27430555555555558</v>
      </c>
      <c r="D1886" s="20" t="s">
        <v>3031</v>
      </c>
      <c r="E1886" t="s">
        <v>0</v>
      </c>
      <c r="G1886" t="s">
        <v>1836</v>
      </c>
      <c r="H1886">
        <v>10</v>
      </c>
      <c r="I1886">
        <f t="shared" si="31"/>
        <v>13</v>
      </c>
    </row>
    <row r="1887" spans="1:9">
      <c r="A1887" s="1">
        <v>42682.656944444447</v>
      </c>
      <c r="B1887" s="19">
        <v>42548</v>
      </c>
      <c r="C1887" s="21">
        <v>0.90138888888888891</v>
      </c>
      <c r="D1887" s="20" t="s">
        <v>3048</v>
      </c>
      <c r="E1887" t="s">
        <v>6</v>
      </c>
      <c r="F1887" t="s">
        <v>21</v>
      </c>
      <c r="G1887" t="s">
        <v>1828</v>
      </c>
      <c r="H1887">
        <v>7</v>
      </c>
      <c r="I1887">
        <f t="shared" si="31"/>
        <v>9</v>
      </c>
    </row>
    <row r="1888" spans="1:9">
      <c r="A1888" s="1">
        <v>42682.636805555558</v>
      </c>
      <c r="B1888" s="19">
        <v>42548</v>
      </c>
      <c r="C1888" s="21">
        <v>0.64930555555555558</v>
      </c>
      <c r="D1888" s="20" t="s">
        <v>3042</v>
      </c>
      <c r="E1888" t="s">
        <v>6</v>
      </c>
      <c r="F1888" t="s">
        <v>26</v>
      </c>
      <c r="G1888" t="s">
        <v>1831</v>
      </c>
      <c r="H1888">
        <v>56</v>
      </c>
      <c r="I1888">
        <f t="shared" si="31"/>
        <v>70</v>
      </c>
    </row>
    <row r="1889" spans="1:9">
      <c r="A1889" s="1">
        <v>42682.186805555553</v>
      </c>
      <c r="B1889" s="19">
        <v>42548</v>
      </c>
      <c r="C1889" s="21">
        <v>0.61111111111111116</v>
      </c>
      <c r="D1889" s="20" t="s">
        <v>3040</v>
      </c>
      <c r="E1889" t="s">
        <v>6</v>
      </c>
      <c r="F1889" t="s">
        <v>26</v>
      </c>
      <c r="G1889" t="s">
        <v>1831</v>
      </c>
      <c r="H1889">
        <v>19</v>
      </c>
      <c r="I1889">
        <f t="shared" si="31"/>
        <v>24</v>
      </c>
    </row>
    <row r="1890" spans="1:9">
      <c r="A1890" s="1">
        <v>42682.055555555555</v>
      </c>
      <c r="B1890" s="19">
        <v>42548</v>
      </c>
      <c r="C1890" s="21">
        <v>0.55972222222222223</v>
      </c>
      <c r="D1890" s="20" t="s">
        <v>3039</v>
      </c>
      <c r="E1890" t="s">
        <v>2</v>
      </c>
      <c r="F1890" t="s">
        <v>48</v>
      </c>
      <c r="H1890">
        <v>43</v>
      </c>
      <c r="I1890">
        <f t="shared" si="31"/>
        <v>54</v>
      </c>
    </row>
    <row r="1891" spans="1:9">
      <c r="A1891" s="1">
        <v>42682.03402777778</v>
      </c>
      <c r="B1891" s="19">
        <v>42548</v>
      </c>
      <c r="C1891" s="21">
        <v>0.54513888888888884</v>
      </c>
      <c r="D1891" s="20" t="s">
        <v>3039</v>
      </c>
      <c r="E1891" t="s">
        <v>6</v>
      </c>
      <c r="F1891" t="s">
        <v>754</v>
      </c>
      <c r="G1891" t="s">
        <v>1832</v>
      </c>
      <c r="H1891">
        <v>27</v>
      </c>
      <c r="I1891">
        <f t="shared" si="31"/>
        <v>34</v>
      </c>
    </row>
    <row r="1892" spans="1:9">
      <c r="A1892" s="1">
        <v>42682.916666666664</v>
      </c>
      <c r="B1892" s="19">
        <v>42548</v>
      </c>
      <c r="C1892" s="21">
        <v>0.34722222222222221</v>
      </c>
      <c r="D1892" s="20" t="s">
        <v>3034</v>
      </c>
      <c r="E1892" t="s">
        <v>2</v>
      </c>
      <c r="F1892" t="s">
        <v>48</v>
      </c>
      <c r="G1892" t="s">
        <v>1834</v>
      </c>
      <c r="H1892">
        <v>62</v>
      </c>
      <c r="I1892">
        <f t="shared" si="31"/>
        <v>77</v>
      </c>
    </row>
    <row r="1893" spans="1:9">
      <c r="A1893" s="1">
        <v>42682.916666666664</v>
      </c>
      <c r="B1893" s="19">
        <v>42548</v>
      </c>
      <c r="C1893" s="21">
        <v>0.33750000000000002</v>
      </c>
      <c r="D1893" s="20" t="s">
        <v>3034</v>
      </c>
      <c r="E1893" t="s">
        <v>6</v>
      </c>
      <c r="F1893" t="s">
        <v>12</v>
      </c>
      <c r="G1893" t="s">
        <v>1835</v>
      </c>
      <c r="H1893">
        <v>18</v>
      </c>
      <c r="I1893">
        <f t="shared" si="31"/>
        <v>23</v>
      </c>
    </row>
    <row r="1894" spans="1:9">
      <c r="A1894" s="1">
        <v>42682.900694444441</v>
      </c>
      <c r="B1894" s="19">
        <v>42548</v>
      </c>
      <c r="C1894" s="21">
        <v>0.25486111111111109</v>
      </c>
      <c r="D1894" s="20" t="s">
        <v>3031</v>
      </c>
      <c r="E1894" t="s">
        <v>6</v>
      </c>
      <c r="F1894" t="s">
        <v>21</v>
      </c>
      <c r="G1894" t="s">
        <v>1837</v>
      </c>
      <c r="H1894">
        <v>2</v>
      </c>
      <c r="I1894">
        <f t="shared" si="31"/>
        <v>3</v>
      </c>
    </row>
    <row r="1895" spans="1:9">
      <c r="A1895" s="1">
        <v>42682.636805555558</v>
      </c>
      <c r="B1895" s="19">
        <v>42548</v>
      </c>
      <c r="C1895" s="21">
        <v>0.12361111111111112</v>
      </c>
      <c r="D1895" s="20" t="s">
        <v>3052</v>
      </c>
      <c r="E1895" t="s">
        <v>6</v>
      </c>
      <c r="F1895" t="s">
        <v>167</v>
      </c>
      <c r="G1895" t="s">
        <v>1449</v>
      </c>
      <c r="H1895">
        <v>3</v>
      </c>
      <c r="I1895">
        <f t="shared" si="31"/>
        <v>4</v>
      </c>
    </row>
    <row r="1896" spans="1:9">
      <c r="A1896" s="1">
        <v>42682.632638888892</v>
      </c>
      <c r="B1896" s="19">
        <v>42548</v>
      </c>
      <c r="C1896" s="21">
        <v>1.5972222222222221E-2</v>
      </c>
      <c r="D1896" s="20" t="s">
        <v>3050</v>
      </c>
      <c r="E1896" t="s">
        <v>6</v>
      </c>
      <c r="F1896" t="s">
        <v>15</v>
      </c>
      <c r="G1896" t="s">
        <v>1838</v>
      </c>
      <c r="H1896">
        <v>10</v>
      </c>
      <c r="I1896">
        <f t="shared" si="31"/>
        <v>13</v>
      </c>
    </row>
    <row r="1897" spans="1:9">
      <c r="A1897" s="1">
        <v>42682.605555555558</v>
      </c>
      <c r="B1897" s="19">
        <v>42549</v>
      </c>
      <c r="C1897" s="21">
        <v>0.92013888888888884</v>
      </c>
      <c r="D1897" s="20" t="s">
        <v>3049</v>
      </c>
      <c r="E1897" t="s">
        <v>0</v>
      </c>
      <c r="F1897" t="s">
        <v>10</v>
      </c>
      <c r="G1897" t="s">
        <v>1815</v>
      </c>
      <c r="H1897">
        <v>13</v>
      </c>
      <c r="I1897">
        <f t="shared" si="31"/>
        <v>17</v>
      </c>
    </row>
    <row r="1898" spans="1:9">
      <c r="A1898" s="1">
        <v>42682.511805555558</v>
      </c>
      <c r="B1898" s="19">
        <v>42549</v>
      </c>
      <c r="C1898" s="21">
        <v>0.83125000000000004</v>
      </c>
      <c r="D1898" s="20" t="s">
        <v>3046</v>
      </c>
      <c r="E1898" t="s">
        <v>0</v>
      </c>
      <c r="F1898" t="s">
        <v>10</v>
      </c>
      <c r="G1898" t="s">
        <v>1817</v>
      </c>
      <c r="H1898">
        <v>13</v>
      </c>
      <c r="I1898">
        <f t="shared" si="31"/>
        <v>17</v>
      </c>
    </row>
    <row r="1899" spans="1:9">
      <c r="A1899" s="1">
        <v>42682.4375</v>
      </c>
      <c r="B1899" s="19">
        <v>42549</v>
      </c>
      <c r="C1899" s="21">
        <v>0.64722222222222225</v>
      </c>
      <c r="D1899" s="20" t="s">
        <v>3042</v>
      </c>
      <c r="E1899" t="s">
        <v>0</v>
      </c>
      <c r="F1899" t="s">
        <v>75</v>
      </c>
      <c r="H1899">
        <v>7</v>
      </c>
      <c r="I1899">
        <f t="shared" si="31"/>
        <v>9</v>
      </c>
    </row>
    <row r="1900" spans="1:9">
      <c r="A1900" s="1">
        <v>42682.254166666666</v>
      </c>
      <c r="B1900" s="19">
        <v>42549</v>
      </c>
      <c r="C1900" s="21">
        <v>0.58402777777777781</v>
      </c>
      <c r="D1900" s="20" t="s">
        <v>3040</v>
      </c>
      <c r="E1900" t="s">
        <v>0</v>
      </c>
      <c r="F1900" t="s">
        <v>10</v>
      </c>
      <c r="G1900" t="s">
        <v>734</v>
      </c>
      <c r="H1900">
        <v>13</v>
      </c>
      <c r="I1900">
        <f t="shared" si="31"/>
        <v>17</v>
      </c>
    </row>
    <row r="1901" spans="1:9">
      <c r="A1901" s="1">
        <v>42682.225694444445</v>
      </c>
      <c r="B1901" s="19">
        <v>42549</v>
      </c>
      <c r="C1901" s="21">
        <v>0.57708333333333328</v>
      </c>
      <c r="D1901" s="20" t="s">
        <v>3039</v>
      </c>
      <c r="E1901" t="s">
        <v>0</v>
      </c>
      <c r="F1901" t="s">
        <v>10</v>
      </c>
      <c r="G1901" t="s">
        <v>84</v>
      </c>
      <c r="H1901">
        <v>13</v>
      </c>
      <c r="I1901">
        <f t="shared" si="31"/>
        <v>17</v>
      </c>
    </row>
    <row r="1902" spans="1:9">
      <c r="A1902" s="1">
        <v>42681.961805555555</v>
      </c>
      <c r="B1902" s="19">
        <v>42549</v>
      </c>
      <c r="C1902" s="21">
        <v>0.55347222222222225</v>
      </c>
      <c r="D1902" s="20" t="s">
        <v>3039</v>
      </c>
      <c r="E1902" t="s">
        <v>33</v>
      </c>
      <c r="F1902" t="s">
        <v>44</v>
      </c>
      <c r="G1902" t="s">
        <v>1818</v>
      </c>
      <c r="H1902">
        <v>19</v>
      </c>
      <c r="I1902">
        <f t="shared" si="31"/>
        <v>24</v>
      </c>
    </row>
    <row r="1903" spans="1:9">
      <c r="A1903" s="1">
        <v>42681.589583333334</v>
      </c>
      <c r="B1903" s="19">
        <v>42549</v>
      </c>
      <c r="C1903" s="21">
        <v>0.49861111111111112</v>
      </c>
      <c r="D1903" s="20" t="s">
        <v>3037</v>
      </c>
      <c r="E1903" t="s">
        <v>33</v>
      </c>
      <c r="F1903" t="s">
        <v>44</v>
      </c>
      <c r="G1903" t="s">
        <v>1820</v>
      </c>
      <c r="H1903">
        <v>5</v>
      </c>
      <c r="I1903">
        <f t="shared" si="31"/>
        <v>7</v>
      </c>
    </row>
    <row r="1904" spans="1:9">
      <c r="A1904" s="1">
        <v>42681.431250000001</v>
      </c>
      <c r="B1904" s="19">
        <v>42549</v>
      </c>
      <c r="C1904" s="21">
        <v>0.44236111111111109</v>
      </c>
      <c r="D1904" s="20" t="s">
        <v>3036</v>
      </c>
      <c r="E1904" t="s">
        <v>0</v>
      </c>
      <c r="G1904" t="s">
        <v>1821</v>
      </c>
      <c r="H1904">
        <v>13</v>
      </c>
      <c r="I1904">
        <f t="shared" si="31"/>
        <v>17</v>
      </c>
    </row>
    <row r="1905" spans="1:9">
      <c r="A1905" s="1">
        <v>42681.355555555558</v>
      </c>
      <c r="B1905" s="19">
        <v>42549</v>
      </c>
      <c r="C1905" s="21">
        <v>7.6388888888888886E-3</v>
      </c>
      <c r="D1905" s="20" t="s">
        <v>3050</v>
      </c>
      <c r="E1905" t="s">
        <v>0</v>
      </c>
      <c r="F1905" t="s">
        <v>10</v>
      </c>
      <c r="G1905" t="s">
        <v>59</v>
      </c>
      <c r="H1905">
        <v>13</v>
      </c>
      <c r="I1905">
        <f t="shared" si="31"/>
        <v>17</v>
      </c>
    </row>
    <row r="1906" spans="1:9">
      <c r="A1906" s="1">
        <v>42681.305555555555</v>
      </c>
      <c r="B1906" s="19">
        <v>42549</v>
      </c>
      <c r="C1906" s="21">
        <v>0.98124999999999996</v>
      </c>
      <c r="D1906" s="20" t="s">
        <v>3063</v>
      </c>
      <c r="E1906" t="s">
        <v>6</v>
      </c>
      <c r="F1906" t="s">
        <v>754</v>
      </c>
      <c r="G1906" t="s">
        <v>1813</v>
      </c>
      <c r="H1906">
        <v>2</v>
      </c>
      <c r="I1906">
        <f t="shared" si="31"/>
        <v>3</v>
      </c>
    </row>
    <row r="1907" spans="1:9">
      <c r="A1907" s="1">
        <v>42681.272222222222</v>
      </c>
      <c r="B1907" s="19">
        <v>42549</v>
      </c>
      <c r="C1907" s="21">
        <v>0.96180555555555558</v>
      </c>
      <c r="D1907" s="20" t="s">
        <v>3063</v>
      </c>
      <c r="E1907" t="s">
        <v>6</v>
      </c>
      <c r="F1907" t="s">
        <v>15</v>
      </c>
      <c r="G1907" t="s">
        <v>1814</v>
      </c>
      <c r="H1907">
        <v>12</v>
      </c>
      <c r="I1907">
        <f t="shared" si="31"/>
        <v>15</v>
      </c>
    </row>
    <row r="1908" spans="1:9">
      <c r="A1908" s="1">
        <v>42681.25277777778</v>
      </c>
      <c r="B1908" s="19">
        <v>42549</v>
      </c>
      <c r="C1908" s="21">
        <v>0.90347222222222223</v>
      </c>
      <c r="D1908" s="20" t="s">
        <v>3048</v>
      </c>
      <c r="E1908" t="s">
        <v>6</v>
      </c>
      <c r="F1908" t="s">
        <v>12</v>
      </c>
      <c r="G1908" t="s">
        <v>1816</v>
      </c>
      <c r="H1908">
        <v>7</v>
      </c>
      <c r="I1908">
        <f t="shared" si="31"/>
        <v>9</v>
      </c>
    </row>
    <row r="1909" spans="1:9">
      <c r="A1909" s="1">
        <v>42681.919444444444</v>
      </c>
      <c r="B1909" s="19">
        <v>42549</v>
      </c>
      <c r="C1909" s="21">
        <v>0.64027777777777772</v>
      </c>
      <c r="D1909" s="20" t="s">
        <v>3042</v>
      </c>
      <c r="E1909" t="s">
        <v>6</v>
      </c>
      <c r="F1909" t="s">
        <v>12</v>
      </c>
      <c r="G1909" t="s">
        <v>1816</v>
      </c>
      <c r="H1909">
        <v>13</v>
      </c>
      <c r="I1909">
        <f t="shared" si="31"/>
        <v>17</v>
      </c>
    </row>
    <row r="1910" spans="1:9">
      <c r="A1910" s="1">
        <v>42681.917361111111</v>
      </c>
      <c r="B1910" s="19">
        <v>42549</v>
      </c>
      <c r="C1910" s="21">
        <v>0.51458333333333328</v>
      </c>
      <c r="D1910" s="20" t="s">
        <v>3038</v>
      </c>
      <c r="E1910" t="s">
        <v>6</v>
      </c>
      <c r="F1910" t="s">
        <v>21</v>
      </c>
      <c r="G1910" t="s">
        <v>1819</v>
      </c>
      <c r="H1910">
        <v>13</v>
      </c>
      <c r="I1910">
        <f t="shared" si="31"/>
        <v>17</v>
      </c>
    </row>
    <row r="1911" spans="1:9">
      <c r="A1911" s="1">
        <v>42681.780555555553</v>
      </c>
      <c r="B1911" s="19">
        <v>42549</v>
      </c>
      <c r="C1911" s="21">
        <v>0.36666666666666664</v>
      </c>
      <c r="D1911" s="20" t="s">
        <v>3034</v>
      </c>
      <c r="E1911" t="s">
        <v>6</v>
      </c>
      <c r="F1911" t="s">
        <v>12</v>
      </c>
      <c r="G1911" t="s">
        <v>45</v>
      </c>
      <c r="H1911">
        <v>3</v>
      </c>
      <c r="I1911">
        <f t="shared" si="31"/>
        <v>4</v>
      </c>
    </row>
    <row r="1912" spans="1:9">
      <c r="A1912" s="1">
        <v>42681.710416666669</v>
      </c>
      <c r="B1912" s="19">
        <v>42549</v>
      </c>
      <c r="C1912" s="21">
        <v>0.33124999999999999</v>
      </c>
      <c r="D1912" s="20" t="s">
        <v>3033</v>
      </c>
      <c r="E1912" t="s">
        <v>6</v>
      </c>
      <c r="F1912" t="s">
        <v>15</v>
      </c>
      <c r="G1912" t="s">
        <v>1822</v>
      </c>
      <c r="H1912">
        <v>5</v>
      </c>
      <c r="I1912">
        <f t="shared" si="31"/>
        <v>7</v>
      </c>
    </row>
    <row r="1913" spans="1:9">
      <c r="A1913" s="1">
        <v>42681.589583333334</v>
      </c>
      <c r="B1913" s="19">
        <v>42549</v>
      </c>
      <c r="C1913" s="21">
        <v>0.30902777777777779</v>
      </c>
      <c r="D1913" s="20" t="s">
        <v>3033</v>
      </c>
      <c r="E1913" t="s">
        <v>2</v>
      </c>
      <c r="F1913" t="s">
        <v>5</v>
      </c>
      <c r="G1913" t="s">
        <v>1823</v>
      </c>
      <c r="H1913">
        <v>23</v>
      </c>
      <c r="I1913">
        <f t="shared" si="31"/>
        <v>29</v>
      </c>
    </row>
    <row r="1914" spans="1:9">
      <c r="A1914" s="1">
        <v>42681.25277777778</v>
      </c>
      <c r="B1914" s="19">
        <v>42549</v>
      </c>
      <c r="C1914" s="21">
        <v>0.28611111111111109</v>
      </c>
      <c r="D1914" s="20" t="s">
        <v>3031</v>
      </c>
      <c r="E1914" t="s">
        <v>6</v>
      </c>
      <c r="F1914" t="s">
        <v>7</v>
      </c>
      <c r="G1914" t="s">
        <v>1824</v>
      </c>
      <c r="H1914">
        <v>8</v>
      </c>
      <c r="I1914">
        <f t="shared" si="31"/>
        <v>10</v>
      </c>
    </row>
    <row r="1915" spans="1:9">
      <c r="A1915" s="1">
        <v>42679.510416666664</v>
      </c>
      <c r="B1915" s="19">
        <v>42549</v>
      </c>
      <c r="C1915" s="21">
        <v>0.27638888888888891</v>
      </c>
      <c r="D1915" s="20" t="s">
        <v>3031</v>
      </c>
      <c r="E1915" t="s">
        <v>2</v>
      </c>
      <c r="F1915" t="s">
        <v>5</v>
      </c>
      <c r="H1915">
        <v>13</v>
      </c>
      <c r="I1915">
        <f t="shared" si="31"/>
        <v>17</v>
      </c>
    </row>
    <row r="1916" spans="1:9">
      <c r="A1916" s="1">
        <v>42679.473611111112</v>
      </c>
      <c r="B1916" s="19">
        <v>42549</v>
      </c>
      <c r="C1916" s="21">
        <v>0.25763888888888886</v>
      </c>
      <c r="D1916" s="20" t="s">
        <v>3031</v>
      </c>
      <c r="E1916" t="s">
        <v>6</v>
      </c>
      <c r="F1916" t="s">
        <v>15</v>
      </c>
      <c r="G1916" t="s">
        <v>1825</v>
      </c>
      <c r="H1916">
        <v>4</v>
      </c>
      <c r="I1916">
        <f t="shared" si="31"/>
        <v>5</v>
      </c>
    </row>
    <row r="1917" spans="1:9">
      <c r="A1917" s="1">
        <v>42679.4</v>
      </c>
      <c r="B1917" s="19">
        <v>42549</v>
      </c>
      <c r="C1917" s="21">
        <v>0.2</v>
      </c>
      <c r="D1917" s="20" t="s">
        <v>3054</v>
      </c>
      <c r="E1917" t="s">
        <v>6</v>
      </c>
      <c r="F1917" t="s">
        <v>15</v>
      </c>
      <c r="G1917" t="s">
        <v>1826</v>
      </c>
      <c r="H1917" t="e">
        <v>#VALUE!</v>
      </c>
      <c r="I1917" t="e">
        <f t="shared" si="31"/>
        <v>#VALUE!</v>
      </c>
    </row>
    <row r="1918" spans="1:9">
      <c r="A1918" s="1">
        <v>42679.287499999999</v>
      </c>
      <c r="B1918" s="19">
        <v>42549</v>
      </c>
      <c r="C1918" s="21">
        <v>0.16527777777777777</v>
      </c>
      <c r="D1918" s="20" t="s">
        <v>3053</v>
      </c>
      <c r="E1918" t="s">
        <v>2</v>
      </c>
      <c r="F1918" t="s">
        <v>56</v>
      </c>
      <c r="G1918" t="s">
        <v>1827</v>
      </c>
      <c r="H1918">
        <v>38</v>
      </c>
      <c r="I1918">
        <f t="shared" si="31"/>
        <v>48</v>
      </c>
    </row>
    <row r="1919" spans="1:9">
      <c r="A1919" s="1">
        <v>42679.25</v>
      </c>
      <c r="B1919" s="19">
        <v>42549</v>
      </c>
      <c r="C1919" s="21">
        <v>0.12152777777777778</v>
      </c>
      <c r="D1919" s="20" t="s">
        <v>3052</v>
      </c>
      <c r="E1919" t="s">
        <v>6</v>
      </c>
      <c r="F1919" t="s">
        <v>46</v>
      </c>
      <c r="G1919" t="s">
        <v>1722</v>
      </c>
      <c r="H1919">
        <v>4</v>
      </c>
      <c r="I1919">
        <f t="shared" si="31"/>
        <v>5</v>
      </c>
    </row>
    <row r="1920" spans="1:9">
      <c r="A1920" s="1">
        <v>42679.179166666669</v>
      </c>
      <c r="B1920" s="19">
        <v>42549</v>
      </c>
      <c r="C1920" s="21">
        <v>0.10555555555555556</v>
      </c>
      <c r="D1920" s="20" t="s">
        <v>3052</v>
      </c>
      <c r="E1920" t="s">
        <v>6</v>
      </c>
      <c r="F1920" t="s">
        <v>12</v>
      </c>
      <c r="G1920" t="s">
        <v>1382</v>
      </c>
      <c r="H1920">
        <v>4</v>
      </c>
      <c r="I1920">
        <f t="shared" si="31"/>
        <v>5</v>
      </c>
    </row>
    <row r="1921" spans="1:9">
      <c r="A1921" s="1">
        <v>42679.168749999997</v>
      </c>
      <c r="B1921" s="19">
        <v>42549</v>
      </c>
      <c r="C1921" s="21">
        <v>0.10347222222222222</v>
      </c>
      <c r="D1921" s="20" t="s">
        <v>3052</v>
      </c>
      <c r="E1921" t="s">
        <v>6</v>
      </c>
      <c r="F1921" t="s">
        <v>12</v>
      </c>
      <c r="G1921" t="s">
        <v>1382</v>
      </c>
      <c r="H1921">
        <v>4</v>
      </c>
      <c r="I1921">
        <f t="shared" si="31"/>
        <v>5</v>
      </c>
    </row>
    <row r="1922" spans="1:9">
      <c r="A1922" s="1">
        <v>42679.156944444447</v>
      </c>
      <c r="B1922" s="19">
        <v>42549</v>
      </c>
      <c r="C1922" s="21">
        <v>1.3888888888888888E-2</v>
      </c>
      <c r="D1922" s="20" t="s">
        <v>3050</v>
      </c>
      <c r="E1922" t="s">
        <v>6</v>
      </c>
      <c r="F1922" t="s">
        <v>12</v>
      </c>
      <c r="G1922" t="s">
        <v>1382</v>
      </c>
      <c r="H1922">
        <v>7</v>
      </c>
      <c r="I1922">
        <f t="shared" si="31"/>
        <v>9</v>
      </c>
    </row>
    <row r="1923" spans="1:9">
      <c r="A1923" s="1">
        <v>42679.255555555559</v>
      </c>
      <c r="B1923" s="19">
        <v>42550</v>
      </c>
      <c r="C1923" s="21">
        <v>0.56527777777777777</v>
      </c>
      <c r="D1923" s="20" t="s">
        <v>3039</v>
      </c>
      <c r="E1923" t="s">
        <v>149</v>
      </c>
      <c r="F1923" t="s">
        <v>150</v>
      </c>
      <c r="G1923" t="s">
        <v>1808</v>
      </c>
      <c r="H1923">
        <v>0</v>
      </c>
      <c r="I1923">
        <f t="shared" ref="I1923:I1986" si="32">ROUNDUP((H1923*1.24), 0)</f>
        <v>0</v>
      </c>
    </row>
    <row r="1924" spans="1:9">
      <c r="A1924" s="1">
        <v>42679.255555555559</v>
      </c>
      <c r="B1924" s="19">
        <v>42550</v>
      </c>
      <c r="C1924" s="21">
        <v>0.45277777777777778</v>
      </c>
      <c r="D1924" s="20" t="s">
        <v>3036</v>
      </c>
      <c r="E1924" t="s">
        <v>0</v>
      </c>
      <c r="G1924" t="s">
        <v>1809</v>
      </c>
      <c r="H1924">
        <v>7</v>
      </c>
      <c r="I1924">
        <f t="shared" si="32"/>
        <v>9</v>
      </c>
    </row>
    <row r="1925" spans="1:9">
      <c r="A1925" s="1">
        <v>42679.042361111111</v>
      </c>
      <c r="B1925" s="19">
        <v>42550</v>
      </c>
      <c r="C1925" s="21">
        <v>0.43611111111111112</v>
      </c>
      <c r="D1925" s="20" t="s">
        <v>3036</v>
      </c>
      <c r="E1925" t="s">
        <v>6</v>
      </c>
      <c r="F1925" t="s">
        <v>12</v>
      </c>
      <c r="G1925" t="s">
        <v>1810</v>
      </c>
      <c r="H1925">
        <v>4</v>
      </c>
      <c r="I1925">
        <f t="shared" si="32"/>
        <v>5</v>
      </c>
    </row>
    <row r="1926" spans="1:9">
      <c r="A1926" s="1">
        <v>42678.944444444445</v>
      </c>
      <c r="B1926" s="19">
        <v>42550</v>
      </c>
      <c r="C1926" s="21">
        <v>0.3923611111111111</v>
      </c>
      <c r="D1926" s="20" t="s">
        <v>3035</v>
      </c>
      <c r="E1926" t="s">
        <v>6</v>
      </c>
      <c r="F1926" t="s">
        <v>12</v>
      </c>
      <c r="G1926" t="s">
        <v>1811</v>
      </c>
      <c r="H1926">
        <v>7</v>
      </c>
      <c r="I1926">
        <f t="shared" si="32"/>
        <v>9</v>
      </c>
    </row>
    <row r="1927" spans="1:9">
      <c r="A1927" s="1">
        <v>42678.923611111109</v>
      </c>
      <c r="B1927" s="19">
        <v>42550</v>
      </c>
      <c r="C1927" s="21">
        <v>5.8333333333333334E-2</v>
      </c>
      <c r="D1927" s="20" t="s">
        <v>3051</v>
      </c>
      <c r="E1927" t="s">
        <v>6</v>
      </c>
      <c r="F1927" t="s">
        <v>12</v>
      </c>
      <c r="G1927" t="s">
        <v>1382</v>
      </c>
      <c r="H1927">
        <v>7</v>
      </c>
      <c r="I1927">
        <f t="shared" si="32"/>
        <v>9</v>
      </c>
    </row>
    <row r="1928" spans="1:9">
      <c r="A1928" s="1">
        <v>42678.724999999999</v>
      </c>
      <c r="B1928" s="19">
        <v>42550</v>
      </c>
      <c r="C1928" s="21">
        <v>5.2777777777777778E-2</v>
      </c>
      <c r="D1928" s="20" t="s">
        <v>3051</v>
      </c>
      <c r="E1928" t="s">
        <v>6</v>
      </c>
      <c r="F1928" t="s">
        <v>15</v>
      </c>
      <c r="G1928" t="s">
        <v>1812</v>
      </c>
      <c r="H1928">
        <v>38</v>
      </c>
      <c r="I1928">
        <f t="shared" si="32"/>
        <v>48</v>
      </c>
    </row>
    <row r="1929" spans="1:9">
      <c r="A1929" s="1">
        <v>42678.625694444447</v>
      </c>
      <c r="B1929" s="19">
        <v>42551</v>
      </c>
      <c r="C1929" s="21">
        <v>0.41319444444444442</v>
      </c>
      <c r="D1929" s="20" t="s">
        <v>3035</v>
      </c>
      <c r="E1929" t="s">
        <v>149</v>
      </c>
      <c r="F1929" t="s">
        <v>150</v>
      </c>
      <c r="G1929">
        <v>11129868</v>
      </c>
      <c r="H1929" t="e">
        <v>#VALUE!</v>
      </c>
      <c r="I1929" t="e">
        <f t="shared" si="32"/>
        <v>#VALUE!</v>
      </c>
    </row>
    <row r="1930" spans="1:9">
      <c r="A1930" s="1">
        <v>42678.597916666666</v>
      </c>
      <c r="B1930" s="19">
        <v>42551</v>
      </c>
      <c r="C1930" s="21">
        <v>0.32500000000000001</v>
      </c>
      <c r="D1930" s="20" t="s">
        <v>3033</v>
      </c>
      <c r="E1930" t="s">
        <v>6</v>
      </c>
      <c r="F1930" t="s">
        <v>12</v>
      </c>
      <c r="G1930" t="s">
        <v>120</v>
      </c>
      <c r="H1930">
        <v>4</v>
      </c>
      <c r="I1930">
        <f t="shared" si="32"/>
        <v>5</v>
      </c>
    </row>
    <row r="1931" spans="1:9">
      <c r="A1931" s="1">
        <v>42678.51666666667</v>
      </c>
      <c r="B1931" s="19">
        <v>42555</v>
      </c>
      <c r="C1931" s="21">
        <v>0.94722222222222219</v>
      </c>
      <c r="D1931" s="20" t="s">
        <v>3049</v>
      </c>
      <c r="E1931" t="s">
        <v>0</v>
      </c>
      <c r="G1931" t="s">
        <v>1801</v>
      </c>
      <c r="H1931" t="e">
        <v>#VALUE!</v>
      </c>
      <c r="I1931" t="e">
        <f t="shared" si="32"/>
        <v>#VALUE!</v>
      </c>
    </row>
    <row r="1932" spans="1:9">
      <c r="A1932" s="1">
        <v>42678.489583333336</v>
      </c>
      <c r="B1932" s="19">
        <v>42555</v>
      </c>
      <c r="C1932" s="21">
        <v>0.66597222222222219</v>
      </c>
      <c r="D1932" s="20" t="s">
        <v>3042</v>
      </c>
      <c r="E1932" t="s">
        <v>33</v>
      </c>
      <c r="F1932" t="s">
        <v>44</v>
      </c>
      <c r="G1932" t="s">
        <v>1803</v>
      </c>
      <c r="H1932">
        <v>75</v>
      </c>
      <c r="I1932">
        <f t="shared" si="32"/>
        <v>93</v>
      </c>
    </row>
    <row r="1933" spans="1:9">
      <c r="A1933" s="1">
        <v>42678.338194444441</v>
      </c>
      <c r="B1933" s="19">
        <v>42555</v>
      </c>
      <c r="C1933" s="21">
        <v>0.66527777777777775</v>
      </c>
      <c r="D1933" s="20" t="s">
        <v>3042</v>
      </c>
      <c r="E1933" t="s">
        <v>0</v>
      </c>
      <c r="F1933" t="s">
        <v>10</v>
      </c>
      <c r="G1933" t="s">
        <v>59</v>
      </c>
      <c r="H1933">
        <v>13</v>
      </c>
      <c r="I1933">
        <f t="shared" si="32"/>
        <v>17</v>
      </c>
    </row>
    <row r="1934" spans="1:9">
      <c r="A1934" s="1">
        <v>42678.329861111109</v>
      </c>
      <c r="B1934" s="19">
        <v>42555</v>
      </c>
      <c r="C1934" s="21">
        <v>0.60138888888888886</v>
      </c>
      <c r="D1934" s="20" t="s">
        <v>3040</v>
      </c>
      <c r="E1934" t="s">
        <v>149</v>
      </c>
      <c r="F1934" t="s">
        <v>150</v>
      </c>
      <c r="G1934" t="s">
        <v>1804</v>
      </c>
      <c r="H1934">
        <v>31</v>
      </c>
      <c r="I1934">
        <f t="shared" si="32"/>
        <v>39</v>
      </c>
    </row>
    <row r="1935" spans="1:9">
      <c r="A1935" s="1">
        <v>42678.321527777778</v>
      </c>
      <c r="B1935" s="19">
        <v>42555</v>
      </c>
      <c r="C1935" s="21">
        <v>0.59236111111111112</v>
      </c>
      <c r="D1935" s="20" t="s">
        <v>3040</v>
      </c>
      <c r="E1935" t="s">
        <v>0</v>
      </c>
      <c r="F1935" t="s">
        <v>10</v>
      </c>
      <c r="G1935" t="s">
        <v>1805</v>
      </c>
      <c r="H1935" t="e">
        <v>#VALUE!</v>
      </c>
      <c r="I1935" t="e">
        <f t="shared" si="32"/>
        <v>#VALUE!</v>
      </c>
    </row>
    <row r="1936" spans="1:9">
      <c r="A1936" s="1">
        <v>42678.272222222222</v>
      </c>
      <c r="B1936" s="19">
        <v>42555</v>
      </c>
      <c r="C1936" s="21">
        <v>0.57361111111111107</v>
      </c>
      <c r="D1936" s="20" t="s">
        <v>3039</v>
      </c>
      <c r="E1936" t="s">
        <v>0</v>
      </c>
      <c r="F1936" t="s">
        <v>10</v>
      </c>
      <c r="G1936" t="s">
        <v>1806</v>
      </c>
      <c r="H1936">
        <v>13</v>
      </c>
      <c r="I1936">
        <f t="shared" si="32"/>
        <v>17</v>
      </c>
    </row>
    <row r="1937" spans="1:9">
      <c r="A1937" s="1">
        <v>42678.163194444445</v>
      </c>
      <c r="B1937" s="19">
        <v>42555</v>
      </c>
      <c r="C1937" s="21">
        <v>0.56041666666666667</v>
      </c>
      <c r="D1937" s="20" t="s">
        <v>3039</v>
      </c>
      <c r="E1937" t="s">
        <v>0</v>
      </c>
      <c r="F1937" t="s">
        <v>1</v>
      </c>
      <c r="G1937" t="s">
        <v>1807</v>
      </c>
      <c r="H1937">
        <v>75</v>
      </c>
      <c r="I1937">
        <f t="shared" si="32"/>
        <v>93</v>
      </c>
    </row>
    <row r="1938" spans="1:9">
      <c r="A1938" s="1">
        <v>42678.92083333333</v>
      </c>
      <c r="B1938" s="19">
        <v>42555</v>
      </c>
      <c r="C1938" s="21">
        <v>0.99097222222222225</v>
      </c>
      <c r="D1938" s="20" t="s">
        <v>3063</v>
      </c>
      <c r="E1938" t="s">
        <v>2</v>
      </c>
      <c r="F1938" t="s">
        <v>5</v>
      </c>
      <c r="G1938" t="s">
        <v>1799</v>
      </c>
      <c r="H1938" t="e">
        <v>#VALUE!</v>
      </c>
      <c r="I1938" t="e">
        <f t="shared" si="32"/>
        <v>#VALUE!</v>
      </c>
    </row>
    <row r="1939" spans="1:9">
      <c r="A1939" s="1">
        <v>42678.896527777775</v>
      </c>
      <c r="B1939" s="19">
        <v>42555</v>
      </c>
      <c r="C1939" s="21">
        <v>0.96527777777777779</v>
      </c>
      <c r="D1939" s="20" t="s">
        <v>3063</v>
      </c>
      <c r="E1939" t="s">
        <v>6</v>
      </c>
      <c r="F1939" t="s">
        <v>21</v>
      </c>
      <c r="G1939" t="s">
        <v>1800</v>
      </c>
      <c r="H1939" t="e">
        <v>#VALUE!</v>
      </c>
      <c r="I1939" t="e">
        <f t="shared" si="32"/>
        <v>#VALUE!</v>
      </c>
    </row>
    <row r="1940" spans="1:9">
      <c r="A1940" s="1">
        <v>42678.586805555555</v>
      </c>
      <c r="B1940" s="19">
        <v>42555</v>
      </c>
      <c r="C1940" s="21">
        <v>0.85069444444444442</v>
      </c>
      <c r="D1940" s="20" t="s">
        <v>3047</v>
      </c>
      <c r="E1940" t="s">
        <v>6</v>
      </c>
      <c r="F1940" t="s">
        <v>46</v>
      </c>
      <c r="G1940" t="s">
        <v>1722</v>
      </c>
      <c r="H1940">
        <v>4</v>
      </c>
      <c r="I1940">
        <f t="shared" si="32"/>
        <v>5</v>
      </c>
    </row>
    <row r="1941" spans="1:9">
      <c r="A1941" s="1">
        <v>42678.488888888889</v>
      </c>
      <c r="B1941" s="19">
        <v>42555</v>
      </c>
      <c r="C1941" s="21">
        <v>0.83819444444444446</v>
      </c>
      <c r="D1941" s="20" t="s">
        <v>3047</v>
      </c>
      <c r="E1941" t="s">
        <v>2</v>
      </c>
      <c r="F1941" t="s">
        <v>3</v>
      </c>
      <c r="H1941">
        <v>13</v>
      </c>
      <c r="I1941">
        <f t="shared" si="32"/>
        <v>17</v>
      </c>
    </row>
    <row r="1942" spans="1:9">
      <c r="A1942" s="1">
        <v>42678.255555555559</v>
      </c>
      <c r="B1942" s="19">
        <v>42555</v>
      </c>
      <c r="C1942" s="21">
        <v>0.79513888888888884</v>
      </c>
      <c r="D1942" s="20" t="s">
        <v>3046</v>
      </c>
      <c r="E1942" t="s">
        <v>6</v>
      </c>
      <c r="F1942" t="s">
        <v>61</v>
      </c>
      <c r="G1942" t="s">
        <v>1802</v>
      </c>
      <c r="H1942">
        <v>13</v>
      </c>
      <c r="I1942">
        <f t="shared" si="32"/>
        <v>17</v>
      </c>
    </row>
    <row r="1943" spans="1:9">
      <c r="A1943" s="1">
        <v>42678.248611111114</v>
      </c>
      <c r="B1943" s="19">
        <v>42555</v>
      </c>
      <c r="C1943" s="21">
        <v>0.78472222222222221</v>
      </c>
      <c r="D1943" s="20" t="s">
        <v>3045</v>
      </c>
      <c r="E1943" t="s">
        <v>6</v>
      </c>
      <c r="F1943" t="s">
        <v>46</v>
      </c>
      <c r="G1943" t="s">
        <v>1722</v>
      </c>
      <c r="H1943">
        <v>5</v>
      </c>
      <c r="I1943">
        <f t="shared" si="32"/>
        <v>7</v>
      </c>
    </row>
    <row r="1944" spans="1:9">
      <c r="A1944" s="1">
        <v>42677.996527777781</v>
      </c>
      <c r="B1944" s="19">
        <v>42555</v>
      </c>
      <c r="C1944" s="21">
        <v>0.70625000000000004</v>
      </c>
      <c r="D1944" s="20" t="s">
        <v>3043</v>
      </c>
      <c r="E1944" t="s">
        <v>6</v>
      </c>
      <c r="F1944" t="s">
        <v>12</v>
      </c>
      <c r="G1944" t="s">
        <v>27</v>
      </c>
      <c r="H1944">
        <v>4</v>
      </c>
      <c r="I1944">
        <f t="shared" si="32"/>
        <v>5</v>
      </c>
    </row>
    <row r="1945" spans="1:9">
      <c r="A1945" s="1">
        <v>42677.958333333336</v>
      </c>
      <c r="B1945" s="19">
        <v>42556</v>
      </c>
      <c r="C1945" s="21">
        <v>0.9819444444444444</v>
      </c>
      <c r="D1945" s="20" t="s">
        <v>3063</v>
      </c>
      <c r="E1945" t="s">
        <v>0</v>
      </c>
      <c r="G1945" t="s">
        <v>1780</v>
      </c>
      <c r="H1945">
        <v>50</v>
      </c>
      <c r="I1945">
        <f t="shared" si="32"/>
        <v>62</v>
      </c>
    </row>
    <row r="1946" spans="1:9">
      <c r="A1946" s="1">
        <v>42677.719444444447</v>
      </c>
      <c r="B1946" s="19">
        <v>42556</v>
      </c>
      <c r="C1946" s="21">
        <v>0.95416666666666672</v>
      </c>
      <c r="D1946" s="20" t="s">
        <v>3049</v>
      </c>
      <c r="E1946" t="s">
        <v>33</v>
      </c>
      <c r="F1946" t="s">
        <v>44</v>
      </c>
      <c r="G1946" t="s">
        <v>1783</v>
      </c>
      <c r="H1946">
        <v>4</v>
      </c>
      <c r="I1946">
        <f t="shared" si="32"/>
        <v>5</v>
      </c>
    </row>
    <row r="1947" spans="1:9">
      <c r="A1947" s="1">
        <v>42677.648611111108</v>
      </c>
      <c r="B1947" s="19">
        <v>42556</v>
      </c>
      <c r="C1947" s="21">
        <v>0.89930555555555558</v>
      </c>
      <c r="D1947" s="20" t="s">
        <v>3048</v>
      </c>
      <c r="E1947" t="s">
        <v>77</v>
      </c>
      <c r="F1947" t="s">
        <v>78</v>
      </c>
      <c r="G1947" t="s">
        <v>1598</v>
      </c>
      <c r="H1947">
        <v>3</v>
      </c>
      <c r="I1947">
        <f t="shared" si="32"/>
        <v>4</v>
      </c>
    </row>
    <row r="1948" spans="1:9">
      <c r="A1948" s="1">
        <v>42677.624305555553</v>
      </c>
      <c r="B1948" s="19">
        <v>42556</v>
      </c>
      <c r="C1948" s="21">
        <v>0.62569444444444444</v>
      </c>
      <c r="D1948" s="20" t="s">
        <v>3042</v>
      </c>
      <c r="E1948" t="s">
        <v>33</v>
      </c>
      <c r="F1948" t="s">
        <v>44</v>
      </c>
      <c r="G1948" t="s">
        <v>1788</v>
      </c>
      <c r="H1948">
        <v>149</v>
      </c>
      <c r="I1948">
        <f t="shared" si="32"/>
        <v>185</v>
      </c>
    </row>
    <row r="1949" spans="1:9">
      <c r="A1949" s="1">
        <v>42677.524305555555</v>
      </c>
      <c r="B1949" s="19">
        <v>42556</v>
      </c>
      <c r="C1949" s="21">
        <v>0.62361111111111112</v>
      </c>
      <c r="D1949" s="20" t="s">
        <v>3040</v>
      </c>
      <c r="E1949" t="s">
        <v>0</v>
      </c>
      <c r="F1949" t="s">
        <v>75</v>
      </c>
      <c r="G1949" t="s">
        <v>1789</v>
      </c>
      <c r="H1949">
        <v>25</v>
      </c>
      <c r="I1949">
        <f t="shared" si="32"/>
        <v>31</v>
      </c>
    </row>
    <row r="1950" spans="1:9">
      <c r="A1950" s="1">
        <v>42677.510416666664</v>
      </c>
      <c r="B1950" s="19">
        <v>42556</v>
      </c>
      <c r="C1950" s="21">
        <v>0.59583333333333333</v>
      </c>
      <c r="D1950" s="20" t="s">
        <v>3040</v>
      </c>
      <c r="E1950" t="s">
        <v>33</v>
      </c>
      <c r="F1950" t="s">
        <v>34</v>
      </c>
      <c r="G1950" t="s">
        <v>1790</v>
      </c>
      <c r="H1950">
        <v>13</v>
      </c>
      <c r="I1950">
        <f t="shared" si="32"/>
        <v>17</v>
      </c>
    </row>
    <row r="1951" spans="1:9">
      <c r="A1951" s="1">
        <v>42677.478472222225</v>
      </c>
      <c r="B1951" s="19">
        <v>42556</v>
      </c>
      <c r="C1951" s="21">
        <v>0.58125000000000004</v>
      </c>
      <c r="D1951" s="20" t="s">
        <v>3039</v>
      </c>
      <c r="E1951" t="s">
        <v>33</v>
      </c>
      <c r="G1951" t="s">
        <v>1791</v>
      </c>
      <c r="H1951">
        <v>38</v>
      </c>
      <c r="I1951">
        <f t="shared" si="32"/>
        <v>48</v>
      </c>
    </row>
    <row r="1952" spans="1:9">
      <c r="A1952" s="1">
        <v>42677.445138888892</v>
      </c>
      <c r="B1952" s="19">
        <v>42556</v>
      </c>
      <c r="C1952" s="21">
        <v>0.52430555555555558</v>
      </c>
      <c r="D1952" s="20" t="s">
        <v>3038</v>
      </c>
      <c r="E1952" t="s">
        <v>33</v>
      </c>
      <c r="F1952" t="s">
        <v>44</v>
      </c>
      <c r="G1952" t="s">
        <v>1793</v>
      </c>
      <c r="H1952">
        <v>13</v>
      </c>
      <c r="I1952">
        <f t="shared" si="32"/>
        <v>17</v>
      </c>
    </row>
    <row r="1953" spans="1:9">
      <c r="A1953" s="1">
        <v>42677.361805555556</v>
      </c>
      <c r="B1953" s="19">
        <v>42556</v>
      </c>
      <c r="C1953" s="21">
        <v>0.46250000000000002</v>
      </c>
      <c r="D1953" s="20" t="s">
        <v>3037</v>
      </c>
      <c r="E1953" t="s">
        <v>33</v>
      </c>
      <c r="F1953" t="s">
        <v>44</v>
      </c>
      <c r="G1953" t="s">
        <v>1793</v>
      </c>
      <c r="H1953">
        <v>13</v>
      </c>
      <c r="I1953">
        <f t="shared" si="32"/>
        <v>17</v>
      </c>
    </row>
    <row r="1954" spans="1:9">
      <c r="A1954" s="1">
        <v>42677.311805555553</v>
      </c>
      <c r="B1954" s="19">
        <v>42556</v>
      </c>
      <c r="C1954" s="21">
        <v>0.45624999999999999</v>
      </c>
      <c r="D1954" s="20" t="s">
        <v>3036</v>
      </c>
      <c r="E1954" t="s">
        <v>33</v>
      </c>
      <c r="F1954" t="s">
        <v>44</v>
      </c>
      <c r="G1954" t="s">
        <v>1793</v>
      </c>
      <c r="H1954">
        <v>10</v>
      </c>
      <c r="I1954">
        <f t="shared" si="32"/>
        <v>13</v>
      </c>
    </row>
    <row r="1955" spans="1:9">
      <c r="A1955" s="1">
        <v>42677.296527777777</v>
      </c>
      <c r="B1955" s="19">
        <v>42556</v>
      </c>
      <c r="C1955" s="21">
        <v>0.39513888888888887</v>
      </c>
      <c r="D1955" s="20" t="s">
        <v>3035</v>
      </c>
      <c r="E1955" t="s">
        <v>33</v>
      </c>
      <c r="F1955" t="s">
        <v>44</v>
      </c>
      <c r="G1955" t="s">
        <v>1795</v>
      </c>
      <c r="H1955">
        <v>31</v>
      </c>
      <c r="I1955">
        <f t="shared" si="32"/>
        <v>39</v>
      </c>
    </row>
    <row r="1956" spans="1:9">
      <c r="A1956" s="1">
        <v>42677.288888888892</v>
      </c>
      <c r="B1956" s="19">
        <v>42556</v>
      </c>
      <c r="C1956" s="21">
        <v>9.375E-2</v>
      </c>
      <c r="D1956" s="20" t="s">
        <v>3052</v>
      </c>
      <c r="E1956" t="s">
        <v>0</v>
      </c>
      <c r="G1956" t="s">
        <v>1415</v>
      </c>
      <c r="H1956">
        <v>3</v>
      </c>
      <c r="I1956">
        <f t="shared" si="32"/>
        <v>4</v>
      </c>
    </row>
    <row r="1957" spans="1:9">
      <c r="A1957" s="1">
        <v>42677.288194444445</v>
      </c>
      <c r="B1957" s="19">
        <v>42556</v>
      </c>
      <c r="C1957" s="21">
        <v>0.96805555555555556</v>
      </c>
      <c r="D1957" s="20" t="s">
        <v>3063</v>
      </c>
      <c r="E1957" t="s">
        <v>2</v>
      </c>
      <c r="F1957" t="s">
        <v>56</v>
      </c>
      <c r="G1957" t="s">
        <v>1781</v>
      </c>
      <c r="H1957">
        <v>22</v>
      </c>
      <c r="I1957">
        <f t="shared" si="32"/>
        <v>28</v>
      </c>
    </row>
    <row r="1958" spans="1:9">
      <c r="A1958" s="1">
        <v>42677.274305555555</v>
      </c>
      <c r="B1958" s="19">
        <v>42556</v>
      </c>
      <c r="C1958" s="21">
        <v>0.96111111111111114</v>
      </c>
      <c r="D1958" s="20" t="s">
        <v>3063</v>
      </c>
      <c r="E1958" t="s">
        <v>6</v>
      </c>
      <c r="F1958" t="s">
        <v>21</v>
      </c>
      <c r="G1958" t="s">
        <v>1782</v>
      </c>
      <c r="H1958">
        <v>7</v>
      </c>
      <c r="I1958">
        <f t="shared" si="32"/>
        <v>9</v>
      </c>
    </row>
    <row r="1959" spans="1:9">
      <c r="A1959" s="1">
        <v>42677.25</v>
      </c>
      <c r="B1959" s="19">
        <v>42556</v>
      </c>
      <c r="C1959" s="21">
        <v>0.86805555555555558</v>
      </c>
      <c r="D1959" s="20" t="s">
        <v>3047</v>
      </c>
      <c r="E1959" t="s">
        <v>6</v>
      </c>
      <c r="F1959" t="s">
        <v>12</v>
      </c>
      <c r="G1959" t="s">
        <v>1382</v>
      </c>
      <c r="H1959">
        <v>4</v>
      </c>
      <c r="I1959">
        <f t="shared" si="32"/>
        <v>5</v>
      </c>
    </row>
    <row r="1960" spans="1:9">
      <c r="A1960" s="1">
        <v>42677.140277777777</v>
      </c>
      <c r="B1960" s="19">
        <v>42556</v>
      </c>
      <c r="C1960" s="21">
        <v>0.83958333333333335</v>
      </c>
      <c r="D1960" s="20" t="s">
        <v>3047</v>
      </c>
      <c r="E1960" t="s">
        <v>6</v>
      </c>
      <c r="F1960" t="s">
        <v>12</v>
      </c>
      <c r="G1960" t="s">
        <v>1382</v>
      </c>
      <c r="H1960">
        <v>7</v>
      </c>
      <c r="I1960">
        <f t="shared" si="32"/>
        <v>9</v>
      </c>
    </row>
    <row r="1961" spans="1:9">
      <c r="A1961" s="1">
        <v>42677.038194444445</v>
      </c>
      <c r="B1961" s="19">
        <v>42556</v>
      </c>
      <c r="C1961" s="21">
        <v>0.82638888888888884</v>
      </c>
      <c r="D1961" s="20" t="s">
        <v>3046</v>
      </c>
      <c r="E1961" t="s">
        <v>6</v>
      </c>
      <c r="F1961" t="s">
        <v>89</v>
      </c>
      <c r="G1961" t="s">
        <v>1784</v>
      </c>
      <c r="H1961">
        <v>4</v>
      </c>
      <c r="I1961">
        <f t="shared" si="32"/>
        <v>5</v>
      </c>
    </row>
    <row r="1962" spans="1:9">
      <c r="A1962" s="1">
        <v>42677.004861111112</v>
      </c>
      <c r="B1962" s="19">
        <v>42556</v>
      </c>
      <c r="C1962" s="21">
        <v>0.77986111111111112</v>
      </c>
      <c r="D1962" s="20" t="s">
        <v>3045</v>
      </c>
      <c r="E1962" t="s">
        <v>6</v>
      </c>
      <c r="F1962" t="s">
        <v>12</v>
      </c>
      <c r="G1962" t="s">
        <v>1785</v>
      </c>
      <c r="H1962">
        <v>4</v>
      </c>
      <c r="I1962">
        <f t="shared" si="32"/>
        <v>5</v>
      </c>
    </row>
    <row r="1963" spans="1:9">
      <c r="A1963" s="1">
        <v>42677.918749999997</v>
      </c>
      <c r="B1963" s="19">
        <v>42556</v>
      </c>
      <c r="C1963" s="21">
        <v>0.72291666666666665</v>
      </c>
      <c r="D1963" s="20" t="s">
        <v>3044</v>
      </c>
      <c r="E1963" t="s">
        <v>2</v>
      </c>
      <c r="F1963" t="s">
        <v>56</v>
      </c>
      <c r="G1963" t="s">
        <v>1786</v>
      </c>
      <c r="H1963">
        <v>7</v>
      </c>
      <c r="I1963">
        <f t="shared" si="32"/>
        <v>9</v>
      </c>
    </row>
    <row r="1964" spans="1:9">
      <c r="A1964" s="1">
        <v>42677.588888888888</v>
      </c>
      <c r="B1964" s="19">
        <v>42556</v>
      </c>
      <c r="C1964" s="21">
        <v>0.71944444444444444</v>
      </c>
      <c r="D1964" s="20" t="s">
        <v>3044</v>
      </c>
      <c r="E1964" t="s">
        <v>6</v>
      </c>
      <c r="G1964" t="s">
        <v>1787</v>
      </c>
      <c r="H1964">
        <v>7</v>
      </c>
      <c r="I1964">
        <f t="shared" si="32"/>
        <v>9</v>
      </c>
    </row>
    <row r="1965" spans="1:9">
      <c r="A1965" s="1">
        <v>42677.578472222223</v>
      </c>
      <c r="B1965" s="19">
        <v>42556</v>
      </c>
      <c r="C1965" s="21">
        <v>0.65277777777777779</v>
      </c>
      <c r="D1965" s="20" t="s">
        <v>3042</v>
      </c>
      <c r="E1965" t="s">
        <v>6</v>
      </c>
      <c r="F1965" t="s">
        <v>26</v>
      </c>
      <c r="G1965" t="s">
        <v>65</v>
      </c>
      <c r="H1965">
        <v>19</v>
      </c>
      <c r="I1965">
        <f t="shared" si="32"/>
        <v>24</v>
      </c>
    </row>
    <row r="1966" spans="1:9">
      <c r="A1966" s="1">
        <v>42677.525000000001</v>
      </c>
      <c r="B1966" s="19">
        <v>42556</v>
      </c>
      <c r="C1966" s="21">
        <v>0.58888888888888891</v>
      </c>
      <c r="D1966" s="20" t="s">
        <v>3040</v>
      </c>
      <c r="E1966" t="s">
        <v>6</v>
      </c>
      <c r="F1966" t="s">
        <v>21</v>
      </c>
      <c r="G1966" t="s">
        <v>1538</v>
      </c>
      <c r="H1966">
        <v>10</v>
      </c>
      <c r="I1966">
        <f t="shared" si="32"/>
        <v>13</v>
      </c>
    </row>
    <row r="1967" spans="1:9">
      <c r="A1967" s="1">
        <v>42677.51666666667</v>
      </c>
      <c r="B1967" s="19">
        <v>42556</v>
      </c>
      <c r="C1967" s="21">
        <v>0.53055555555555556</v>
      </c>
      <c r="D1967" s="20" t="s">
        <v>3038</v>
      </c>
      <c r="E1967" t="s">
        <v>2</v>
      </c>
      <c r="F1967" t="s">
        <v>48</v>
      </c>
      <c r="G1967" t="s">
        <v>1792</v>
      </c>
      <c r="H1967">
        <v>20</v>
      </c>
      <c r="I1967">
        <f t="shared" si="32"/>
        <v>25</v>
      </c>
    </row>
    <row r="1968" spans="1:9">
      <c r="A1968" s="1">
        <v>42677.250694444447</v>
      </c>
      <c r="B1968" s="19">
        <v>42556</v>
      </c>
      <c r="C1968" s="21">
        <v>0.46527777777777779</v>
      </c>
      <c r="D1968" s="20" t="s">
        <v>3037</v>
      </c>
      <c r="E1968" t="s">
        <v>6</v>
      </c>
      <c r="F1968" t="s">
        <v>7</v>
      </c>
      <c r="G1968" t="s">
        <v>1794</v>
      </c>
      <c r="H1968">
        <v>62</v>
      </c>
      <c r="I1968">
        <f t="shared" si="32"/>
        <v>77</v>
      </c>
    </row>
    <row r="1969" spans="1:9">
      <c r="A1969" s="1">
        <v>42677.010416666664</v>
      </c>
      <c r="B1969" s="19">
        <v>42556</v>
      </c>
      <c r="C1969" s="21">
        <v>0.38194444444444442</v>
      </c>
      <c r="D1969" s="20" t="s">
        <v>3035</v>
      </c>
      <c r="E1969" t="s">
        <v>6</v>
      </c>
      <c r="F1969" t="s">
        <v>21</v>
      </c>
      <c r="G1969" t="s">
        <v>83</v>
      </c>
      <c r="H1969">
        <v>13</v>
      </c>
      <c r="I1969">
        <f t="shared" si="32"/>
        <v>17</v>
      </c>
    </row>
    <row r="1970" spans="1:9">
      <c r="A1970" s="1">
        <v>42676.994444444441</v>
      </c>
      <c r="B1970" s="19">
        <v>42556</v>
      </c>
      <c r="C1970" s="21">
        <v>0.36805555555555558</v>
      </c>
      <c r="D1970" s="20" t="s">
        <v>3034</v>
      </c>
      <c r="E1970" t="s">
        <v>6</v>
      </c>
      <c r="F1970" t="s">
        <v>167</v>
      </c>
      <c r="G1970" t="s">
        <v>1796</v>
      </c>
      <c r="H1970">
        <v>13</v>
      </c>
      <c r="I1970">
        <f t="shared" si="32"/>
        <v>17</v>
      </c>
    </row>
    <row r="1971" spans="1:9">
      <c r="A1971" s="1">
        <v>42676.92291666667</v>
      </c>
      <c r="B1971" s="19">
        <v>42556</v>
      </c>
      <c r="C1971" s="21">
        <v>0.27847222222222223</v>
      </c>
      <c r="D1971" s="20" t="s">
        <v>3031</v>
      </c>
      <c r="E1971" t="s">
        <v>2</v>
      </c>
      <c r="F1971" t="s">
        <v>3</v>
      </c>
      <c r="G1971" t="s">
        <v>1797</v>
      </c>
      <c r="H1971">
        <v>23</v>
      </c>
      <c r="I1971">
        <f t="shared" si="32"/>
        <v>29</v>
      </c>
    </row>
    <row r="1972" spans="1:9">
      <c r="A1972" s="1">
        <v>42676.791666666664</v>
      </c>
      <c r="B1972" s="19">
        <v>42556</v>
      </c>
      <c r="C1972" s="21">
        <v>0.17708333333333334</v>
      </c>
      <c r="D1972" s="20" t="s">
        <v>3054</v>
      </c>
      <c r="E1972" t="s">
        <v>6</v>
      </c>
      <c r="F1972" t="s">
        <v>273</v>
      </c>
      <c r="G1972" t="s">
        <v>1798</v>
      </c>
      <c r="H1972">
        <v>25</v>
      </c>
      <c r="I1972">
        <f t="shared" si="32"/>
        <v>31</v>
      </c>
    </row>
    <row r="1973" spans="1:9">
      <c r="A1973" s="1">
        <v>42676.725694444445</v>
      </c>
      <c r="B1973" s="19">
        <v>42557</v>
      </c>
      <c r="C1973" s="21">
        <v>0.68819444444444444</v>
      </c>
      <c r="D1973" s="20" t="s">
        <v>3043</v>
      </c>
      <c r="E1973" t="s">
        <v>0</v>
      </c>
      <c r="G1973" t="s">
        <v>104</v>
      </c>
      <c r="H1973">
        <v>69</v>
      </c>
      <c r="I1973">
        <f t="shared" si="32"/>
        <v>86</v>
      </c>
    </row>
    <row r="1974" spans="1:9">
      <c r="A1974" s="1">
        <v>42676.666666666664</v>
      </c>
      <c r="B1974" s="19">
        <v>42557</v>
      </c>
      <c r="C1974" s="21">
        <v>0.81805555555555554</v>
      </c>
      <c r="D1974" s="20" t="s">
        <v>3046</v>
      </c>
      <c r="E1974" t="s">
        <v>6</v>
      </c>
      <c r="F1974" t="s">
        <v>12</v>
      </c>
      <c r="G1974" t="s">
        <v>1774</v>
      </c>
      <c r="H1974" t="e">
        <v>#VALUE!</v>
      </c>
      <c r="I1974" t="e">
        <f t="shared" si="32"/>
        <v>#VALUE!</v>
      </c>
    </row>
    <row r="1975" spans="1:9">
      <c r="A1975" s="1">
        <v>42676.584027777775</v>
      </c>
      <c r="B1975" s="19">
        <v>42557</v>
      </c>
      <c r="C1975" s="21">
        <v>0.7729166666666667</v>
      </c>
      <c r="D1975" s="20" t="s">
        <v>3045</v>
      </c>
      <c r="E1975" t="s">
        <v>6</v>
      </c>
      <c r="F1975" t="s">
        <v>7</v>
      </c>
      <c r="G1975" t="s">
        <v>1775</v>
      </c>
      <c r="H1975">
        <v>5</v>
      </c>
      <c r="I1975">
        <f t="shared" si="32"/>
        <v>7</v>
      </c>
    </row>
    <row r="1976" spans="1:9">
      <c r="A1976" s="1">
        <v>42676.477777777778</v>
      </c>
      <c r="B1976" s="19">
        <v>42557</v>
      </c>
      <c r="C1976" s="21">
        <v>0.76666666666666672</v>
      </c>
      <c r="D1976" s="20" t="s">
        <v>3045</v>
      </c>
      <c r="E1976" t="s">
        <v>6</v>
      </c>
      <c r="F1976" t="s">
        <v>7</v>
      </c>
      <c r="G1976" t="s">
        <v>1735</v>
      </c>
      <c r="H1976">
        <v>5</v>
      </c>
      <c r="I1976">
        <f t="shared" si="32"/>
        <v>7</v>
      </c>
    </row>
    <row r="1977" spans="1:9">
      <c r="A1977" s="1">
        <v>42676.422222222223</v>
      </c>
      <c r="B1977" s="19">
        <v>42557</v>
      </c>
      <c r="C1977" s="21">
        <v>0.76249999999999996</v>
      </c>
      <c r="D1977" s="20" t="s">
        <v>3045</v>
      </c>
      <c r="E1977" t="s">
        <v>6</v>
      </c>
      <c r="F1977" t="s">
        <v>7</v>
      </c>
      <c r="G1977" t="s">
        <v>1735</v>
      </c>
      <c r="H1977">
        <v>5</v>
      </c>
      <c r="I1977">
        <f t="shared" si="32"/>
        <v>7</v>
      </c>
    </row>
    <row r="1978" spans="1:9">
      <c r="A1978" s="1">
        <v>42676.37222222222</v>
      </c>
      <c r="B1978" s="19">
        <v>42557</v>
      </c>
      <c r="C1978" s="21">
        <v>0.71527777777777779</v>
      </c>
      <c r="D1978" s="20" t="s">
        <v>3044</v>
      </c>
      <c r="E1978" t="s">
        <v>6</v>
      </c>
      <c r="F1978" t="s">
        <v>46</v>
      </c>
      <c r="H1978">
        <v>5</v>
      </c>
      <c r="I1978">
        <f t="shared" si="32"/>
        <v>7</v>
      </c>
    </row>
    <row r="1979" spans="1:9">
      <c r="A1979" s="1">
        <v>42676.322916666664</v>
      </c>
      <c r="B1979" s="19">
        <v>42557</v>
      </c>
      <c r="C1979" s="21">
        <v>0.71250000000000002</v>
      </c>
      <c r="D1979" s="20" t="s">
        <v>3044</v>
      </c>
      <c r="E1979" t="s">
        <v>6</v>
      </c>
      <c r="F1979" t="s">
        <v>7</v>
      </c>
      <c r="H1979">
        <v>13</v>
      </c>
      <c r="I1979">
        <f t="shared" si="32"/>
        <v>17</v>
      </c>
    </row>
    <row r="1980" spans="1:9">
      <c r="A1980" s="1">
        <v>42676.282638888886</v>
      </c>
      <c r="B1980" s="19">
        <v>42557</v>
      </c>
      <c r="C1980" s="21">
        <v>0.7</v>
      </c>
      <c r="D1980" s="20" t="s">
        <v>3043</v>
      </c>
      <c r="E1980" t="s">
        <v>6</v>
      </c>
      <c r="F1980" t="s">
        <v>12</v>
      </c>
      <c r="G1980" t="s">
        <v>1776</v>
      </c>
      <c r="H1980">
        <v>15</v>
      </c>
      <c r="I1980">
        <f t="shared" si="32"/>
        <v>19</v>
      </c>
    </row>
    <row r="1981" spans="1:9">
      <c r="A1981" s="1">
        <v>42676.28125</v>
      </c>
      <c r="B1981" s="19">
        <v>42557</v>
      </c>
      <c r="C1981" s="21">
        <v>0.6875</v>
      </c>
      <c r="D1981" s="20" t="s">
        <v>3043</v>
      </c>
      <c r="E1981" t="s">
        <v>6</v>
      </c>
      <c r="F1981" t="s">
        <v>26</v>
      </c>
      <c r="G1981" t="s">
        <v>1685</v>
      </c>
      <c r="H1981">
        <v>9</v>
      </c>
      <c r="I1981">
        <f t="shared" si="32"/>
        <v>12</v>
      </c>
    </row>
    <row r="1982" spans="1:9">
      <c r="A1982" s="1">
        <v>42676.917361111111</v>
      </c>
      <c r="B1982" s="19">
        <v>42557</v>
      </c>
      <c r="C1982" s="21">
        <v>0.67777777777777781</v>
      </c>
      <c r="D1982" s="20" t="s">
        <v>3043</v>
      </c>
      <c r="E1982" t="s">
        <v>6</v>
      </c>
      <c r="F1982" t="s">
        <v>15</v>
      </c>
      <c r="G1982" t="s">
        <v>1777</v>
      </c>
      <c r="H1982">
        <v>19</v>
      </c>
      <c r="I1982">
        <f t="shared" si="32"/>
        <v>24</v>
      </c>
    </row>
    <row r="1983" spans="1:9">
      <c r="A1983" s="1">
        <v>42676.25</v>
      </c>
      <c r="B1983" s="19">
        <v>42557</v>
      </c>
      <c r="C1983" s="21">
        <v>0.67291666666666672</v>
      </c>
      <c r="D1983" s="20" t="s">
        <v>3043</v>
      </c>
      <c r="E1983" t="s">
        <v>6</v>
      </c>
      <c r="F1983" t="s">
        <v>7</v>
      </c>
      <c r="G1983" t="s">
        <v>1735</v>
      </c>
      <c r="H1983">
        <v>5</v>
      </c>
      <c r="I1983">
        <f t="shared" si="32"/>
        <v>7</v>
      </c>
    </row>
    <row r="1984" spans="1:9">
      <c r="A1984" s="1">
        <v>42676.248611111114</v>
      </c>
      <c r="B1984" s="19">
        <v>42557</v>
      </c>
      <c r="C1984" s="21">
        <v>0.54305555555555551</v>
      </c>
      <c r="D1984" s="20" t="s">
        <v>3039</v>
      </c>
      <c r="E1984" t="s">
        <v>6</v>
      </c>
      <c r="F1984" t="s">
        <v>26</v>
      </c>
      <c r="G1984" t="s">
        <v>1778</v>
      </c>
      <c r="H1984">
        <v>15</v>
      </c>
      <c r="I1984">
        <f t="shared" si="32"/>
        <v>19</v>
      </c>
    </row>
    <row r="1985" spans="1:9">
      <c r="A1985" s="1">
        <v>42671.92291666667</v>
      </c>
      <c r="B1985" s="19">
        <v>42557</v>
      </c>
      <c r="C1985" s="21">
        <v>0.53263888888888888</v>
      </c>
      <c r="D1985" s="20" t="s">
        <v>3038</v>
      </c>
      <c r="E1985" t="s">
        <v>6</v>
      </c>
      <c r="F1985" t="s">
        <v>26</v>
      </c>
      <c r="G1985" t="s">
        <v>1778</v>
      </c>
      <c r="H1985">
        <v>17</v>
      </c>
      <c r="I1985">
        <f t="shared" si="32"/>
        <v>22</v>
      </c>
    </row>
    <row r="1986" spans="1:9">
      <c r="A1986" s="1">
        <v>42671.92291666667</v>
      </c>
      <c r="B1986" s="19">
        <v>42557</v>
      </c>
      <c r="C1986" s="21">
        <v>0.49930555555555556</v>
      </c>
      <c r="D1986" s="20" t="s">
        <v>3037</v>
      </c>
      <c r="E1986" t="s">
        <v>6</v>
      </c>
      <c r="F1986" t="s">
        <v>26</v>
      </c>
      <c r="G1986" t="s">
        <v>1778</v>
      </c>
      <c r="H1986">
        <v>41</v>
      </c>
      <c r="I1986">
        <f t="shared" si="32"/>
        <v>51</v>
      </c>
    </row>
    <row r="1987" spans="1:9">
      <c r="A1987" s="1">
        <v>42671.808333333334</v>
      </c>
      <c r="B1987" s="19">
        <v>42557</v>
      </c>
      <c r="C1987" s="21">
        <v>0.38055555555555554</v>
      </c>
      <c r="D1987" s="20" t="s">
        <v>3035</v>
      </c>
      <c r="E1987" t="s">
        <v>2</v>
      </c>
      <c r="F1987" t="s">
        <v>56</v>
      </c>
      <c r="G1987" t="s">
        <v>609</v>
      </c>
      <c r="H1987">
        <v>15</v>
      </c>
      <c r="I1987">
        <f t="shared" ref="I1987:I2050" si="33">ROUNDUP((H1987*1.24), 0)</f>
        <v>19</v>
      </c>
    </row>
    <row r="1988" spans="1:9">
      <c r="A1988" s="1">
        <v>42671.586111111108</v>
      </c>
      <c r="B1988" s="19">
        <v>42557</v>
      </c>
      <c r="C1988" s="21">
        <v>0.19236111111111112</v>
      </c>
      <c r="D1988" s="20" t="s">
        <v>3054</v>
      </c>
      <c r="E1988" t="s">
        <v>2</v>
      </c>
      <c r="F1988" t="s">
        <v>5</v>
      </c>
      <c r="H1988">
        <v>7</v>
      </c>
      <c r="I1988">
        <f t="shared" si="33"/>
        <v>9</v>
      </c>
    </row>
    <row r="1989" spans="1:9">
      <c r="A1989" s="1">
        <v>42671.56527777778</v>
      </c>
      <c r="B1989" s="19">
        <v>42557</v>
      </c>
      <c r="C1989" s="21">
        <v>0.17499999999999999</v>
      </c>
      <c r="D1989" s="20" t="s">
        <v>3054</v>
      </c>
      <c r="E1989" t="s">
        <v>6</v>
      </c>
      <c r="F1989" t="s">
        <v>46</v>
      </c>
      <c r="G1989" t="s">
        <v>178</v>
      </c>
      <c r="H1989">
        <v>31</v>
      </c>
      <c r="I1989">
        <f t="shared" si="33"/>
        <v>39</v>
      </c>
    </row>
    <row r="1990" spans="1:9">
      <c r="A1990" s="1">
        <v>42671.504861111112</v>
      </c>
      <c r="B1990" s="19">
        <v>42557</v>
      </c>
      <c r="C1990" s="21">
        <v>4.8611111111111112E-2</v>
      </c>
      <c r="D1990" s="20" t="s">
        <v>3051</v>
      </c>
      <c r="E1990" t="s">
        <v>6</v>
      </c>
      <c r="F1990" t="s">
        <v>15</v>
      </c>
      <c r="G1990" t="s">
        <v>1779</v>
      </c>
      <c r="H1990">
        <v>7</v>
      </c>
      <c r="I1990">
        <f t="shared" si="33"/>
        <v>9</v>
      </c>
    </row>
    <row r="1991" spans="1:9">
      <c r="A1991" s="1">
        <v>42671.494444444441</v>
      </c>
      <c r="B1991" s="19">
        <v>42557</v>
      </c>
      <c r="C1991" s="21">
        <v>6.9444444444444441E-3</v>
      </c>
      <c r="D1991" s="20" t="s">
        <v>3050</v>
      </c>
      <c r="E1991" t="s">
        <v>6</v>
      </c>
      <c r="F1991" t="s">
        <v>21</v>
      </c>
      <c r="G1991" t="s">
        <v>1779</v>
      </c>
      <c r="H1991">
        <v>8</v>
      </c>
      <c r="I1991">
        <f t="shared" si="33"/>
        <v>10</v>
      </c>
    </row>
    <row r="1992" spans="1:9">
      <c r="A1992" s="1">
        <v>42671.493750000001</v>
      </c>
      <c r="B1992" s="19">
        <v>42558</v>
      </c>
      <c r="C1992" s="21">
        <v>0.70138888888888884</v>
      </c>
      <c r="D1992" s="20" t="s">
        <v>3043</v>
      </c>
      <c r="E1992" t="s">
        <v>77</v>
      </c>
      <c r="F1992" t="s">
        <v>78</v>
      </c>
      <c r="G1992" t="s">
        <v>1762</v>
      </c>
      <c r="H1992">
        <v>3</v>
      </c>
      <c r="I1992">
        <f t="shared" si="33"/>
        <v>4</v>
      </c>
    </row>
    <row r="1993" spans="1:9">
      <c r="A1993" s="1">
        <v>42671.256249999999</v>
      </c>
      <c r="B1993" s="19">
        <v>42558</v>
      </c>
      <c r="C1993" s="21">
        <v>0.64236111111111116</v>
      </c>
      <c r="D1993" s="20" t="s">
        <v>3042</v>
      </c>
      <c r="E1993" t="s">
        <v>0</v>
      </c>
      <c r="G1993" t="s">
        <v>1682</v>
      </c>
      <c r="H1993">
        <v>7</v>
      </c>
      <c r="I1993">
        <f t="shared" si="33"/>
        <v>9</v>
      </c>
    </row>
    <row r="1994" spans="1:9">
      <c r="A1994" s="1">
        <v>42671.587500000001</v>
      </c>
      <c r="B1994" s="19">
        <v>42558</v>
      </c>
      <c r="C1994" s="21">
        <v>0.58958333333333335</v>
      </c>
      <c r="D1994" s="20" t="s">
        <v>3040</v>
      </c>
      <c r="E1994" t="s">
        <v>0</v>
      </c>
      <c r="G1994" t="s">
        <v>632</v>
      </c>
      <c r="H1994" t="e">
        <v>#VALUE!</v>
      </c>
      <c r="I1994" t="e">
        <f t="shared" si="33"/>
        <v>#VALUE!</v>
      </c>
    </row>
    <row r="1995" spans="1:9">
      <c r="A1995" s="1">
        <v>42671.586805555555</v>
      </c>
      <c r="B1995" s="19">
        <v>42558</v>
      </c>
      <c r="C1995" s="21">
        <v>0.58888888888888891</v>
      </c>
      <c r="D1995" s="20" t="s">
        <v>3040</v>
      </c>
      <c r="E1995" t="s">
        <v>0</v>
      </c>
      <c r="G1995" t="s">
        <v>1764</v>
      </c>
      <c r="H1995">
        <v>7</v>
      </c>
      <c r="I1995">
        <f t="shared" si="33"/>
        <v>9</v>
      </c>
    </row>
    <row r="1996" spans="1:9">
      <c r="A1996" s="1">
        <v>42671.253472222219</v>
      </c>
      <c r="B1996" s="19">
        <v>42558</v>
      </c>
      <c r="C1996" s="21">
        <v>0.31736111111111109</v>
      </c>
      <c r="D1996" s="20" t="s">
        <v>3033</v>
      </c>
      <c r="E1996" t="s">
        <v>77</v>
      </c>
      <c r="F1996" t="s">
        <v>78</v>
      </c>
      <c r="G1996" t="s">
        <v>1768</v>
      </c>
      <c r="H1996">
        <v>29</v>
      </c>
      <c r="I1996">
        <f t="shared" si="33"/>
        <v>36</v>
      </c>
    </row>
    <row r="1997" spans="1:9">
      <c r="A1997" s="1">
        <v>42670.966666666667</v>
      </c>
      <c r="B1997" s="19">
        <v>42558</v>
      </c>
      <c r="C1997" s="21">
        <v>0.29444444444444445</v>
      </c>
      <c r="D1997" s="20" t="s">
        <v>3033</v>
      </c>
      <c r="E1997" t="s">
        <v>18</v>
      </c>
      <c r="F1997" t="s">
        <v>71</v>
      </c>
      <c r="G1997" t="s">
        <v>1769</v>
      </c>
      <c r="H1997" t="e">
        <v>#VALUE!</v>
      </c>
      <c r="I1997" t="e">
        <f t="shared" si="33"/>
        <v>#VALUE!</v>
      </c>
    </row>
    <row r="1998" spans="1:9">
      <c r="A1998" s="1">
        <v>42670.957638888889</v>
      </c>
      <c r="B1998" s="19">
        <v>42558</v>
      </c>
      <c r="C1998" s="21">
        <v>0.28472222222222221</v>
      </c>
      <c r="D1998" s="20" t="s">
        <v>3031</v>
      </c>
      <c r="E1998" t="s">
        <v>33</v>
      </c>
      <c r="G1998" t="s">
        <v>1770</v>
      </c>
      <c r="H1998">
        <v>13</v>
      </c>
      <c r="I1998">
        <f t="shared" si="33"/>
        <v>17</v>
      </c>
    </row>
    <row r="1999" spans="1:9">
      <c r="A1999" s="1">
        <v>42670.919444444444</v>
      </c>
      <c r="B1999" s="19">
        <v>42558</v>
      </c>
      <c r="C1999" s="21">
        <v>0.18263888888888888</v>
      </c>
      <c r="D1999" s="20" t="s">
        <v>3054</v>
      </c>
      <c r="E1999" t="s">
        <v>0</v>
      </c>
      <c r="F1999" t="s">
        <v>1</v>
      </c>
      <c r="G1999" t="s">
        <v>1771</v>
      </c>
      <c r="H1999">
        <v>31</v>
      </c>
      <c r="I1999">
        <f t="shared" si="33"/>
        <v>39</v>
      </c>
    </row>
    <row r="2000" spans="1:9">
      <c r="A2000" s="1">
        <v>42670.888194444444</v>
      </c>
      <c r="B2000" s="19">
        <v>42558</v>
      </c>
      <c r="C2000" s="21">
        <v>0.18194444444444444</v>
      </c>
      <c r="D2000" s="20" t="s">
        <v>3054</v>
      </c>
      <c r="E2000" t="s">
        <v>33</v>
      </c>
      <c r="G2000" t="s">
        <v>1772</v>
      </c>
      <c r="H2000">
        <v>2</v>
      </c>
      <c r="I2000">
        <f t="shared" si="33"/>
        <v>3</v>
      </c>
    </row>
    <row r="2001" spans="1:9">
      <c r="A2001" s="1">
        <v>42670.626388888886</v>
      </c>
      <c r="B2001" s="19">
        <v>42558</v>
      </c>
      <c r="C2001" s="21">
        <v>0.91874999999999996</v>
      </c>
      <c r="D2001" s="20" t="s">
        <v>3049</v>
      </c>
      <c r="E2001" t="s">
        <v>6</v>
      </c>
      <c r="F2001" t="s">
        <v>15</v>
      </c>
      <c r="G2001" t="s">
        <v>1761</v>
      </c>
      <c r="H2001" t="e">
        <v>#VALUE!</v>
      </c>
      <c r="I2001" t="e">
        <f t="shared" si="33"/>
        <v>#VALUE!</v>
      </c>
    </row>
    <row r="2002" spans="1:9">
      <c r="A2002" s="1">
        <v>42670.351388888892</v>
      </c>
      <c r="B2002" s="19">
        <v>42558</v>
      </c>
      <c r="C2002" s="21">
        <v>0.80277777777777781</v>
      </c>
      <c r="D2002" s="20" t="s">
        <v>3046</v>
      </c>
      <c r="E2002" t="s">
        <v>6</v>
      </c>
      <c r="F2002" t="s">
        <v>46</v>
      </c>
      <c r="G2002" t="s">
        <v>1722</v>
      </c>
      <c r="H2002">
        <v>4</v>
      </c>
      <c r="I2002">
        <f t="shared" si="33"/>
        <v>5</v>
      </c>
    </row>
    <row r="2003" spans="1:9">
      <c r="A2003" s="1">
        <v>42670.314583333333</v>
      </c>
      <c r="B2003" s="19">
        <v>42558</v>
      </c>
      <c r="C2003" s="21">
        <v>0.71944444444444444</v>
      </c>
      <c r="D2003" s="20" t="s">
        <v>3044</v>
      </c>
      <c r="E2003" t="s">
        <v>6</v>
      </c>
      <c r="F2003" t="s">
        <v>15</v>
      </c>
      <c r="G2003" t="s">
        <v>1538</v>
      </c>
      <c r="H2003">
        <v>10</v>
      </c>
      <c r="I2003">
        <f t="shared" si="33"/>
        <v>13</v>
      </c>
    </row>
    <row r="2004" spans="1:9">
      <c r="A2004" s="1">
        <v>42670.284722222219</v>
      </c>
      <c r="B2004" s="19">
        <v>42558</v>
      </c>
      <c r="C2004" s="21">
        <v>0.71458333333333335</v>
      </c>
      <c r="D2004" s="20" t="s">
        <v>3044</v>
      </c>
      <c r="E2004" t="s">
        <v>6</v>
      </c>
      <c r="F2004" t="s">
        <v>12</v>
      </c>
      <c r="G2004" t="s">
        <v>1675</v>
      </c>
      <c r="H2004">
        <v>4</v>
      </c>
      <c r="I2004">
        <f t="shared" si="33"/>
        <v>5</v>
      </c>
    </row>
    <row r="2005" spans="1:9">
      <c r="A2005" s="1">
        <v>42670.109027777777</v>
      </c>
      <c r="B2005" s="19">
        <v>42558</v>
      </c>
      <c r="C2005" s="21">
        <v>0.59652777777777777</v>
      </c>
      <c r="D2005" s="20" t="s">
        <v>3040</v>
      </c>
      <c r="E2005" t="s">
        <v>2</v>
      </c>
      <c r="F2005" t="s">
        <v>5</v>
      </c>
      <c r="G2005" t="s">
        <v>1763</v>
      </c>
      <c r="H2005" t="e">
        <v>#VALUE!</v>
      </c>
      <c r="I2005" t="e">
        <f t="shared" si="33"/>
        <v>#VALUE!</v>
      </c>
    </row>
    <row r="2006" spans="1:9">
      <c r="A2006" s="1">
        <v>42670.587500000001</v>
      </c>
      <c r="B2006" s="19">
        <v>42558</v>
      </c>
      <c r="C2006" s="21">
        <v>0.43472222222222223</v>
      </c>
      <c r="D2006" s="20" t="s">
        <v>3036</v>
      </c>
      <c r="E2006" t="s">
        <v>2</v>
      </c>
      <c r="F2006" t="s">
        <v>5</v>
      </c>
      <c r="G2006" t="s">
        <v>1765</v>
      </c>
      <c r="H2006" t="e">
        <v>#VALUE!</v>
      </c>
      <c r="I2006" t="e">
        <f t="shared" si="33"/>
        <v>#VALUE!</v>
      </c>
    </row>
    <row r="2007" spans="1:9">
      <c r="A2007" s="1">
        <v>42670.586805555555</v>
      </c>
      <c r="B2007" s="19">
        <v>42558</v>
      </c>
      <c r="C2007" s="21">
        <v>0.37152777777777779</v>
      </c>
      <c r="D2007" s="20" t="s">
        <v>3034</v>
      </c>
      <c r="E2007" t="s">
        <v>6</v>
      </c>
      <c r="F2007" t="s">
        <v>15</v>
      </c>
      <c r="G2007" t="s">
        <v>1766</v>
      </c>
      <c r="H2007">
        <v>69</v>
      </c>
      <c r="I2007">
        <f t="shared" si="33"/>
        <v>86</v>
      </c>
    </row>
    <row r="2008" spans="1:9">
      <c r="A2008" s="1">
        <v>42670.459027777775</v>
      </c>
      <c r="B2008" s="19">
        <v>42558</v>
      </c>
      <c r="C2008" s="21">
        <v>0.36180555555555555</v>
      </c>
      <c r="D2008" s="20" t="s">
        <v>3034</v>
      </c>
      <c r="E2008" t="s">
        <v>6</v>
      </c>
      <c r="F2008" t="s">
        <v>15</v>
      </c>
      <c r="G2008" t="s">
        <v>1767</v>
      </c>
      <c r="H2008">
        <v>112</v>
      </c>
      <c r="I2008">
        <f t="shared" si="33"/>
        <v>139</v>
      </c>
    </row>
    <row r="2009" spans="1:9">
      <c r="A2009" s="1">
        <v>42670.251388888886</v>
      </c>
      <c r="B2009" s="19">
        <v>42558</v>
      </c>
      <c r="C2009" s="21">
        <v>0.18055555555555555</v>
      </c>
      <c r="D2009" s="20" t="s">
        <v>3054</v>
      </c>
      <c r="E2009" t="s">
        <v>6</v>
      </c>
      <c r="F2009" t="s">
        <v>12</v>
      </c>
      <c r="G2009" t="s">
        <v>1773</v>
      </c>
      <c r="H2009" t="e">
        <v>#VALUE!</v>
      </c>
      <c r="I2009" t="e">
        <f t="shared" si="33"/>
        <v>#VALUE!</v>
      </c>
    </row>
    <row r="2010" spans="1:9">
      <c r="A2010" s="1">
        <v>42669.942361111112</v>
      </c>
      <c r="B2010" s="19">
        <v>42559</v>
      </c>
      <c r="C2010" s="21">
        <v>0.7680555555555556</v>
      </c>
      <c r="D2010" s="20" t="s">
        <v>3045</v>
      </c>
      <c r="E2010" t="s">
        <v>149</v>
      </c>
      <c r="F2010" t="s">
        <v>150</v>
      </c>
      <c r="G2010" t="s">
        <v>1754</v>
      </c>
      <c r="H2010">
        <v>19</v>
      </c>
      <c r="I2010">
        <f t="shared" si="33"/>
        <v>24</v>
      </c>
    </row>
    <row r="2011" spans="1:9">
      <c r="A2011" s="1">
        <v>42669.840277777781</v>
      </c>
      <c r="B2011" s="19">
        <v>42559</v>
      </c>
      <c r="C2011" s="21">
        <v>0.51388888888888884</v>
      </c>
      <c r="D2011" s="20" t="s">
        <v>3038</v>
      </c>
      <c r="E2011" t="s">
        <v>0</v>
      </c>
      <c r="G2011" t="s">
        <v>1756</v>
      </c>
      <c r="H2011">
        <v>19</v>
      </c>
      <c r="I2011">
        <f t="shared" si="33"/>
        <v>24</v>
      </c>
    </row>
    <row r="2012" spans="1:9">
      <c r="A2012" s="1">
        <v>42669.683333333334</v>
      </c>
      <c r="B2012" s="19">
        <v>42559</v>
      </c>
      <c r="C2012" s="21">
        <v>0.26111111111111113</v>
      </c>
      <c r="D2012" s="20" t="s">
        <v>3031</v>
      </c>
      <c r="E2012" t="s">
        <v>0</v>
      </c>
      <c r="G2012" t="s">
        <v>1758</v>
      </c>
      <c r="H2012">
        <v>50</v>
      </c>
      <c r="I2012">
        <f t="shared" si="33"/>
        <v>62</v>
      </c>
    </row>
    <row r="2013" spans="1:9">
      <c r="A2013" s="1">
        <v>42669.65</v>
      </c>
      <c r="B2013" s="19">
        <v>42559</v>
      </c>
      <c r="C2013" s="21">
        <v>0.25347222222222221</v>
      </c>
      <c r="D2013" s="20" t="s">
        <v>3031</v>
      </c>
      <c r="E2013" t="s">
        <v>18</v>
      </c>
      <c r="F2013" t="s">
        <v>71</v>
      </c>
      <c r="G2013" t="s">
        <v>1759</v>
      </c>
      <c r="H2013" t="e">
        <v>#VALUE!</v>
      </c>
      <c r="I2013" t="e">
        <f t="shared" si="33"/>
        <v>#VALUE!</v>
      </c>
    </row>
    <row r="2014" spans="1:9">
      <c r="A2014" s="1">
        <v>42669.588888888888</v>
      </c>
      <c r="B2014" s="19">
        <v>42559</v>
      </c>
      <c r="C2014" s="21">
        <v>0.90902777777777777</v>
      </c>
      <c r="D2014" s="20" t="s">
        <v>3048</v>
      </c>
      <c r="E2014" t="s">
        <v>6</v>
      </c>
      <c r="F2014" t="s">
        <v>26</v>
      </c>
      <c r="G2014" t="s">
        <v>1752</v>
      </c>
      <c r="H2014">
        <v>13</v>
      </c>
      <c r="I2014">
        <f t="shared" si="33"/>
        <v>17</v>
      </c>
    </row>
    <row r="2015" spans="1:9">
      <c r="A2015" s="1">
        <v>42669.475694444445</v>
      </c>
      <c r="B2015" s="19">
        <v>42559</v>
      </c>
      <c r="C2015" s="21">
        <v>0.8930555555555556</v>
      </c>
      <c r="D2015" s="20" t="s">
        <v>3048</v>
      </c>
      <c r="E2015" t="s">
        <v>6</v>
      </c>
      <c r="F2015" t="s">
        <v>7</v>
      </c>
      <c r="G2015" t="s">
        <v>1753</v>
      </c>
      <c r="H2015">
        <v>10</v>
      </c>
      <c r="I2015">
        <f t="shared" si="33"/>
        <v>13</v>
      </c>
    </row>
    <row r="2016" spans="1:9">
      <c r="A2016" s="1">
        <v>42669.054861111108</v>
      </c>
      <c r="B2016" s="19">
        <v>42559</v>
      </c>
      <c r="C2016" s="21">
        <v>0.64722222222222225</v>
      </c>
      <c r="D2016" s="20" t="s">
        <v>3042</v>
      </c>
      <c r="E2016" t="s">
        <v>6</v>
      </c>
      <c r="F2016" t="s">
        <v>15</v>
      </c>
      <c r="G2016" t="s">
        <v>1755</v>
      </c>
      <c r="H2016">
        <v>13</v>
      </c>
      <c r="I2016">
        <f t="shared" si="33"/>
        <v>17</v>
      </c>
    </row>
    <row r="2017" spans="1:9">
      <c r="A2017" s="1">
        <v>42669.918749999997</v>
      </c>
      <c r="B2017" s="19">
        <v>42559</v>
      </c>
      <c r="C2017" s="21">
        <v>0.28958333333333336</v>
      </c>
      <c r="D2017" s="20" t="s">
        <v>3031</v>
      </c>
      <c r="E2017" t="s">
        <v>2</v>
      </c>
      <c r="F2017" t="s">
        <v>5</v>
      </c>
      <c r="G2017" t="s">
        <v>1757</v>
      </c>
      <c r="H2017" t="e">
        <v>#VALUE!</v>
      </c>
      <c r="I2017" t="e">
        <f t="shared" si="33"/>
        <v>#VALUE!</v>
      </c>
    </row>
    <row r="2018" spans="1:9">
      <c r="A2018" s="1">
        <v>42669.584722222222</v>
      </c>
      <c r="B2018" s="19">
        <v>42559</v>
      </c>
      <c r="C2018" s="21">
        <v>4.5138888888888888E-2</v>
      </c>
      <c r="D2018" s="20" t="s">
        <v>3051</v>
      </c>
      <c r="E2018" t="s">
        <v>2</v>
      </c>
      <c r="F2018" t="s">
        <v>5</v>
      </c>
      <c r="G2018" t="s">
        <v>67</v>
      </c>
      <c r="H2018">
        <v>19</v>
      </c>
      <c r="I2018">
        <f t="shared" si="33"/>
        <v>24</v>
      </c>
    </row>
    <row r="2019" spans="1:9">
      <c r="A2019" s="1">
        <v>42669.582638888889</v>
      </c>
      <c r="B2019" s="19">
        <v>42559</v>
      </c>
      <c r="C2019" s="21">
        <v>3.8194444444444448E-2</v>
      </c>
      <c r="D2019" s="20" t="s">
        <v>3050</v>
      </c>
      <c r="E2019" t="s">
        <v>6</v>
      </c>
      <c r="F2019" t="s">
        <v>12</v>
      </c>
      <c r="G2019" t="s">
        <v>1760</v>
      </c>
      <c r="H2019">
        <v>13</v>
      </c>
      <c r="I2019">
        <f t="shared" si="33"/>
        <v>17</v>
      </c>
    </row>
    <row r="2020" spans="1:9">
      <c r="A2020" s="1">
        <v>42669.345138888886</v>
      </c>
      <c r="B2020" s="19">
        <v>42560</v>
      </c>
      <c r="C2020" s="21">
        <v>0.11944444444444445</v>
      </c>
      <c r="D2020" s="20" t="s">
        <v>3052</v>
      </c>
      <c r="E2020" t="s">
        <v>6</v>
      </c>
      <c r="F2020" t="s">
        <v>12</v>
      </c>
      <c r="G2020" t="s">
        <v>1750</v>
      </c>
      <c r="H2020">
        <v>4</v>
      </c>
      <c r="I2020">
        <f t="shared" si="33"/>
        <v>5</v>
      </c>
    </row>
    <row r="2021" spans="1:9">
      <c r="A2021" s="1">
        <v>42669.322916666664</v>
      </c>
      <c r="B2021" s="19">
        <v>42560</v>
      </c>
      <c r="C2021" s="21">
        <v>8.5416666666666669E-2</v>
      </c>
      <c r="D2021" s="20" t="s">
        <v>3052</v>
      </c>
      <c r="E2021" t="s">
        <v>2</v>
      </c>
      <c r="F2021" t="s">
        <v>5</v>
      </c>
      <c r="H2021">
        <v>38</v>
      </c>
      <c r="I2021">
        <f t="shared" si="33"/>
        <v>48</v>
      </c>
    </row>
    <row r="2022" spans="1:9">
      <c r="A2022" s="1">
        <v>42669.247916666667</v>
      </c>
      <c r="B2022" s="19">
        <v>42560</v>
      </c>
      <c r="C2022" s="21">
        <v>4.027777777777778E-2</v>
      </c>
      <c r="D2022" s="20" t="s">
        <v>3050</v>
      </c>
      <c r="E2022" t="s">
        <v>6</v>
      </c>
      <c r="F2022" t="s">
        <v>15</v>
      </c>
      <c r="G2022" t="s">
        <v>1751</v>
      </c>
      <c r="H2022">
        <v>81</v>
      </c>
      <c r="I2022">
        <f t="shared" si="33"/>
        <v>101</v>
      </c>
    </row>
    <row r="2023" spans="1:9">
      <c r="A2023" s="1">
        <v>42668.819444444445</v>
      </c>
      <c r="B2023" s="19">
        <v>42562</v>
      </c>
      <c r="C2023" s="21">
        <v>0.92569444444444449</v>
      </c>
      <c r="D2023" s="20" t="s">
        <v>3049</v>
      </c>
      <c r="E2023" t="s">
        <v>18</v>
      </c>
      <c r="F2023" t="s">
        <v>100</v>
      </c>
      <c r="G2023" t="s">
        <v>1739</v>
      </c>
      <c r="H2023" t="e">
        <v>#VALUE!</v>
      </c>
      <c r="I2023" t="e">
        <f t="shared" si="33"/>
        <v>#VALUE!</v>
      </c>
    </row>
    <row r="2024" spans="1:9">
      <c r="A2024" s="1">
        <v>42668.680555555555</v>
      </c>
      <c r="B2024" s="19">
        <v>42562</v>
      </c>
      <c r="C2024" s="21">
        <v>0.58333333333333337</v>
      </c>
      <c r="D2024" s="20" t="s">
        <v>3040</v>
      </c>
      <c r="E2024" t="s">
        <v>0</v>
      </c>
      <c r="F2024" t="s">
        <v>10</v>
      </c>
      <c r="G2024" t="s">
        <v>1744</v>
      </c>
      <c r="H2024">
        <v>19</v>
      </c>
      <c r="I2024">
        <f t="shared" si="33"/>
        <v>24</v>
      </c>
    </row>
    <row r="2025" spans="1:9">
      <c r="A2025" s="1">
        <v>42668.254861111112</v>
      </c>
      <c r="B2025" s="19">
        <v>42562</v>
      </c>
      <c r="C2025" s="21">
        <v>0.5541666666666667</v>
      </c>
      <c r="D2025" s="20" t="s">
        <v>3039</v>
      </c>
      <c r="E2025" t="s">
        <v>33</v>
      </c>
      <c r="F2025" t="s">
        <v>44</v>
      </c>
      <c r="G2025" t="s">
        <v>1745</v>
      </c>
      <c r="H2025">
        <v>7</v>
      </c>
      <c r="I2025">
        <f t="shared" si="33"/>
        <v>9</v>
      </c>
    </row>
    <row r="2026" spans="1:9">
      <c r="A2026" s="1">
        <v>42668.148611111108</v>
      </c>
      <c r="B2026" s="19">
        <v>42562</v>
      </c>
      <c r="C2026" s="21">
        <v>0.51666666666666672</v>
      </c>
      <c r="D2026" s="20" t="s">
        <v>3038</v>
      </c>
      <c r="E2026" t="s">
        <v>77</v>
      </c>
      <c r="F2026" t="s">
        <v>78</v>
      </c>
      <c r="G2026" t="s">
        <v>1746</v>
      </c>
      <c r="H2026">
        <v>4</v>
      </c>
      <c r="I2026">
        <f t="shared" si="33"/>
        <v>5</v>
      </c>
    </row>
    <row r="2027" spans="1:9">
      <c r="A2027" s="1">
        <v>42668.088888888888</v>
      </c>
      <c r="B2027" s="19">
        <v>42562</v>
      </c>
      <c r="C2027" s="21">
        <v>0.42777777777777776</v>
      </c>
      <c r="D2027" s="20" t="s">
        <v>3036</v>
      </c>
      <c r="E2027" t="s">
        <v>77</v>
      </c>
      <c r="F2027" t="s">
        <v>159</v>
      </c>
      <c r="G2027" t="s">
        <v>1747</v>
      </c>
      <c r="H2027">
        <v>3</v>
      </c>
      <c r="I2027">
        <f t="shared" si="33"/>
        <v>4</v>
      </c>
    </row>
    <row r="2028" spans="1:9">
      <c r="A2028" s="1">
        <v>42668.043055555558</v>
      </c>
      <c r="B2028" s="19">
        <v>42562</v>
      </c>
      <c r="C2028" s="21">
        <v>0.36041666666666666</v>
      </c>
      <c r="D2028" s="20" t="s">
        <v>3034</v>
      </c>
      <c r="E2028" t="s">
        <v>33</v>
      </c>
      <c r="F2028" t="s">
        <v>155</v>
      </c>
      <c r="G2028" t="s">
        <v>1748</v>
      </c>
      <c r="H2028">
        <v>7</v>
      </c>
      <c r="I2028">
        <f t="shared" si="33"/>
        <v>9</v>
      </c>
    </row>
    <row r="2029" spans="1:9">
      <c r="A2029" s="1">
        <v>42668.022222222222</v>
      </c>
      <c r="B2029" s="19">
        <v>42562</v>
      </c>
      <c r="C2029" s="21">
        <v>0.25277777777777777</v>
      </c>
      <c r="D2029" s="20" t="s">
        <v>3031</v>
      </c>
      <c r="E2029" t="s">
        <v>0</v>
      </c>
      <c r="G2029" t="s">
        <v>1749</v>
      </c>
      <c r="H2029">
        <v>15</v>
      </c>
      <c r="I2029">
        <f t="shared" si="33"/>
        <v>19</v>
      </c>
    </row>
    <row r="2030" spans="1:9">
      <c r="A2030" s="1">
        <v>42668.92291666667</v>
      </c>
      <c r="B2030" s="19">
        <v>42562</v>
      </c>
      <c r="C2030" s="21">
        <v>0.8305555555555556</v>
      </c>
      <c r="D2030" s="20" t="s">
        <v>3046</v>
      </c>
      <c r="E2030" t="s">
        <v>2</v>
      </c>
      <c r="F2030" t="s">
        <v>3</v>
      </c>
      <c r="G2030" t="s">
        <v>4</v>
      </c>
      <c r="H2030">
        <v>7</v>
      </c>
      <c r="I2030">
        <f t="shared" si="33"/>
        <v>9</v>
      </c>
    </row>
    <row r="2031" spans="1:9">
      <c r="A2031" s="1">
        <v>42668.583333333336</v>
      </c>
      <c r="B2031" s="19">
        <v>42562</v>
      </c>
      <c r="C2031" s="21">
        <v>0.81458333333333333</v>
      </c>
      <c r="D2031" s="20" t="s">
        <v>3046</v>
      </c>
      <c r="E2031" t="s">
        <v>6</v>
      </c>
      <c r="F2031" t="s">
        <v>12</v>
      </c>
      <c r="G2031" t="s">
        <v>1740</v>
      </c>
      <c r="H2031">
        <v>3</v>
      </c>
      <c r="I2031">
        <f t="shared" si="33"/>
        <v>4</v>
      </c>
    </row>
    <row r="2032" spans="1:9">
      <c r="A2032" s="1">
        <v>42668.582638888889</v>
      </c>
      <c r="B2032" s="19">
        <v>42562</v>
      </c>
      <c r="C2032" s="21">
        <v>0.67152777777777772</v>
      </c>
      <c r="D2032" s="20" t="s">
        <v>3043</v>
      </c>
      <c r="E2032" t="s">
        <v>6</v>
      </c>
      <c r="F2032" t="s">
        <v>12</v>
      </c>
      <c r="G2032" t="s">
        <v>1741</v>
      </c>
      <c r="H2032">
        <v>2</v>
      </c>
      <c r="I2032">
        <f t="shared" si="33"/>
        <v>3</v>
      </c>
    </row>
    <row r="2033" spans="1:9">
      <c r="A2033" s="1">
        <v>42668.250694444447</v>
      </c>
      <c r="B2033" s="19">
        <v>42562</v>
      </c>
      <c r="C2033" s="21">
        <v>0.6333333333333333</v>
      </c>
      <c r="D2033" s="20" t="s">
        <v>3042</v>
      </c>
      <c r="E2033" t="s">
        <v>2</v>
      </c>
      <c r="F2033" t="s">
        <v>48</v>
      </c>
      <c r="H2033">
        <v>38</v>
      </c>
      <c r="I2033">
        <f t="shared" si="33"/>
        <v>48</v>
      </c>
    </row>
    <row r="2034" spans="1:9">
      <c r="A2034" s="1">
        <v>42668.043055555558</v>
      </c>
      <c r="B2034" s="19">
        <v>42562</v>
      </c>
      <c r="C2034" s="21">
        <v>0.61875000000000002</v>
      </c>
      <c r="D2034" s="20" t="s">
        <v>3040</v>
      </c>
      <c r="E2034" t="s">
        <v>6</v>
      </c>
      <c r="F2034" t="s">
        <v>12</v>
      </c>
      <c r="G2034" t="s">
        <v>1742</v>
      </c>
      <c r="H2034">
        <v>13</v>
      </c>
      <c r="I2034">
        <f t="shared" si="33"/>
        <v>17</v>
      </c>
    </row>
    <row r="2035" spans="1:9">
      <c r="A2035" s="1">
        <v>42668</v>
      </c>
      <c r="B2035" s="19">
        <v>42562</v>
      </c>
      <c r="C2035" s="21">
        <v>0.59513888888888888</v>
      </c>
      <c r="D2035" s="20" t="s">
        <v>3040</v>
      </c>
      <c r="E2035" t="s">
        <v>6</v>
      </c>
      <c r="F2035" t="s">
        <v>12</v>
      </c>
      <c r="G2035" t="s">
        <v>1743</v>
      </c>
      <c r="H2035">
        <v>15</v>
      </c>
      <c r="I2035">
        <f t="shared" si="33"/>
        <v>19</v>
      </c>
    </row>
    <row r="2036" spans="1:9">
      <c r="A2036" s="1">
        <v>42667.959722222222</v>
      </c>
      <c r="B2036" s="19">
        <v>42562</v>
      </c>
      <c r="C2036" s="21">
        <v>0.55694444444444446</v>
      </c>
      <c r="D2036" s="20" t="s">
        <v>3039</v>
      </c>
      <c r="E2036" t="s">
        <v>6</v>
      </c>
      <c r="F2036" t="s">
        <v>12</v>
      </c>
      <c r="G2036" t="s">
        <v>1675</v>
      </c>
      <c r="H2036">
        <v>5</v>
      </c>
      <c r="I2036">
        <f t="shared" si="33"/>
        <v>7</v>
      </c>
    </row>
    <row r="2037" spans="1:9">
      <c r="A2037" s="1">
        <v>42667.939583333333</v>
      </c>
      <c r="B2037" s="19">
        <v>42562</v>
      </c>
      <c r="C2037" s="21">
        <v>0.51597222222222228</v>
      </c>
      <c r="D2037" s="20" t="s">
        <v>3038</v>
      </c>
      <c r="E2037" t="s">
        <v>2</v>
      </c>
      <c r="F2037" t="s">
        <v>56</v>
      </c>
      <c r="G2037" t="s">
        <v>57</v>
      </c>
      <c r="H2037">
        <v>44</v>
      </c>
      <c r="I2037">
        <f t="shared" si="33"/>
        <v>55</v>
      </c>
    </row>
    <row r="2038" spans="1:9">
      <c r="A2038" s="1">
        <v>42667.724305555559</v>
      </c>
      <c r="B2038" s="19">
        <v>42562</v>
      </c>
      <c r="C2038" s="21">
        <v>0.375</v>
      </c>
      <c r="D2038" s="20" t="s">
        <v>3035</v>
      </c>
      <c r="E2038" t="s">
        <v>6</v>
      </c>
      <c r="F2038" t="s">
        <v>12</v>
      </c>
      <c r="G2038" t="s">
        <v>1605</v>
      </c>
      <c r="H2038">
        <v>5</v>
      </c>
      <c r="I2038">
        <f t="shared" si="33"/>
        <v>7</v>
      </c>
    </row>
    <row r="2039" spans="1:9">
      <c r="A2039" s="1">
        <v>42667.612500000003</v>
      </c>
      <c r="B2039" s="19">
        <v>42563</v>
      </c>
      <c r="C2039" s="21">
        <v>0.92291666666666672</v>
      </c>
      <c r="D2039" s="20" t="s">
        <v>3049</v>
      </c>
      <c r="E2039" t="s">
        <v>18</v>
      </c>
      <c r="F2039" t="s">
        <v>100</v>
      </c>
      <c r="G2039" t="s">
        <v>1726</v>
      </c>
      <c r="H2039" t="e">
        <v>#VALUE!</v>
      </c>
      <c r="I2039" t="e">
        <f t="shared" si="33"/>
        <v>#VALUE!</v>
      </c>
    </row>
    <row r="2040" spans="1:9">
      <c r="A2040" s="1">
        <v>42667.609027777777</v>
      </c>
      <c r="B2040" s="19">
        <v>42563</v>
      </c>
      <c r="C2040" s="21">
        <v>0.85069444444444442</v>
      </c>
      <c r="D2040" s="20" t="s">
        <v>3047</v>
      </c>
      <c r="E2040" t="s">
        <v>149</v>
      </c>
      <c r="F2040" t="s">
        <v>150</v>
      </c>
      <c r="G2040" t="s">
        <v>1727</v>
      </c>
      <c r="H2040">
        <v>20</v>
      </c>
      <c r="I2040">
        <f t="shared" si="33"/>
        <v>25</v>
      </c>
    </row>
    <row r="2041" spans="1:9">
      <c r="A2041" s="1">
        <v>42667.473611111112</v>
      </c>
      <c r="B2041" s="19">
        <v>42563</v>
      </c>
      <c r="C2041" s="21">
        <v>0.59375</v>
      </c>
      <c r="D2041" s="20" t="s">
        <v>3040</v>
      </c>
      <c r="E2041" t="s">
        <v>33</v>
      </c>
      <c r="F2041" t="s">
        <v>34</v>
      </c>
      <c r="G2041" t="s">
        <v>1731</v>
      </c>
      <c r="H2041">
        <v>2</v>
      </c>
      <c r="I2041">
        <f t="shared" si="33"/>
        <v>3</v>
      </c>
    </row>
    <row r="2042" spans="1:9">
      <c r="A2042" s="1">
        <v>42667.381249999999</v>
      </c>
      <c r="B2042" s="19">
        <v>42563</v>
      </c>
      <c r="C2042" s="21">
        <v>0.59305555555555556</v>
      </c>
      <c r="D2042" s="20" t="s">
        <v>3040</v>
      </c>
      <c r="E2042" t="s">
        <v>33</v>
      </c>
      <c r="F2042" t="s">
        <v>44</v>
      </c>
      <c r="G2042" t="s">
        <v>1732</v>
      </c>
      <c r="H2042">
        <v>31</v>
      </c>
      <c r="I2042">
        <f t="shared" si="33"/>
        <v>39</v>
      </c>
    </row>
    <row r="2043" spans="1:9">
      <c r="A2043" s="1">
        <v>42667.367361111108</v>
      </c>
      <c r="B2043" s="19">
        <v>42563</v>
      </c>
      <c r="C2043" s="21">
        <v>0.4465277777777778</v>
      </c>
      <c r="D2043" s="20" t="s">
        <v>3036</v>
      </c>
      <c r="E2043" t="s">
        <v>149</v>
      </c>
      <c r="F2043" t="s">
        <v>150</v>
      </c>
      <c r="G2043" t="s">
        <v>1734</v>
      </c>
      <c r="H2043">
        <v>13</v>
      </c>
      <c r="I2043">
        <f t="shared" si="33"/>
        <v>17</v>
      </c>
    </row>
    <row r="2044" spans="1:9">
      <c r="A2044" s="1">
        <v>42667.332638888889</v>
      </c>
      <c r="B2044" s="19">
        <v>42563</v>
      </c>
      <c r="C2044" s="21">
        <v>0.42291666666666666</v>
      </c>
      <c r="D2044" s="20" t="s">
        <v>3036</v>
      </c>
      <c r="E2044" t="s">
        <v>77</v>
      </c>
      <c r="F2044" t="s">
        <v>78</v>
      </c>
      <c r="G2044" t="s">
        <v>662</v>
      </c>
      <c r="H2044">
        <v>3</v>
      </c>
      <c r="I2044">
        <f t="shared" si="33"/>
        <v>4</v>
      </c>
    </row>
    <row r="2045" spans="1:9">
      <c r="A2045" s="1">
        <v>42667.32708333333</v>
      </c>
      <c r="B2045" s="19">
        <v>42563</v>
      </c>
      <c r="C2045" s="21">
        <v>0.33750000000000002</v>
      </c>
      <c r="D2045" s="20" t="s">
        <v>3034</v>
      </c>
      <c r="E2045" t="s">
        <v>0</v>
      </c>
      <c r="G2045" t="s">
        <v>104</v>
      </c>
      <c r="H2045" t="e">
        <v>#VALUE!</v>
      </c>
      <c r="I2045" t="e">
        <f t="shared" si="33"/>
        <v>#VALUE!</v>
      </c>
    </row>
    <row r="2046" spans="1:9">
      <c r="A2046" s="1">
        <v>42667.276388888888</v>
      </c>
      <c r="B2046" s="19">
        <v>42563</v>
      </c>
      <c r="C2046" s="21">
        <v>0.29722222222222222</v>
      </c>
      <c r="D2046" s="20" t="s">
        <v>3033</v>
      </c>
      <c r="E2046" t="s">
        <v>18</v>
      </c>
      <c r="F2046" t="s">
        <v>71</v>
      </c>
      <c r="G2046" t="s">
        <v>1614</v>
      </c>
      <c r="H2046" t="e">
        <v>#VALUE!</v>
      </c>
      <c r="I2046" t="e">
        <f t="shared" si="33"/>
        <v>#VALUE!</v>
      </c>
    </row>
    <row r="2047" spans="1:9">
      <c r="A2047" s="1">
        <v>42667.959027777775</v>
      </c>
      <c r="B2047" s="19">
        <v>42563</v>
      </c>
      <c r="C2047" s="21">
        <v>0.14722222222222223</v>
      </c>
      <c r="D2047" s="20" t="s">
        <v>3053</v>
      </c>
      <c r="E2047" t="s">
        <v>33</v>
      </c>
      <c r="F2047" t="s">
        <v>44</v>
      </c>
      <c r="G2047" t="s">
        <v>1736</v>
      </c>
      <c r="H2047">
        <v>8</v>
      </c>
      <c r="I2047">
        <f t="shared" si="33"/>
        <v>10</v>
      </c>
    </row>
    <row r="2048" spans="1:9">
      <c r="A2048" s="1">
        <v>42667.908333333333</v>
      </c>
      <c r="B2048" s="19">
        <v>42563</v>
      </c>
      <c r="C2048" s="21">
        <v>0.12222222222222222</v>
      </c>
      <c r="D2048" s="20" t="s">
        <v>3052</v>
      </c>
      <c r="E2048" t="s">
        <v>18</v>
      </c>
      <c r="F2048" t="s">
        <v>100</v>
      </c>
      <c r="G2048" t="s">
        <v>1737</v>
      </c>
      <c r="H2048" t="e">
        <v>#VALUE!</v>
      </c>
      <c r="I2048" t="e">
        <f t="shared" si="33"/>
        <v>#VALUE!</v>
      </c>
    </row>
    <row r="2049" spans="1:9">
      <c r="A2049" s="1">
        <v>42667.584027777775</v>
      </c>
      <c r="B2049" s="19">
        <v>42563</v>
      </c>
      <c r="C2049" s="21">
        <v>2.7777777777777776E-2</v>
      </c>
      <c r="D2049" s="20" t="s">
        <v>3050</v>
      </c>
      <c r="E2049" t="s">
        <v>33</v>
      </c>
      <c r="F2049" t="s">
        <v>44</v>
      </c>
      <c r="G2049" t="s">
        <v>1738</v>
      </c>
      <c r="H2049">
        <v>15</v>
      </c>
      <c r="I2049">
        <f t="shared" si="33"/>
        <v>19</v>
      </c>
    </row>
    <row r="2050" spans="1:9">
      <c r="A2050" s="1">
        <v>42667.584027777775</v>
      </c>
      <c r="B2050" s="19">
        <v>42563</v>
      </c>
      <c r="C2050" s="21">
        <v>0.96180555555555558</v>
      </c>
      <c r="D2050" s="20" t="s">
        <v>3063</v>
      </c>
      <c r="E2050" t="s">
        <v>6</v>
      </c>
      <c r="F2050" t="s">
        <v>15</v>
      </c>
      <c r="G2050" t="s">
        <v>1725</v>
      </c>
      <c r="H2050" t="e">
        <v>#VALUE!</v>
      </c>
      <c r="I2050" t="e">
        <f t="shared" si="33"/>
        <v>#VALUE!</v>
      </c>
    </row>
    <row r="2051" spans="1:9">
      <c r="A2051" s="1">
        <v>42667.419444444444</v>
      </c>
      <c r="B2051" s="19">
        <v>42563</v>
      </c>
      <c r="C2051" s="21">
        <v>0.86319444444444449</v>
      </c>
      <c r="D2051" s="20" t="s">
        <v>3047</v>
      </c>
      <c r="E2051" t="s">
        <v>2</v>
      </c>
      <c r="F2051" t="s">
        <v>3</v>
      </c>
      <c r="H2051">
        <v>7</v>
      </c>
      <c r="I2051">
        <f t="shared" ref="I2051:I2114" si="34">ROUNDUP((H2051*1.24), 0)</f>
        <v>9</v>
      </c>
    </row>
    <row r="2052" spans="1:9">
      <c r="A2052" s="1">
        <v>42667.25277777778</v>
      </c>
      <c r="B2052" s="19">
        <v>42563</v>
      </c>
      <c r="C2052" s="21">
        <v>0.7006944444444444</v>
      </c>
      <c r="D2052" s="20" t="s">
        <v>3043</v>
      </c>
      <c r="E2052" t="s">
        <v>6</v>
      </c>
      <c r="F2052" t="s">
        <v>12</v>
      </c>
      <c r="G2052" t="s">
        <v>1728</v>
      </c>
      <c r="H2052">
        <v>7</v>
      </c>
      <c r="I2052">
        <f t="shared" si="34"/>
        <v>9</v>
      </c>
    </row>
    <row r="2053" spans="1:9">
      <c r="A2053" s="1">
        <v>42667.251388888886</v>
      </c>
      <c r="B2053" s="19">
        <v>42563</v>
      </c>
      <c r="C2053" s="21">
        <v>0.63055555555555554</v>
      </c>
      <c r="D2053" s="20" t="s">
        <v>3042</v>
      </c>
      <c r="E2053" t="s">
        <v>6</v>
      </c>
      <c r="F2053" t="s">
        <v>15</v>
      </c>
      <c r="G2053" t="s">
        <v>1729</v>
      </c>
      <c r="H2053" t="e">
        <v>#VALUE!</v>
      </c>
      <c r="I2053" t="e">
        <f t="shared" si="34"/>
        <v>#VALUE!</v>
      </c>
    </row>
    <row r="2054" spans="1:9">
      <c r="A2054" s="1">
        <v>42665.237500000003</v>
      </c>
      <c r="B2054" s="19">
        <v>42563</v>
      </c>
      <c r="C2054" s="21">
        <v>0.60486111111111107</v>
      </c>
      <c r="D2054" s="20" t="s">
        <v>3040</v>
      </c>
      <c r="E2054" t="s">
        <v>2</v>
      </c>
      <c r="F2054" t="s">
        <v>48</v>
      </c>
      <c r="G2054" t="s">
        <v>1730</v>
      </c>
      <c r="H2054">
        <v>23</v>
      </c>
      <c r="I2054">
        <f t="shared" si="34"/>
        <v>29</v>
      </c>
    </row>
    <row r="2055" spans="1:9">
      <c r="A2055" s="1">
        <v>42665.21597222222</v>
      </c>
      <c r="B2055" s="19">
        <v>42563</v>
      </c>
      <c r="C2055" s="21">
        <v>0.58680555555555558</v>
      </c>
      <c r="D2055" s="20" t="s">
        <v>3040</v>
      </c>
      <c r="E2055" t="s">
        <v>6</v>
      </c>
      <c r="F2055" t="s">
        <v>15</v>
      </c>
      <c r="G2055" t="s">
        <v>1733</v>
      </c>
      <c r="H2055">
        <v>10</v>
      </c>
      <c r="I2055">
        <f t="shared" si="34"/>
        <v>13</v>
      </c>
    </row>
    <row r="2056" spans="1:9">
      <c r="A2056" s="1">
        <v>42665.161111111112</v>
      </c>
      <c r="B2056" s="19">
        <v>42563</v>
      </c>
      <c r="C2056" s="21">
        <v>0.56111111111111112</v>
      </c>
      <c r="D2056" s="20" t="s">
        <v>3039</v>
      </c>
      <c r="E2056" t="s">
        <v>6</v>
      </c>
      <c r="F2056" t="s">
        <v>15</v>
      </c>
      <c r="G2056" t="s">
        <v>1538</v>
      </c>
      <c r="H2056">
        <v>10</v>
      </c>
      <c r="I2056">
        <f t="shared" si="34"/>
        <v>13</v>
      </c>
    </row>
    <row r="2057" spans="1:9">
      <c r="A2057" s="1">
        <v>42665.105555555558</v>
      </c>
      <c r="B2057" s="19">
        <v>42563</v>
      </c>
      <c r="C2057" s="21">
        <v>0.42499999999999999</v>
      </c>
      <c r="D2057" s="20" t="s">
        <v>3036</v>
      </c>
      <c r="E2057" t="s">
        <v>2</v>
      </c>
      <c r="F2057" t="s">
        <v>48</v>
      </c>
      <c r="G2057" t="s">
        <v>1598</v>
      </c>
      <c r="H2057">
        <v>8</v>
      </c>
      <c r="I2057">
        <f t="shared" si="34"/>
        <v>10</v>
      </c>
    </row>
    <row r="2058" spans="1:9">
      <c r="A2058" s="1">
        <v>42665.097916666666</v>
      </c>
      <c r="B2058" s="19">
        <v>42563</v>
      </c>
      <c r="C2058" s="21">
        <v>0.42222222222222222</v>
      </c>
      <c r="D2058" s="20" t="s">
        <v>3036</v>
      </c>
      <c r="E2058" t="s">
        <v>6</v>
      </c>
      <c r="F2058" t="s">
        <v>12</v>
      </c>
      <c r="G2058" t="s">
        <v>1675</v>
      </c>
      <c r="H2058">
        <v>4</v>
      </c>
      <c r="I2058">
        <f t="shared" si="34"/>
        <v>5</v>
      </c>
    </row>
    <row r="2059" spans="1:9">
      <c r="A2059" s="1">
        <v>42665.043055555558</v>
      </c>
      <c r="B2059" s="19">
        <v>42563</v>
      </c>
      <c r="C2059" s="21">
        <v>0.37152777777777779</v>
      </c>
      <c r="D2059" s="20" t="s">
        <v>3034</v>
      </c>
      <c r="E2059" t="s">
        <v>6</v>
      </c>
      <c r="F2059" t="s">
        <v>7</v>
      </c>
      <c r="G2059" t="s">
        <v>1735</v>
      </c>
      <c r="H2059">
        <v>4</v>
      </c>
      <c r="I2059">
        <f t="shared" si="34"/>
        <v>5</v>
      </c>
    </row>
    <row r="2060" spans="1:9">
      <c r="A2060" s="1">
        <v>42665.019444444442</v>
      </c>
      <c r="B2060" s="19">
        <v>42563</v>
      </c>
      <c r="C2060" s="21">
        <v>0.33750000000000002</v>
      </c>
      <c r="D2060" s="20" t="s">
        <v>3034</v>
      </c>
      <c r="E2060" t="s">
        <v>6</v>
      </c>
      <c r="F2060" t="s">
        <v>7</v>
      </c>
      <c r="G2060" t="s">
        <v>1735</v>
      </c>
      <c r="H2060">
        <v>4</v>
      </c>
      <c r="I2060">
        <f t="shared" si="34"/>
        <v>5</v>
      </c>
    </row>
    <row r="2061" spans="1:9">
      <c r="A2061" s="1">
        <v>42665.002083333333</v>
      </c>
      <c r="B2061" s="19">
        <v>42564</v>
      </c>
      <c r="C2061" s="21">
        <v>0.93125000000000002</v>
      </c>
      <c r="D2061" s="20" t="s">
        <v>3049</v>
      </c>
      <c r="E2061" t="s">
        <v>18</v>
      </c>
      <c r="F2061" t="s">
        <v>100</v>
      </c>
      <c r="G2061" t="s">
        <v>444</v>
      </c>
      <c r="H2061" t="e">
        <v>#VALUE!</v>
      </c>
      <c r="I2061" t="e">
        <f t="shared" si="34"/>
        <v>#VALUE!</v>
      </c>
    </row>
    <row r="2062" spans="1:9">
      <c r="A2062" s="1">
        <v>42665.007638888892</v>
      </c>
      <c r="B2062" s="19">
        <v>42564</v>
      </c>
      <c r="C2062" s="21">
        <v>0.50902777777777775</v>
      </c>
      <c r="D2062" s="20" t="s">
        <v>3038</v>
      </c>
      <c r="E2062" t="s">
        <v>0</v>
      </c>
      <c r="G2062" t="s">
        <v>632</v>
      </c>
      <c r="H2062" t="e">
        <v>#VALUE!</v>
      </c>
      <c r="I2062" t="e">
        <f t="shared" si="34"/>
        <v>#VALUE!</v>
      </c>
    </row>
    <row r="2063" spans="1:9">
      <c r="A2063" s="1">
        <v>42664.966666666667</v>
      </c>
      <c r="B2063" s="19">
        <v>42564</v>
      </c>
      <c r="C2063" s="21">
        <v>0.3527777777777778</v>
      </c>
      <c r="D2063" s="20" t="s">
        <v>3034</v>
      </c>
      <c r="E2063" t="s">
        <v>33</v>
      </c>
      <c r="F2063" t="s">
        <v>44</v>
      </c>
      <c r="G2063" t="s">
        <v>669</v>
      </c>
      <c r="H2063" t="e">
        <v>#VALUE!</v>
      </c>
      <c r="I2063" t="e">
        <f t="shared" si="34"/>
        <v>#VALUE!</v>
      </c>
    </row>
    <row r="2064" spans="1:9">
      <c r="A2064" s="1">
        <v>42664.934027777781</v>
      </c>
      <c r="B2064" s="19">
        <v>42564</v>
      </c>
      <c r="C2064" s="21">
        <v>0.25486111111111109</v>
      </c>
      <c r="D2064" s="20" t="s">
        <v>3031</v>
      </c>
      <c r="E2064" t="s">
        <v>18</v>
      </c>
      <c r="F2064" t="s">
        <v>71</v>
      </c>
      <c r="G2064" t="s">
        <v>1614</v>
      </c>
      <c r="H2064" t="e">
        <v>#VALUE!</v>
      </c>
      <c r="I2064" t="e">
        <f t="shared" si="34"/>
        <v>#VALUE!</v>
      </c>
    </row>
    <row r="2065" spans="1:9">
      <c r="A2065" s="1">
        <v>42664.927777777775</v>
      </c>
      <c r="B2065" s="19">
        <v>42564</v>
      </c>
      <c r="C2065" s="21">
        <v>0.25</v>
      </c>
      <c r="D2065" s="20" t="s">
        <v>3031</v>
      </c>
      <c r="E2065" t="s">
        <v>0</v>
      </c>
      <c r="G2065" t="s">
        <v>1724</v>
      </c>
      <c r="H2065" t="e">
        <v>#VALUE!</v>
      </c>
      <c r="I2065" t="e">
        <f t="shared" si="34"/>
        <v>#VALUE!</v>
      </c>
    </row>
    <row r="2066" spans="1:9">
      <c r="A2066" s="1">
        <v>42664.870138888888</v>
      </c>
      <c r="B2066" s="19">
        <v>42564</v>
      </c>
      <c r="C2066" s="21">
        <v>0.85138888888888886</v>
      </c>
      <c r="D2066" s="20" t="s">
        <v>3047</v>
      </c>
      <c r="E2066" t="s">
        <v>6</v>
      </c>
      <c r="F2066" t="s">
        <v>15</v>
      </c>
      <c r="G2066" t="s">
        <v>1719</v>
      </c>
      <c r="H2066">
        <v>7</v>
      </c>
      <c r="I2066">
        <f t="shared" si="34"/>
        <v>9</v>
      </c>
    </row>
    <row r="2067" spans="1:9">
      <c r="A2067" s="1">
        <v>42664.855555555558</v>
      </c>
      <c r="B2067" s="19">
        <v>42564</v>
      </c>
      <c r="C2067" s="21">
        <v>0.70208333333333328</v>
      </c>
      <c r="D2067" s="20" t="s">
        <v>3043</v>
      </c>
      <c r="E2067" t="s">
        <v>6</v>
      </c>
      <c r="F2067" t="s">
        <v>15</v>
      </c>
      <c r="G2067" t="s">
        <v>1720</v>
      </c>
      <c r="H2067" t="e">
        <v>#VALUE!</v>
      </c>
      <c r="I2067" t="e">
        <f t="shared" si="34"/>
        <v>#VALUE!</v>
      </c>
    </row>
    <row r="2068" spans="1:9">
      <c r="A2068" s="1">
        <v>42664.836111111108</v>
      </c>
      <c r="B2068" s="19">
        <v>42564</v>
      </c>
      <c r="C2068" s="21">
        <v>0.58263888888888893</v>
      </c>
      <c r="D2068" s="20" t="s">
        <v>3039</v>
      </c>
      <c r="E2068" t="s">
        <v>6</v>
      </c>
      <c r="F2068" t="s">
        <v>15</v>
      </c>
      <c r="G2068" t="s">
        <v>1721</v>
      </c>
      <c r="H2068">
        <v>31</v>
      </c>
      <c r="I2068">
        <f t="shared" si="34"/>
        <v>39</v>
      </c>
    </row>
    <row r="2069" spans="1:9">
      <c r="A2069" s="1">
        <v>42664.81527777778</v>
      </c>
      <c r="B2069" s="19">
        <v>42564</v>
      </c>
      <c r="C2069" s="21">
        <v>0.56319444444444444</v>
      </c>
      <c r="D2069" s="20" t="s">
        <v>3039</v>
      </c>
      <c r="E2069" t="s">
        <v>6</v>
      </c>
      <c r="F2069" t="s">
        <v>46</v>
      </c>
      <c r="G2069" t="s">
        <v>1722</v>
      </c>
      <c r="H2069">
        <v>7</v>
      </c>
      <c r="I2069">
        <f t="shared" si="34"/>
        <v>9</v>
      </c>
    </row>
    <row r="2070" spans="1:9">
      <c r="A2070" s="1">
        <v>42664.807638888888</v>
      </c>
      <c r="B2070" s="19">
        <v>42564</v>
      </c>
      <c r="C2070" s="21">
        <v>0.36527777777777776</v>
      </c>
      <c r="D2070" s="20" t="s">
        <v>3034</v>
      </c>
      <c r="E2070" t="s">
        <v>2</v>
      </c>
      <c r="F2070" t="s">
        <v>48</v>
      </c>
      <c r="G2070" t="s">
        <v>86</v>
      </c>
      <c r="H2070">
        <v>19</v>
      </c>
      <c r="I2070">
        <f t="shared" si="34"/>
        <v>24</v>
      </c>
    </row>
    <row r="2071" spans="1:9">
      <c r="A2071" s="1">
        <v>42664.714583333334</v>
      </c>
      <c r="B2071" s="19">
        <v>42564</v>
      </c>
      <c r="C2071" s="21">
        <v>0.35069444444444442</v>
      </c>
      <c r="D2071" s="20" t="s">
        <v>3034</v>
      </c>
      <c r="E2071" t="s">
        <v>2</v>
      </c>
      <c r="F2071" t="s">
        <v>48</v>
      </c>
      <c r="G2071" t="s">
        <v>1723</v>
      </c>
      <c r="H2071">
        <v>7</v>
      </c>
      <c r="I2071">
        <f t="shared" si="34"/>
        <v>9</v>
      </c>
    </row>
    <row r="2072" spans="1:9">
      <c r="A2072" s="1">
        <v>42664.540972222225</v>
      </c>
      <c r="B2072" s="19">
        <v>42564</v>
      </c>
      <c r="C2072" s="21">
        <v>0.2951388888888889</v>
      </c>
      <c r="D2072" s="20" t="s">
        <v>3033</v>
      </c>
      <c r="E2072" t="s">
        <v>6</v>
      </c>
      <c r="F2072" t="s">
        <v>26</v>
      </c>
      <c r="G2072" t="s">
        <v>1186</v>
      </c>
      <c r="H2072">
        <v>62</v>
      </c>
      <c r="I2072">
        <f t="shared" si="34"/>
        <v>77</v>
      </c>
    </row>
    <row r="2073" spans="1:9">
      <c r="A2073" s="1">
        <v>42664.418055555558</v>
      </c>
      <c r="B2073" s="19">
        <v>42565</v>
      </c>
      <c r="C2073" s="21">
        <v>0.93819444444444444</v>
      </c>
      <c r="D2073" s="20" t="s">
        <v>3049</v>
      </c>
      <c r="E2073" t="s">
        <v>18</v>
      </c>
      <c r="F2073" t="s">
        <v>100</v>
      </c>
      <c r="G2073" t="s">
        <v>1697</v>
      </c>
      <c r="H2073" t="e">
        <v>#VALUE!</v>
      </c>
      <c r="I2073" t="e">
        <f t="shared" si="34"/>
        <v>#VALUE!</v>
      </c>
    </row>
    <row r="2074" spans="1:9">
      <c r="A2074" s="1">
        <v>42664.375</v>
      </c>
      <c r="B2074" s="19">
        <v>42565</v>
      </c>
      <c r="C2074" s="21">
        <v>0.82291666666666663</v>
      </c>
      <c r="D2074" s="20" t="s">
        <v>3046</v>
      </c>
      <c r="E2074" t="s">
        <v>18</v>
      </c>
      <c r="F2074" t="s">
        <v>19</v>
      </c>
      <c r="G2074" t="s">
        <v>1712</v>
      </c>
      <c r="H2074">
        <v>13</v>
      </c>
      <c r="I2074">
        <f t="shared" si="34"/>
        <v>17</v>
      </c>
    </row>
    <row r="2075" spans="1:9">
      <c r="A2075" s="1">
        <v>42664.359027777777</v>
      </c>
      <c r="B2075" s="19">
        <v>42565</v>
      </c>
      <c r="C2075" s="21">
        <v>0.46180555555555558</v>
      </c>
      <c r="D2075" s="20" t="s">
        <v>3037</v>
      </c>
      <c r="E2075" t="s">
        <v>33</v>
      </c>
      <c r="F2075" t="s">
        <v>44</v>
      </c>
      <c r="G2075" t="s">
        <v>1716</v>
      </c>
      <c r="H2075" t="e">
        <v>#VALUE!</v>
      </c>
      <c r="I2075" t="e">
        <f t="shared" si="34"/>
        <v>#VALUE!</v>
      </c>
    </row>
    <row r="2076" spans="1:9">
      <c r="A2076" s="1">
        <v>42664.340277777781</v>
      </c>
      <c r="B2076" s="19">
        <v>42565</v>
      </c>
      <c r="C2076" s="21">
        <v>0.25347222222222221</v>
      </c>
      <c r="D2076" s="20" t="s">
        <v>3031</v>
      </c>
      <c r="E2076" t="s">
        <v>18</v>
      </c>
      <c r="F2076" t="s">
        <v>71</v>
      </c>
      <c r="G2076" t="s">
        <v>1614</v>
      </c>
      <c r="H2076" t="e">
        <v>#VALUE!</v>
      </c>
      <c r="I2076" t="e">
        <f t="shared" si="34"/>
        <v>#VALUE!</v>
      </c>
    </row>
    <row r="2077" spans="1:9">
      <c r="A2077" s="1">
        <v>42664.173611111109</v>
      </c>
      <c r="B2077" s="19">
        <v>42565</v>
      </c>
      <c r="C2077" s="21">
        <v>0.85347222222222219</v>
      </c>
      <c r="D2077" s="20" t="s">
        <v>3047</v>
      </c>
      <c r="E2077" t="s">
        <v>6</v>
      </c>
      <c r="F2077" t="s">
        <v>89</v>
      </c>
      <c r="G2077" t="s">
        <v>1711</v>
      </c>
      <c r="H2077">
        <v>15</v>
      </c>
      <c r="I2077">
        <f t="shared" si="34"/>
        <v>19</v>
      </c>
    </row>
    <row r="2078" spans="1:9">
      <c r="A2078" s="1">
        <v>42664.031944444447</v>
      </c>
      <c r="B2078" s="19">
        <v>42565</v>
      </c>
      <c r="C2078" s="21">
        <v>0.66666666666666663</v>
      </c>
      <c r="D2078" s="20" t="s">
        <v>3043</v>
      </c>
      <c r="E2078" t="s">
        <v>2</v>
      </c>
      <c r="F2078" t="s">
        <v>48</v>
      </c>
      <c r="H2078">
        <v>3</v>
      </c>
      <c r="I2078">
        <f t="shared" si="34"/>
        <v>4</v>
      </c>
    </row>
    <row r="2079" spans="1:9">
      <c r="A2079" s="1">
        <v>42664.916666666664</v>
      </c>
      <c r="B2079" s="19">
        <v>42565</v>
      </c>
      <c r="C2079" s="21">
        <v>0.65833333333333333</v>
      </c>
      <c r="D2079" s="20" t="s">
        <v>3042</v>
      </c>
      <c r="E2079" t="s">
        <v>6</v>
      </c>
      <c r="F2079" t="s">
        <v>26</v>
      </c>
      <c r="G2079" t="s">
        <v>1713</v>
      </c>
      <c r="H2079">
        <v>18</v>
      </c>
      <c r="I2079">
        <f t="shared" si="34"/>
        <v>23</v>
      </c>
    </row>
    <row r="2080" spans="1:9">
      <c r="A2080" s="1">
        <v>42664.916666666664</v>
      </c>
      <c r="B2080" s="19">
        <v>42565</v>
      </c>
      <c r="C2080" s="21">
        <v>0.50624999999999998</v>
      </c>
      <c r="D2080" s="20" t="s">
        <v>3038</v>
      </c>
      <c r="E2080" t="s">
        <v>6</v>
      </c>
      <c r="F2080" t="s">
        <v>26</v>
      </c>
      <c r="G2080" t="s">
        <v>1714</v>
      </c>
      <c r="H2080">
        <v>13</v>
      </c>
      <c r="I2080">
        <f t="shared" si="34"/>
        <v>17</v>
      </c>
    </row>
    <row r="2081" spans="1:9">
      <c r="A2081" s="1">
        <v>42664.909722222219</v>
      </c>
      <c r="B2081" s="19">
        <v>42565</v>
      </c>
      <c r="C2081" s="21">
        <v>0.49583333333333335</v>
      </c>
      <c r="D2081" s="20" t="s">
        <v>3037</v>
      </c>
      <c r="E2081" t="s">
        <v>6</v>
      </c>
      <c r="F2081" t="s">
        <v>26</v>
      </c>
      <c r="G2081" t="s">
        <v>1715</v>
      </c>
      <c r="H2081">
        <v>7</v>
      </c>
      <c r="I2081">
        <f t="shared" si="34"/>
        <v>9</v>
      </c>
    </row>
    <row r="2082" spans="1:9">
      <c r="A2082" s="1">
        <v>42664.655555555553</v>
      </c>
      <c r="B2082" s="19">
        <v>42565</v>
      </c>
      <c r="C2082" s="21">
        <v>0.46388888888888891</v>
      </c>
      <c r="D2082" s="20" t="s">
        <v>3037</v>
      </c>
      <c r="E2082" t="s">
        <v>6</v>
      </c>
      <c r="F2082" t="s">
        <v>26</v>
      </c>
      <c r="G2082" t="s">
        <v>1714</v>
      </c>
      <c r="H2082">
        <v>13</v>
      </c>
      <c r="I2082">
        <f t="shared" si="34"/>
        <v>17</v>
      </c>
    </row>
    <row r="2083" spans="1:9">
      <c r="A2083" s="1">
        <v>42664.584027777775</v>
      </c>
      <c r="B2083" s="19">
        <v>42565</v>
      </c>
      <c r="C2083" s="21">
        <v>0.36666666666666664</v>
      </c>
      <c r="D2083" s="20" t="s">
        <v>3034</v>
      </c>
      <c r="E2083" t="s">
        <v>6</v>
      </c>
      <c r="F2083" t="s">
        <v>12</v>
      </c>
      <c r="G2083" t="s">
        <v>1675</v>
      </c>
      <c r="H2083">
        <v>4</v>
      </c>
      <c r="I2083">
        <f t="shared" si="34"/>
        <v>5</v>
      </c>
    </row>
    <row r="2084" spans="1:9">
      <c r="A2084" s="1">
        <v>42664.438888888886</v>
      </c>
      <c r="B2084" s="19">
        <v>42565</v>
      </c>
      <c r="C2084" s="21">
        <v>0.33750000000000002</v>
      </c>
      <c r="D2084" s="20" t="s">
        <v>3034</v>
      </c>
      <c r="E2084" t="s">
        <v>6</v>
      </c>
      <c r="F2084" t="s">
        <v>12</v>
      </c>
      <c r="G2084" t="s">
        <v>1675</v>
      </c>
      <c r="H2084">
        <v>4</v>
      </c>
      <c r="I2084">
        <f t="shared" si="34"/>
        <v>5</v>
      </c>
    </row>
    <row r="2085" spans="1:9">
      <c r="A2085" s="1">
        <v>42664.259027777778</v>
      </c>
      <c r="B2085" s="19">
        <v>42565</v>
      </c>
      <c r="C2085" s="21">
        <v>0.3034722222222222</v>
      </c>
      <c r="D2085" s="20" t="s">
        <v>3033</v>
      </c>
      <c r="E2085" t="s">
        <v>6</v>
      </c>
      <c r="F2085" t="s">
        <v>12</v>
      </c>
      <c r="G2085" t="s">
        <v>1675</v>
      </c>
      <c r="H2085">
        <v>4</v>
      </c>
      <c r="I2085">
        <f t="shared" si="34"/>
        <v>5</v>
      </c>
    </row>
    <row r="2086" spans="1:9">
      <c r="A2086" s="1">
        <v>42663.95416666667</v>
      </c>
      <c r="B2086" s="19">
        <v>42565</v>
      </c>
      <c r="C2086" s="21">
        <v>0.22638888888888889</v>
      </c>
      <c r="D2086" s="20" t="s">
        <v>3055</v>
      </c>
      <c r="E2086" t="s">
        <v>6</v>
      </c>
      <c r="F2086" t="s">
        <v>15</v>
      </c>
      <c r="G2086" t="s">
        <v>83</v>
      </c>
      <c r="H2086">
        <v>13</v>
      </c>
      <c r="I2086">
        <f t="shared" si="34"/>
        <v>17</v>
      </c>
    </row>
    <row r="2087" spans="1:9">
      <c r="A2087" s="1">
        <v>42663.805555555555</v>
      </c>
      <c r="B2087" s="19">
        <v>42565</v>
      </c>
      <c r="C2087" s="21">
        <v>0.20972222222222223</v>
      </c>
      <c r="D2087" s="20" t="s">
        <v>3055</v>
      </c>
      <c r="E2087" t="s">
        <v>6</v>
      </c>
      <c r="G2087" t="s">
        <v>1717</v>
      </c>
      <c r="H2087">
        <v>13</v>
      </c>
      <c r="I2087">
        <f t="shared" si="34"/>
        <v>17</v>
      </c>
    </row>
    <row r="2088" spans="1:9">
      <c r="A2088" s="1">
        <v>42663.583333333336</v>
      </c>
      <c r="B2088" s="19">
        <v>42565</v>
      </c>
      <c r="C2088" s="21">
        <v>0.10138888888888889</v>
      </c>
      <c r="D2088" s="20" t="s">
        <v>3052</v>
      </c>
      <c r="E2088" t="s">
        <v>2</v>
      </c>
      <c r="F2088" t="s">
        <v>56</v>
      </c>
      <c r="G2088" t="s">
        <v>609</v>
      </c>
      <c r="H2088">
        <v>40</v>
      </c>
      <c r="I2088">
        <f t="shared" si="34"/>
        <v>50</v>
      </c>
    </row>
    <row r="2089" spans="1:9">
      <c r="A2089" s="1">
        <v>42663.547222222223</v>
      </c>
      <c r="B2089" s="19">
        <v>42565</v>
      </c>
      <c r="C2089" s="21">
        <v>8.8888888888888892E-2</v>
      </c>
      <c r="D2089" s="20" t="s">
        <v>3052</v>
      </c>
      <c r="E2089" t="s">
        <v>6</v>
      </c>
      <c r="F2089" t="s">
        <v>15</v>
      </c>
      <c r="G2089" t="s">
        <v>1718</v>
      </c>
      <c r="H2089">
        <v>34</v>
      </c>
      <c r="I2089">
        <f t="shared" si="34"/>
        <v>43</v>
      </c>
    </row>
    <row r="2090" spans="1:9">
      <c r="A2090" s="1">
        <v>42663.509722222225</v>
      </c>
      <c r="B2090" s="19">
        <v>42566</v>
      </c>
      <c r="C2090" s="21">
        <v>0.91805555555555551</v>
      </c>
      <c r="D2090" s="20" t="s">
        <v>3049</v>
      </c>
      <c r="E2090" t="s">
        <v>18</v>
      </c>
      <c r="F2090" t="s">
        <v>100</v>
      </c>
      <c r="G2090" t="s">
        <v>444</v>
      </c>
      <c r="H2090" t="e">
        <v>#VALUE!</v>
      </c>
      <c r="I2090" t="e">
        <f t="shared" si="34"/>
        <v>#VALUE!</v>
      </c>
    </row>
    <row r="2091" spans="1:9">
      <c r="A2091" s="1">
        <v>42663.290277777778</v>
      </c>
      <c r="B2091" s="19">
        <v>42566</v>
      </c>
      <c r="C2091" s="21">
        <v>0.75763888888888886</v>
      </c>
      <c r="D2091" s="20" t="s">
        <v>3045</v>
      </c>
      <c r="E2091" t="s">
        <v>33</v>
      </c>
      <c r="G2091" t="s">
        <v>1702</v>
      </c>
      <c r="H2091">
        <v>13</v>
      </c>
      <c r="I2091">
        <f t="shared" si="34"/>
        <v>17</v>
      </c>
    </row>
    <row r="2092" spans="1:9">
      <c r="A2092" s="1">
        <v>42663.277083333334</v>
      </c>
      <c r="B2092" s="19">
        <v>42566</v>
      </c>
      <c r="C2092" s="21">
        <v>0.69444444444444442</v>
      </c>
      <c r="D2092" s="20" t="s">
        <v>3043</v>
      </c>
      <c r="E2092" t="s">
        <v>33</v>
      </c>
      <c r="F2092" t="s">
        <v>44</v>
      </c>
      <c r="G2092" t="s">
        <v>1704</v>
      </c>
      <c r="H2092">
        <v>8</v>
      </c>
      <c r="I2092">
        <f t="shared" si="34"/>
        <v>10</v>
      </c>
    </row>
    <row r="2093" spans="1:9">
      <c r="A2093" s="1">
        <v>42663.265277777777</v>
      </c>
      <c r="B2093" s="19">
        <v>42566</v>
      </c>
      <c r="C2093" s="21">
        <v>0.67638888888888893</v>
      </c>
      <c r="D2093" s="20" t="s">
        <v>3043</v>
      </c>
      <c r="E2093" t="s">
        <v>33</v>
      </c>
      <c r="F2093" t="s">
        <v>44</v>
      </c>
      <c r="G2093" t="s">
        <v>1705</v>
      </c>
      <c r="H2093">
        <v>7</v>
      </c>
      <c r="I2093">
        <f t="shared" si="34"/>
        <v>9</v>
      </c>
    </row>
    <row r="2094" spans="1:9">
      <c r="A2094" s="1">
        <v>42663.138888888891</v>
      </c>
      <c r="B2094" s="19">
        <v>42566</v>
      </c>
      <c r="C2094" s="21">
        <v>0.36666666666666664</v>
      </c>
      <c r="D2094" s="20" t="s">
        <v>3034</v>
      </c>
      <c r="E2094" t="s">
        <v>0</v>
      </c>
      <c r="G2094" t="s">
        <v>1707</v>
      </c>
      <c r="H2094">
        <v>2</v>
      </c>
      <c r="I2094">
        <f t="shared" si="34"/>
        <v>3</v>
      </c>
    </row>
    <row r="2095" spans="1:9">
      <c r="A2095" s="1">
        <v>42663.92083333333</v>
      </c>
      <c r="B2095" s="19">
        <v>42566</v>
      </c>
      <c r="C2095" s="21">
        <v>0.3659722222222222</v>
      </c>
      <c r="D2095" s="20" t="s">
        <v>3034</v>
      </c>
      <c r="E2095" t="s">
        <v>18</v>
      </c>
      <c r="F2095" t="s">
        <v>71</v>
      </c>
      <c r="G2095" t="s">
        <v>1697</v>
      </c>
      <c r="H2095" t="e">
        <v>#VALUE!</v>
      </c>
      <c r="I2095" t="e">
        <f t="shared" si="34"/>
        <v>#VALUE!</v>
      </c>
    </row>
    <row r="2096" spans="1:9">
      <c r="A2096" s="1">
        <v>42663.92083333333</v>
      </c>
      <c r="B2096" s="19">
        <v>42566</v>
      </c>
      <c r="C2096" s="21">
        <v>0.92847222222222225</v>
      </c>
      <c r="D2096" s="20" t="s">
        <v>3049</v>
      </c>
      <c r="E2096" t="s">
        <v>6</v>
      </c>
      <c r="F2096" t="s">
        <v>12</v>
      </c>
      <c r="G2096" t="s">
        <v>1698</v>
      </c>
      <c r="H2096">
        <v>8</v>
      </c>
      <c r="I2096">
        <f t="shared" si="34"/>
        <v>10</v>
      </c>
    </row>
    <row r="2097" spans="1:9">
      <c r="A2097" s="1">
        <v>42663.909722222219</v>
      </c>
      <c r="B2097" s="19">
        <v>42566</v>
      </c>
      <c r="C2097" s="21">
        <v>0.86250000000000004</v>
      </c>
      <c r="D2097" s="20" t="s">
        <v>3047</v>
      </c>
      <c r="E2097" t="s">
        <v>2</v>
      </c>
      <c r="F2097" t="s">
        <v>5</v>
      </c>
      <c r="H2097" t="e">
        <v>#VALUE!</v>
      </c>
      <c r="I2097" t="e">
        <f t="shared" si="34"/>
        <v>#VALUE!</v>
      </c>
    </row>
    <row r="2098" spans="1:9">
      <c r="A2098" s="1">
        <v>42663.602777777778</v>
      </c>
      <c r="B2098" s="19">
        <v>42566</v>
      </c>
      <c r="C2098" s="21">
        <v>0.85486111111111107</v>
      </c>
      <c r="D2098" s="20" t="s">
        <v>3047</v>
      </c>
      <c r="E2098" t="s">
        <v>6</v>
      </c>
      <c r="F2098" t="s">
        <v>15</v>
      </c>
      <c r="G2098" t="s">
        <v>1699</v>
      </c>
      <c r="H2098">
        <v>14</v>
      </c>
      <c r="I2098">
        <f t="shared" si="34"/>
        <v>18</v>
      </c>
    </row>
    <row r="2099" spans="1:9">
      <c r="A2099" s="1">
        <v>42663.258333333331</v>
      </c>
      <c r="B2099" s="19">
        <v>42566</v>
      </c>
      <c r="C2099" s="21">
        <v>0.84722222222222221</v>
      </c>
      <c r="D2099" s="20" t="s">
        <v>3047</v>
      </c>
      <c r="E2099" t="s">
        <v>6</v>
      </c>
      <c r="F2099" t="s">
        <v>15</v>
      </c>
      <c r="G2099" t="s">
        <v>1700</v>
      </c>
      <c r="H2099">
        <v>13</v>
      </c>
      <c r="I2099">
        <f t="shared" si="34"/>
        <v>17</v>
      </c>
    </row>
    <row r="2100" spans="1:9">
      <c r="A2100" s="1">
        <v>42662.644444444442</v>
      </c>
      <c r="B2100" s="19">
        <v>42566</v>
      </c>
      <c r="C2100" s="21">
        <v>0.8</v>
      </c>
      <c r="D2100" s="20" t="s">
        <v>3046</v>
      </c>
      <c r="E2100" t="s">
        <v>6</v>
      </c>
      <c r="F2100" t="s">
        <v>12</v>
      </c>
      <c r="G2100" t="s">
        <v>1701</v>
      </c>
      <c r="H2100">
        <v>15</v>
      </c>
      <c r="I2100">
        <f t="shared" si="34"/>
        <v>19</v>
      </c>
    </row>
    <row r="2101" spans="1:9">
      <c r="A2101" s="1">
        <v>42662.583333333336</v>
      </c>
      <c r="B2101" s="19">
        <v>42566</v>
      </c>
      <c r="C2101" s="21">
        <v>0.7104166666666667</v>
      </c>
      <c r="D2101" s="20" t="s">
        <v>3044</v>
      </c>
      <c r="E2101" t="s">
        <v>6</v>
      </c>
      <c r="F2101" t="s">
        <v>12</v>
      </c>
      <c r="G2101" t="s">
        <v>1703</v>
      </c>
      <c r="H2101">
        <v>7</v>
      </c>
      <c r="I2101">
        <f t="shared" si="34"/>
        <v>9</v>
      </c>
    </row>
    <row r="2102" spans="1:9">
      <c r="A2102" s="1">
        <v>42662.035416666666</v>
      </c>
      <c r="B2102" s="19">
        <v>42566</v>
      </c>
      <c r="C2102" s="21">
        <v>0.62291666666666667</v>
      </c>
      <c r="D2102" s="20" t="s">
        <v>3040</v>
      </c>
      <c r="E2102" t="s">
        <v>6</v>
      </c>
      <c r="F2102" t="s">
        <v>12</v>
      </c>
      <c r="G2102" t="s">
        <v>1282</v>
      </c>
      <c r="H2102">
        <v>3</v>
      </c>
      <c r="I2102">
        <f t="shared" si="34"/>
        <v>4</v>
      </c>
    </row>
    <row r="2103" spans="1:9">
      <c r="A2103" s="1">
        <v>42662.917361111111</v>
      </c>
      <c r="B2103" s="19">
        <v>42566</v>
      </c>
      <c r="C2103" s="21">
        <v>0.5180555555555556</v>
      </c>
      <c r="D2103" s="20" t="s">
        <v>3038</v>
      </c>
      <c r="E2103" t="s">
        <v>6</v>
      </c>
      <c r="F2103" t="s">
        <v>12</v>
      </c>
      <c r="G2103" t="s">
        <v>1382</v>
      </c>
      <c r="H2103">
        <v>3</v>
      </c>
      <c r="I2103">
        <f t="shared" si="34"/>
        <v>4</v>
      </c>
    </row>
    <row r="2104" spans="1:9">
      <c r="A2104" s="1">
        <v>42662.916666666664</v>
      </c>
      <c r="B2104" s="19">
        <v>42566</v>
      </c>
      <c r="C2104" s="21">
        <v>0.5</v>
      </c>
      <c r="D2104" s="20" t="s">
        <v>3038</v>
      </c>
      <c r="E2104" t="s">
        <v>6</v>
      </c>
      <c r="F2104" t="s">
        <v>12</v>
      </c>
      <c r="G2104" t="s">
        <v>1382</v>
      </c>
      <c r="H2104">
        <v>3</v>
      </c>
      <c r="I2104">
        <f t="shared" si="34"/>
        <v>4</v>
      </c>
    </row>
    <row r="2105" spans="1:9">
      <c r="A2105" s="1">
        <v>42662.909722222219</v>
      </c>
      <c r="B2105" s="19">
        <v>42566</v>
      </c>
      <c r="C2105" s="21">
        <v>0.4465277777777778</v>
      </c>
      <c r="D2105" s="20" t="s">
        <v>3036</v>
      </c>
      <c r="E2105" t="s">
        <v>6</v>
      </c>
      <c r="F2105" t="s">
        <v>12</v>
      </c>
      <c r="G2105" t="s">
        <v>1382</v>
      </c>
      <c r="H2105">
        <v>3</v>
      </c>
      <c r="I2105">
        <f t="shared" si="34"/>
        <v>4</v>
      </c>
    </row>
    <row r="2106" spans="1:9">
      <c r="A2106" s="1">
        <v>42662.584722222222</v>
      </c>
      <c r="B2106" s="19">
        <v>42566</v>
      </c>
      <c r="C2106" s="21">
        <v>0.37638888888888888</v>
      </c>
      <c r="D2106" s="20" t="s">
        <v>3035</v>
      </c>
      <c r="E2106" t="s">
        <v>6</v>
      </c>
      <c r="F2106" t="s">
        <v>12</v>
      </c>
      <c r="G2106" t="s">
        <v>1706</v>
      </c>
      <c r="H2106">
        <v>3</v>
      </c>
      <c r="I2106">
        <f t="shared" si="34"/>
        <v>4</v>
      </c>
    </row>
    <row r="2107" spans="1:9">
      <c r="A2107" s="1">
        <v>42661.974305555559</v>
      </c>
      <c r="B2107" s="19">
        <v>42566</v>
      </c>
      <c r="C2107" s="21">
        <v>0.3659722222222222</v>
      </c>
      <c r="D2107" s="20" t="s">
        <v>3034</v>
      </c>
      <c r="E2107" t="s">
        <v>6</v>
      </c>
      <c r="F2107" t="s">
        <v>12</v>
      </c>
      <c r="G2107" t="s">
        <v>1708</v>
      </c>
      <c r="H2107">
        <v>5</v>
      </c>
      <c r="I2107">
        <f t="shared" si="34"/>
        <v>7</v>
      </c>
    </row>
    <row r="2108" spans="1:9">
      <c r="A2108" s="1">
        <v>42661.888194444444</v>
      </c>
      <c r="B2108" s="19">
        <v>42566</v>
      </c>
      <c r="C2108" s="21">
        <v>0.23819444444444443</v>
      </c>
      <c r="D2108" s="20" t="s">
        <v>3055</v>
      </c>
      <c r="E2108" t="s">
        <v>6</v>
      </c>
      <c r="F2108" t="s">
        <v>12</v>
      </c>
      <c r="G2108" t="s">
        <v>1709</v>
      </c>
      <c r="H2108">
        <v>8</v>
      </c>
      <c r="I2108">
        <f t="shared" si="34"/>
        <v>10</v>
      </c>
    </row>
    <row r="2109" spans="1:9">
      <c r="A2109" s="1">
        <v>42661.84652777778</v>
      </c>
      <c r="B2109" s="19">
        <v>42566</v>
      </c>
      <c r="C2109" s="21">
        <v>4.9305555555555554E-2</v>
      </c>
      <c r="D2109" s="20" t="s">
        <v>3051</v>
      </c>
      <c r="E2109" t="s">
        <v>2</v>
      </c>
      <c r="F2109" t="s">
        <v>5</v>
      </c>
      <c r="G2109" t="s">
        <v>432</v>
      </c>
      <c r="H2109">
        <v>13</v>
      </c>
      <c r="I2109">
        <f t="shared" si="34"/>
        <v>17</v>
      </c>
    </row>
    <row r="2110" spans="1:9">
      <c r="A2110" s="1">
        <v>42661.543055555558</v>
      </c>
      <c r="B2110" s="19">
        <v>42566</v>
      </c>
      <c r="C2110" s="21">
        <v>3.0555555555555555E-2</v>
      </c>
      <c r="D2110" s="20" t="s">
        <v>3050</v>
      </c>
      <c r="E2110" t="s">
        <v>6</v>
      </c>
      <c r="F2110" t="s">
        <v>12</v>
      </c>
      <c r="G2110" t="s">
        <v>1710</v>
      </c>
      <c r="H2110">
        <v>31</v>
      </c>
      <c r="I2110">
        <f t="shared" si="34"/>
        <v>39</v>
      </c>
    </row>
    <row r="2111" spans="1:9">
      <c r="A2111" s="1">
        <v>42661.531944444447</v>
      </c>
      <c r="B2111" s="19">
        <v>42567</v>
      </c>
      <c r="C2111" s="21">
        <v>5.2777777777777778E-2</v>
      </c>
      <c r="D2111" s="20" t="s">
        <v>3051</v>
      </c>
      <c r="E2111" t="s">
        <v>2</v>
      </c>
      <c r="F2111" t="s">
        <v>56</v>
      </c>
      <c r="G2111" t="s">
        <v>609</v>
      </c>
      <c r="H2111">
        <v>30</v>
      </c>
      <c r="I2111">
        <f t="shared" si="34"/>
        <v>38</v>
      </c>
    </row>
    <row r="2112" spans="1:9">
      <c r="A2112" s="1">
        <v>42661.458333333336</v>
      </c>
      <c r="B2112" s="19">
        <v>42569</v>
      </c>
      <c r="C2112" s="21">
        <v>0.95833333333333337</v>
      </c>
      <c r="D2112" s="20" t="s">
        <v>3063</v>
      </c>
      <c r="E2112" t="s">
        <v>33</v>
      </c>
      <c r="F2112" t="s">
        <v>44</v>
      </c>
      <c r="G2112" t="s">
        <v>669</v>
      </c>
      <c r="H2112" t="e">
        <v>#VALUE!</v>
      </c>
      <c r="I2112" t="e">
        <f t="shared" si="34"/>
        <v>#VALUE!</v>
      </c>
    </row>
    <row r="2113" spans="1:9">
      <c r="A2113" s="1">
        <v>42661.130555555559</v>
      </c>
      <c r="B2113" s="19">
        <v>42569</v>
      </c>
      <c r="C2113" s="21">
        <v>0.91597222222222219</v>
      </c>
      <c r="D2113" s="20" t="s">
        <v>3048</v>
      </c>
      <c r="E2113" t="s">
        <v>18</v>
      </c>
      <c r="F2113" t="s">
        <v>71</v>
      </c>
      <c r="G2113" t="s">
        <v>1697</v>
      </c>
      <c r="H2113" t="e">
        <v>#VALUE!</v>
      </c>
      <c r="I2113" t="e">
        <f t="shared" si="34"/>
        <v>#VALUE!</v>
      </c>
    </row>
    <row r="2114" spans="1:9">
      <c r="A2114" s="1">
        <v>42661.059027777781</v>
      </c>
      <c r="B2114" s="19">
        <v>42569</v>
      </c>
      <c r="C2114" s="21">
        <v>0.89375000000000004</v>
      </c>
      <c r="D2114" s="20" t="s">
        <v>3048</v>
      </c>
      <c r="E2114" t="s">
        <v>77</v>
      </c>
      <c r="F2114" t="s">
        <v>78</v>
      </c>
      <c r="G2114" t="s">
        <v>1583</v>
      </c>
      <c r="H2114">
        <v>4</v>
      </c>
      <c r="I2114">
        <f t="shared" si="34"/>
        <v>5</v>
      </c>
    </row>
    <row r="2115" spans="1:9">
      <c r="A2115" s="1">
        <v>42661.974305555559</v>
      </c>
      <c r="B2115" s="19">
        <v>42569</v>
      </c>
      <c r="C2115" s="21">
        <v>0.83194444444444449</v>
      </c>
      <c r="D2115" s="20" t="s">
        <v>3046</v>
      </c>
      <c r="E2115" t="s">
        <v>0</v>
      </c>
      <c r="F2115" t="s">
        <v>10</v>
      </c>
      <c r="G2115" t="s">
        <v>64</v>
      </c>
      <c r="H2115">
        <v>13</v>
      </c>
      <c r="I2115">
        <f t="shared" ref="I2115:I2178" si="35">ROUNDUP((H2115*1.24), 0)</f>
        <v>17</v>
      </c>
    </row>
    <row r="2116" spans="1:9">
      <c r="A2116" s="1">
        <v>42661.915972222225</v>
      </c>
      <c r="B2116" s="19">
        <v>42569</v>
      </c>
      <c r="C2116" s="21">
        <v>0.58333333333333337</v>
      </c>
      <c r="D2116" s="20" t="s">
        <v>3040</v>
      </c>
      <c r="E2116" t="s">
        <v>18</v>
      </c>
      <c r="F2116" t="s">
        <v>100</v>
      </c>
      <c r="G2116" t="s">
        <v>444</v>
      </c>
      <c r="H2116" t="e">
        <v>#VALUE!</v>
      </c>
      <c r="I2116" t="e">
        <f t="shared" si="35"/>
        <v>#VALUE!</v>
      </c>
    </row>
    <row r="2117" spans="1:9">
      <c r="A2117" s="1">
        <v>42661.914583333331</v>
      </c>
      <c r="B2117" s="19">
        <v>42569</v>
      </c>
      <c r="C2117" s="21">
        <v>0.85555555555555551</v>
      </c>
      <c r="D2117" s="20" t="s">
        <v>3047</v>
      </c>
      <c r="E2117" t="s">
        <v>6</v>
      </c>
      <c r="F2117" t="s">
        <v>15</v>
      </c>
      <c r="G2117" t="s">
        <v>103</v>
      </c>
      <c r="H2117">
        <v>10</v>
      </c>
      <c r="I2117">
        <f t="shared" si="35"/>
        <v>13</v>
      </c>
    </row>
    <row r="2118" spans="1:9">
      <c r="A2118" s="1">
        <v>42661.607638888891</v>
      </c>
      <c r="B2118" s="19">
        <v>42569</v>
      </c>
      <c r="C2118" s="21">
        <v>0.72430555555555554</v>
      </c>
      <c r="D2118" s="20" t="s">
        <v>3044</v>
      </c>
      <c r="E2118" t="s">
        <v>2</v>
      </c>
      <c r="F2118" t="s">
        <v>5</v>
      </c>
      <c r="G2118" t="s">
        <v>1150</v>
      </c>
      <c r="H2118">
        <v>13</v>
      </c>
      <c r="I2118">
        <f t="shared" si="35"/>
        <v>17</v>
      </c>
    </row>
    <row r="2119" spans="1:9">
      <c r="A2119" s="1">
        <v>42661.591666666667</v>
      </c>
      <c r="B2119" s="19">
        <v>42569</v>
      </c>
      <c r="C2119" s="21">
        <v>0.71319444444444446</v>
      </c>
      <c r="D2119" s="20" t="s">
        <v>3044</v>
      </c>
      <c r="E2119" t="s">
        <v>6</v>
      </c>
      <c r="F2119" t="s">
        <v>46</v>
      </c>
      <c r="G2119" t="s">
        <v>82</v>
      </c>
      <c r="H2119">
        <v>20</v>
      </c>
      <c r="I2119">
        <f t="shared" si="35"/>
        <v>25</v>
      </c>
    </row>
    <row r="2120" spans="1:9">
      <c r="A2120" s="1">
        <v>42661.254861111112</v>
      </c>
      <c r="B2120" s="19">
        <v>42569</v>
      </c>
      <c r="C2120" s="21">
        <v>0.70486111111111116</v>
      </c>
      <c r="D2120" s="20" t="s">
        <v>3043</v>
      </c>
      <c r="E2120" t="s">
        <v>6</v>
      </c>
      <c r="F2120" t="s">
        <v>46</v>
      </c>
      <c r="G2120" t="s">
        <v>1653</v>
      </c>
      <c r="H2120">
        <v>8</v>
      </c>
      <c r="I2120">
        <f t="shared" si="35"/>
        <v>10</v>
      </c>
    </row>
    <row r="2121" spans="1:9">
      <c r="A2121" s="1">
        <v>42661.166666666664</v>
      </c>
      <c r="B2121" s="19">
        <v>42569</v>
      </c>
      <c r="C2121" s="21">
        <v>0.66597222222222219</v>
      </c>
      <c r="D2121" s="20" t="s">
        <v>3042</v>
      </c>
      <c r="E2121" t="s">
        <v>6</v>
      </c>
      <c r="F2121" t="s">
        <v>15</v>
      </c>
      <c r="G2121" t="s">
        <v>1111</v>
      </c>
      <c r="H2121">
        <v>13</v>
      </c>
      <c r="I2121">
        <f t="shared" si="35"/>
        <v>17</v>
      </c>
    </row>
    <row r="2122" spans="1:9">
      <c r="A2122" s="1">
        <v>42661.097916666666</v>
      </c>
      <c r="B2122" s="19">
        <v>42570</v>
      </c>
      <c r="C2122" s="21">
        <v>0.91319444444444442</v>
      </c>
      <c r="D2122" s="20" t="s">
        <v>3048</v>
      </c>
      <c r="E2122" t="s">
        <v>18</v>
      </c>
      <c r="F2122" t="s">
        <v>71</v>
      </c>
      <c r="G2122" t="s">
        <v>1614</v>
      </c>
      <c r="H2122" t="e">
        <v>#VALUE!</v>
      </c>
      <c r="I2122" t="e">
        <f t="shared" si="35"/>
        <v>#VALUE!</v>
      </c>
    </row>
    <row r="2123" spans="1:9">
      <c r="A2123" s="1">
        <v>42660.722222222219</v>
      </c>
      <c r="B2123" s="19">
        <v>42570</v>
      </c>
      <c r="C2123" s="21">
        <v>0.8569444444444444</v>
      </c>
      <c r="D2123" s="20" t="s">
        <v>3047</v>
      </c>
      <c r="E2123" t="s">
        <v>33</v>
      </c>
      <c r="F2123" t="s">
        <v>44</v>
      </c>
      <c r="G2123" t="s">
        <v>1686</v>
      </c>
      <c r="H2123">
        <v>112</v>
      </c>
      <c r="I2123">
        <f t="shared" si="35"/>
        <v>139</v>
      </c>
    </row>
    <row r="2124" spans="1:9">
      <c r="A2124" s="1">
        <v>42660.70208333333</v>
      </c>
      <c r="B2124" s="19">
        <v>42570</v>
      </c>
      <c r="C2124" s="21">
        <v>0.83194444444444449</v>
      </c>
      <c r="D2124" s="20" t="s">
        <v>3046</v>
      </c>
      <c r="E2124" t="s">
        <v>0</v>
      </c>
      <c r="F2124" t="s">
        <v>10</v>
      </c>
      <c r="G2124" t="s">
        <v>64</v>
      </c>
      <c r="H2124">
        <v>13</v>
      </c>
      <c r="I2124">
        <f t="shared" si="35"/>
        <v>17</v>
      </c>
    </row>
    <row r="2125" spans="1:9">
      <c r="A2125" s="1">
        <v>42660.690972222219</v>
      </c>
      <c r="B2125" s="19">
        <v>42570</v>
      </c>
      <c r="C2125" s="21">
        <v>0.77847222222222223</v>
      </c>
      <c r="D2125" s="20" t="s">
        <v>3045</v>
      </c>
      <c r="E2125" t="s">
        <v>77</v>
      </c>
      <c r="F2125" t="s">
        <v>78</v>
      </c>
      <c r="G2125" t="s">
        <v>1687</v>
      </c>
      <c r="H2125">
        <v>13</v>
      </c>
      <c r="I2125">
        <f t="shared" si="35"/>
        <v>17</v>
      </c>
    </row>
    <row r="2126" spans="1:9">
      <c r="A2126" s="1">
        <v>42660.558333333334</v>
      </c>
      <c r="B2126" s="19">
        <v>42570</v>
      </c>
      <c r="C2126" s="21">
        <v>0.75972222222222219</v>
      </c>
      <c r="D2126" s="20" t="s">
        <v>3045</v>
      </c>
      <c r="E2126" t="s">
        <v>77</v>
      </c>
      <c r="F2126" t="s">
        <v>78</v>
      </c>
      <c r="G2126" t="s">
        <v>1688</v>
      </c>
      <c r="H2126">
        <v>8</v>
      </c>
      <c r="I2126">
        <f t="shared" si="35"/>
        <v>10</v>
      </c>
    </row>
    <row r="2127" spans="1:9">
      <c r="A2127" s="1">
        <v>42660.917361111111</v>
      </c>
      <c r="B2127" s="19">
        <v>42570</v>
      </c>
      <c r="C2127" s="21">
        <v>0.67361111111111116</v>
      </c>
      <c r="D2127" s="20" t="s">
        <v>3043</v>
      </c>
      <c r="E2127" t="s">
        <v>0</v>
      </c>
      <c r="F2127" t="s">
        <v>10</v>
      </c>
      <c r="G2127" t="s">
        <v>64</v>
      </c>
      <c r="H2127">
        <v>13</v>
      </c>
      <c r="I2127">
        <f t="shared" si="35"/>
        <v>17</v>
      </c>
    </row>
    <row r="2128" spans="1:9">
      <c r="A2128" s="1">
        <v>42660.915972222225</v>
      </c>
      <c r="B2128" s="19">
        <v>42570</v>
      </c>
      <c r="C2128" s="21">
        <v>0.60763888888888884</v>
      </c>
      <c r="D2128" s="20" t="s">
        <v>3040</v>
      </c>
      <c r="E2128" t="s">
        <v>33</v>
      </c>
      <c r="F2128" t="s">
        <v>44</v>
      </c>
      <c r="G2128" t="s">
        <v>1691</v>
      </c>
      <c r="H2128" t="e">
        <v>#VALUE!</v>
      </c>
      <c r="I2128" t="e">
        <f t="shared" si="35"/>
        <v>#VALUE!</v>
      </c>
    </row>
    <row r="2129" spans="1:9">
      <c r="A2129" s="1">
        <v>42660.627083333333</v>
      </c>
      <c r="B2129" s="19">
        <v>42570</v>
      </c>
      <c r="C2129" s="21">
        <v>0.59791666666666665</v>
      </c>
      <c r="D2129" s="20" t="s">
        <v>3040</v>
      </c>
      <c r="E2129" t="s">
        <v>18</v>
      </c>
      <c r="F2129" t="s">
        <v>71</v>
      </c>
      <c r="G2129" t="s">
        <v>444</v>
      </c>
      <c r="H2129" t="e">
        <v>#VALUE!</v>
      </c>
      <c r="I2129" t="e">
        <f t="shared" si="35"/>
        <v>#VALUE!</v>
      </c>
    </row>
    <row r="2130" spans="1:9">
      <c r="A2130" s="1">
        <v>42660.627083333333</v>
      </c>
      <c r="B2130" s="19">
        <v>42570</v>
      </c>
      <c r="C2130" s="21">
        <v>0.5</v>
      </c>
      <c r="D2130" s="20" t="s">
        <v>3038</v>
      </c>
      <c r="E2130" t="s">
        <v>0</v>
      </c>
      <c r="F2130" t="s">
        <v>10</v>
      </c>
      <c r="G2130" t="s">
        <v>59</v>
      </c>
      <c r="H2130">
        <v>13</v>
      </c>
      <c r="I2130">
        <f t="shared" si="35"/>
        <v>17</v>
      </c>
    </row>
    <row r="2131" spans="1:9">
      <c r="A2131" s="1">
        <v>42660.585416666669</v>
      </c>
      <c r="B2131" s="19">
        <v>42570</v>
      </c>
      <c r="C2131" s="21">
        <v>0.9916666666666667</v>
      </c>
      <c r="D2131" s="20" t="s">
        <v>3063</v>
      </c>
      <c r="E2131" t="s">
        <v>6</v>
      </c>
      <c r="F2131" t="s">
        <v>26</v>
      </c>
      <c r="G2131" t="s">
        <v>1685</v>
      </c>
      <c r="H2131">
        <v>13</v>
      </c>
      <c r="I2131">
        <f t="shared" si="35"/>
        <v>17</v>
      </c>
    </row>
    <row r="2132" spans="1:9">
      <c r="A2132" s="1">
        <v>42660.472916666666</v>
      </c>
      <c r="B2132" s="19">
        <v>42570</v>
      </c>
      <c r="C2132" s="21">
        <v>0.98402777777777772</v>
      </c>
      <c r="D2132" s="20" t="s">
        <v>3063</v>
      </c>
      <c r="E2132" t="s">
        <v>6</v>
      </c>
      <c r="F2132" t="s">
        <v>15</v>
      </c>
      <c r="G2132" t="s">
        <v>1491</v>
      </c>
      <c r="H2132">
        <v>13</v>
      </c>
      <c r="I2132">
        <f t="shared" si="35"/>
        <v>17</v>
      </c>
    </row>
    <row r="2133" spans="1:9">
      <c r="A2133" s="1">
        <v>42660.418055555558</v>
      </c>
      <c r="B2133" s="19">
        <v>42570</v>
      </c>
      <c r="C2133" s="21">
        <v>0.9375</v>
      </c>
      <c r="D2133" s="20" t="s">
        <v>3049</v>
      </c>
      <c r="E2133" t="s">
        <v>6</v>
      </c>
      <c r="F2133" t="s">
        <v>12</v>
      </c>
      <c r="G2133" t="s">
        <v>195</v>
      </c>
      <c r="H2133">
        <v>4</v>
      </c>
      <c r="I2133">
        <f t="shared" si="35"/>
        <v>5</v>
      </c>
    </row>
    <row r="2134" spans="1:9">
      <c r="A2134" s="1">
        <v>42660.334027777775</v>
      </c>
      <c r="B2134" s="19">
        <v>42570</v>
      </c>
      <c r="C2134" s="21">
        <v>0.79166666666666663</v>
      </c>
      <c r="D2134" s="20" t="s">
        <v>3046</v>
      </c>
      <c r="E2134" t="s">
        <v>6</v>
      </c>
      <c r="F2134" t="s">
        <v>21</v>
      </c>
      <c r="G2134" t="s">
        <v>103</v>
      </c>
      <c r="H2134">
        <v>9</v>
      </c>
      <c r="I2134">
        <f t="shared" si="35"/>
        <v>12</v>
      </c>
    </row>
    <row r="2135" spans="1:9">
      <c r="A2135" s="1">
        <v>42660.334027777775</v>
      </c>
      <c r="B2135" s="19">
        <v>42570</v>
      </c>
      <c r="C2135" s="21">
        <v>0.75069444444444444</v>
      </c>
      <c r="D2135" s="20" t="s">
        <v>3045</v>
      </c>
      <c r="E2135" t="s">
        <v>2</v>
      </c>
      <c r="F2135" t="s">
        <v>56</v>
      </c>
      <c r="G2135" t="s">
        <v>609</v>
      </c>
      <c r="H2135">
        <v>18</v>
      </c>
      <c r="I2135">
        <f t="shared" si="35"/>
        <v>23</v>
      </c>
    </row>
    <row r="2136" spans="1:9">
      <c r="A2136" s="1">
        <v>42658.134722222225</v>
      </c>
      <c r="B2136" s="19">
        <v>42570</v>
      </c>
      <c r="C2136" s="21">
        <v>0.69374999999999998</v>
      </c>
      <c r="D2136" s="20" t="s">
        <v>3043</v>
      </c>
      <c r="E2136" t="s">
        <v>6</v>
      </c>
      <c r="F2136" t="s">
        <v>15</v>
      </c>
      <c r="G2136" t="s">
        <v>1689</v>
      </c>
      <c r="H2136" t="e">
        <v>#VALUE!</v>
      </c>
      <c r="I2136" t="e">
        <f t="shared" si="35"/>
        <v>#VALUE!</v>
      </c>
    </row>
    <row r="2137" spans="1:9">
      <c r="A2137" s="1">
        <v>42658.129166666666</v>
      </c>
      <c r="B2137" s="19">
        <v>42570</v>
      </c>
      <c r="C2137" s="21">
        <v>0.68263888888888891</v>
      </c>
      <c r="D2137" s="20" t="s">
        <v>3043</v>
      </c>
      <c r="E2137" t="s">
        <v>6</v>
      </c>
      <c r="F2137" t="s">
        <v>15</v>
      </c>
      <c r="G2137" t="s">
        <v>103</v>
      </c>
      <c r="H2137">
        <v>10</v>
      </c>
      <c r="I2137">
        <f t="shared" si="35"/>
        <v>13</v>
      </c>
    </row>
    <row r="2138" spans="1:9">
      <c r="A2138" s="1">
        <v>42657.961805555555</v>
      </c>
      <c r="B2138" s="19">
        <v>42570</v>
      </c>
      <c r="C2138" s="21">
        <v>0.61736111111111114</v>
      </c>
      <c r="D2138" s="20" t="s">
        <v>3040</v>
      </c>
      <c r="E2138" t="s">
        <v>6</v>
      </c>
      <c r="F2138" t="s">
        <v>26</v>
      </c>
      <c r="G2138" t="s">
        <v>1690</v>
      </c>
      <c r="H2138">
        <v>31</v>
      </c>
      <c r="I2138">
        <f t="shared" si="35"/>
        <v>39</v>
      </c>
    </row>
    <row r="2139" spans="1:9">
      <c r="A2139" s="1">
        <v>42657.958333333336</v>
      </c>
      <c r="B2139" s="19">
        <v>42570</v>
      </c>
      <c r="C2139" s="21">
        <v>0.58333333333333337</v>
      </c>
      <c r="D2139" s="20" t="s">
        <v>3040</v>
      </c>
      <c r="E2139" t="s">
        <v>6</v>
      </c>
      <c r="F2139" t="s">
        <v>273</v>
      </c>
      <c r="G2139" t="s">
        <v>1692</v>
      </c>
      <c r="H2139">
        <v>27</v>
      </c>
      <c r="I2139">
        <f t="shared" si="35"/>
        <v>34</v>
      </c>
    </row>
    <row r="2140" spans="1:9">
      <c r="A2140" s="1">
        <v>42657.681944444441</v>
      </c>
      <c r="B2140" s="19">
        <v>42570</v>
      </c>
      <c r="C2140" s="21">
        <v>0.57222222222222219</v>
      </c>
      <c r="D2140" s="20" t="s">
        <v>3039</v>
      </c>
      <c r="E2140" t="s">
        <v>2</v>
      </c>
      <c r="F2140" t="s">
        <v>48</v>
      </c>
      <c r="G2140" t="s">
        <v>1693</v>
      </c>
      <c r="H2140">
        <v>19</v>
      </c>
      <c r="I2140">
        <f t="shared" si="35"/>
        <v>24</v>
      </c>
    </row>
    <row r="2141" spans="1:9">
      <c r="A2141" s="1">
        <v>42657.34652777778</v>
      </c>
      <c r="B2141" s="19">
        <v>42570</v>
      </c>
      <c r="C2141" s="21">
        <v>0.55972222222222223</v>
      </c>
      <c r="D2141" s="20" t="s">
        <v>3039</v>
      </c>
      <c r="E2141" t="s">
        <v>6</v>
      </c>
      <c r="F2141" t="s">
        <v>273</v>
      </c>
      <c r="G2141" t="s">
        <v>204</v>
      </c>
      <c r="H2141">
        <v>19</v>
      </c>
      <c r="I2141">
        <f t="shared" si="35"/>
        <v>24</v>
      </c>
    </row>
    <row r="2142" spans="1:9">
      <c r="A2142" s="1">
        <v>42657.294444444444</v>
      </c>
      <c r="B2142" s="19">
        <v>42570</v>
      </c>
      <c r="C2142" s="21">
        <v>0.55694444444444446</v>
      </c>
      <c r="D2142" s="20" t="s">
        <v>3039</v>
      </c>
      <c r="E2142" t="s">
        <v>2</v>
      </c>
      <c r="F2142" t="s">
        <v>48</v>
      </c>
      <c r="G2142" t="s">
        <v>49</v>
      </c>
      <c r="H2142">
        <v>7</v>
      </c>
      <c r="I2142">
        <f t="shared" si="35"/>
        <v>9</v>
      </c>
    </row>
    <row r="2143" spans="1:9">
      <c r="A2143" s="1">
        <v>42657.161111111112</v>
      </c>
      <c r="B2143" s="19">
        <v>42570</v>
      </c>
      <c r="C2143" s="21">
        <v>0.54305555555555551</v>
      </c>
      <c r="D2143" s="20" t="s">
        <v>3039</v>
      </c>
      <c r="E2143" t="s">
        <v>6</v>
      </c>
      <c r="F2143" t="s">
        <v>12</v>
      </c>
      <c r="G2143" t="s">
        <v>1694</v>
      </c>
      <c r="H2143">
        <v>3</v>
      </c>
      <c r="I2143">
        <f t="shared" si="35"/>
        <v>4</v>
      </c>
    </row>
    <row r="2144" spans="1:9">
      <c r="A2144" s="1">
        <v>42657.152777777781</v>
      </c>
      <c r="B2144" s="19">
        <v>42570</v>
      </c>
      <c r="C2144" s="21">
        <v>0.22013888888888888</v>
      </c>
      <c r="D2144" s="20" t="s">
        <v>3055</v>
      </c>
      <c r="E2144" t="s">
        <v>6</v>
      </c>
      <c r="F2144" t="s">
        <v>46</v>
      </c>
      <c r="G2144" t="s">
        <v>1695</v>
      </c>
      <c r="H2144">
        <v>7</v>
      </c>
      <c r="I2144">
        <f t="shared" si="35"/>
        <v>9</v>
      </c>
    </row>
    <row r="2145" spans="1:9">
      <c r="A2145" s="1">
        <v>42657.112500000003</v>
      </c>
      <c r="B2145" s="19">
        <v>42570</v>
      </c>
      <c r="C2145" s="21">
        <v>4.3749999999999997E-2</v>
      </c>
      <c r="D2145" s="20" t="s">
        <v>3051</v>
      </c>
      <c r="E2145" t="s">
        <v>6</v>
      </c>
      <c r="F2145" t="s">
        <v>46</v>
      </c>
      <c r="G2145" t="s">
        <v>1695</v>
      </c>
      <c r="H2145">
        <v>4</v>
      </c>
      <c r="I2145">
        <f t="shared" si="35"/>
        <v>5</v>
      </c>
    </row>
    <row r="2146" spans="1:9">
      <c r="A2146" s="1">
        <v>42657.915972222225</v>
      </c>
      <c r="B2146" s="19">
        <v>42570</v>
      </c>
      <c r="C2146" s="21">
        <v>4.1666666666666666E-3</v>
      </c>
      <c r="D2146" s="20" t="s">
        <v>3050</v>
      </c>
      <c r="E2146" t="s">
        <v>6</v>
      </c>
      <c r="F2146" t="s">
        <v>273</v>
      </c>
      <c r="G2146" t="s">
        <v>1696</v>
      </c>
      <c r="H2146">
        <v>66</v>
      </c>
      <c r="I2146">
        <f t="shared" si="35"/>
        <v>82</v>
      </c>
    </row>
    <row r="2147" spans="1:9">
      <c r="A2147" s="1">
        <v>42657.419444444444</v>
      </c>
      <c r="B2147" s="19">
        <v>42571</v>
      </c>
      <c r="C2147" s="21">
        <v>0.92708333333333337</v>
      </c>
      <c r="D2147" s="20" t="s">
        <v>3049</v>
      </c>
      <c r="E2147" t="s">
        <v>18</v>
      </c>
      <c r="F2147" t="s">
        <v>71</v>
      </c>
      <c r="G2147" t="s">
        <v>1659</v>
      </c>
      <c r="H2147" t="e">
        <v>#VALUE!</v>
      </c>
      <c r="I2147" t="e">
        <f t="shared" si="35"/>
        <v>#VALUE!</v>
      </c>
    </row>
    <row r="2148" spans="1:9">
      <c r="A2148" s="1">
        <v>42657.250694444447</v>
      </c>
      <c r="B2148" s="19">
        <v>42571</v>
      </c>
      <c r="C2148" s="21">
        <v>0.83194444444444449</v>
      </c>
      <c r="D2148" s="20" t="s">
        <v>3046</v>
      </c>
      <c r="E2148" t="s">
        <v>0</v>
      </c>
      <c r="F2148" t="s">
        <v>10</v>
      </c>
      <c r="G2148" t="s">
        <v>64</v>
      </c>
      <c r="H2148">
        <v>13</v>
      </c>
      <c r="I2148">
        <f t="shared" si="35"/>
        <v>17</v>
      </c>
    </row>
    <row r="2149" spans="1:9">
      <c r="A2149" s="1">
        <v>42656.72152777778</v>
      </c>
      <c r="B2149" s="19">
        <v>42571</v>
      </c>
      <c r="C2149" s="21">
        <v>0.67222222222222228</v>
      </c>
      <c r="D2149" s="20" t="s">
        <v>3043</v>
      </c>
      <c r="E2149" t="s">
        <v>0</v>
      </c>
      <c r="F2149" t="s">
        <v>10</v>
      </c>
      <c r="G2149" t="s">
        <v>64</v>
      </c>
      <c r="H2149">
        <v>13</v>
      </c>
      <c r="I2149">
        <f t="shared" si="35"/>
        <v>17</v>
      </c>
    </row>
    <row r="2150" spans="1:9">
      <c r="A2150" s="1">
        <v>42656.682638888888</v>
      </c>
      <c r="B2150" s="19">
        <v>42571</v>
      </c>
      <c r="C2150" s="21">
        <v>0.59652777777777777</v>
      </c>
      <c r="D2150" s="20" t="s">
        <v>3040</v>
      </c>
      <c r="E2150" t="s">
        <v>18</v>
      </c>
      <c r="F2150" t="s">
        <v>100</v>
      </c>
      <c r="G2150" t="s">
        <v>444</v>
      </c>
      <c r="H2150" t="e">
        <v>#VALUE!</v>
      </c>
      <c r="I2150" t="e">
        <f t="shared" si="35"/>
        <v>#VALUE!</v>
      </c>
    </row>
    <row r="2151" spans="1:9">
      <c r="A2151" s="1">
        <v>42656.481944444444</v>
      </c>
      <c r="B2151" s="19">
        <v>42571</v>
      </c>
      <c r="C2151" s="21">
        <v>0.5</v>
      </c>
      <c r="D2151" s="20" t="s">
        <v>3038</v>
      </c>
      <c r="E2151" t="s">
        <v>0</v>
      </c>
      <c r="F2151" t="s">
        <v>10</v>
      </c>
      <c r="G2151" t="s">
        <v>59</v>
      </c>
      <c r="H2151">
        <v>13</v>
      </c>
      <c r="I2151">
        <f t="shared" si="35"/>
        <v>17</v>
      </c>
    </row>
    <row r="2152" spans="1:9">
      <c r="A2152" s="1">
        <v>42656.337500000001</v>
      </c>
      <c r="B2152" s="19">
        <v>42571</v>
      </c>
      <c r="C2152" s="21">
        <v>0.17847222222222223</v>
      </c>
      <c r="D2152" s="20" t="s">
        <v>3054</v>
      </c>
      <c r="E2152" t="s">
        <v>0</v>
      </c>
      <c r="G2152" t="s">
        <v>632</v>
      </c>
      <c r="H2152" t="e">
        <v>#VALUE!</v>
      </c>
      <c r="I2152" t="e">
        <f t="shared" si="35"/>
        <v>#VALUE!</v>
      </c>
    </row>
    <row r="2153" spans="1:9">
      <c r="A2153" s="1">
        <v>42656.279166666667</v>
      </c>
      <c r="B2153" s="19">
        <v>42571</v>
      </c>
      <c r="C2153" s="21">
        <v>0.98333333333333328</v>
      </c>
      <c r="D2153" s="20" t="s">
        <v>3063</v>
      </c>
      <c r="E2153" t="s">
        <v>6</v>
      </c>
      <c r="F2153" t="s">
        <v>15</v>
      </c>
      <c r="G2153" t="s">
        <v>1676</v>
      </c>
      <c r="H2153" t="e">
        <v>#VALUE!</v>
      </c>
      <c r="I2153" t="e">
        <f t="shared" si="35"/>
        <v>#VALUE!</v>
      </c>
    </row>
    <row r="2154" spans="1:9">
      <c r="A2154" s="1">
        <v>42656.253472222219</v>
      </c>
      <c r="B2154" s="19">
        <v>42571</v>
      </c>
      <c r="C2154" s="21">
        <v>0.94791666666666663</v>
      </c>
      <c r="D2154" s="20" t="s">
        <v>3049</v>
      </c>
      <c r="E2154" t="s">
        <v>6</v>
      </c>
      <c r="F2154" t="s">
        <v>26</v>
      </c>
      <c r="G2154" t="s">
        <v>1677</v>
      </c>
      <c r="H2154">
        <v>19</v>
      </c>
      <c r="I2154">
        <f t="shared" si="35"/>
        <v>24</v>
      </c>
    </row>
    <row r="2155" spans="1:9">
      <c r="A2155" s="1">
        <v>42656.193749999999</v>
      </c>
      <c r="B2155" s="19">
        <v>42571</v>
      </c>
      <c r="C2155" s="21">
        <v>0.93402777777777779</v>
      </c>
      <c r="D2155" s="20" t="s">
        <v>3049</v>
      </c>
      <c r="E2155" t="s">
        <v>6</v>
      </c>
      <c r="F2155" t="s">
        <v>26</v>
      </c>
      <c r="G2155" t="s">
        <v>1678</v>
      </c>
      <c r="H2155">
        <v>25</v>
      </c>
      <c r="I2155">
        <f t="shared" si="35"/>
        <v>31</v>
      </c>
    </row>
    <row r="2156" spans="1:9">
      <c r="A2156" s="1">
        <v>42656.916666666664</v>
      </c>
      <c r="B2156" s="19">
        <v>42571</v>
      </c>
      <c r="C2156" s="21">
        <v>0.92708333333333337</v>
      </c>
      <c r="D2156" s="20" t="s">
        <v>3049</v>
      </c>
      <c r="E2156" t="s">
        <v>6</v>
      </c>
      <c r="F2156" t="s">
        <v>12</v>
      </c>
      <c r="G2156" t="s">
        <v>1382</v>
      </c>
      <c r="H2156">
        <v>4</v>
      </c>
      <c r="I2156">
        <f t="shared" si="35"/>
        <v>5</v>
      </c>
    </row>
    <row r="2157" spans="1:9">
      <c r="A2157" s="1">
        <v>42656.590277777781</v>
      </c>
      <c r="B2157" s="19">
        <v>42571</v>
      </c>
      <c r="C2157" s="21">
        <v>0.88680555555555551</v>
      </c>
      <c r="D2157" s="20" t="s">
        <v>3048</v>
      </c>
      <c r="E2157" t="s">
        <v>6</v>
      </c>
      <c r="F2157" t="s">
        <v>21</v>
      </c>
      <c r="G2157" t="s">
        <v>825</v>
      </c>
      <c r="H2157">
        <v>18</v>
      </c>
      <c r="I2157">
        <f t="shared" si="35"/>
        <v>23</v>
      </c>
    </row>
    <row r="2158" spans="1:9">
      <c r="A2158" s="1">
        <v>42656.440972222219</v>
      </c>
      <c r="B2158" s="19">
        <v>42571</v>
      </c>
      <c r="C2158" s="21">
        <v>0.71736111111111112</v>
      </c>
      <c r="D2158" s="20" t="s">
        <v>3044</v>
      </c>
      <c r="E2158" t="s">
        <v>6</v>
      </c>
      <c r="F2158" t="s">
        <v>21</v>
      </c>
      <c r="G2158" t="s">
        <v>103</v>
      </c>
      <c r="H2158">
        <v>10</v>
      </c>
      <c r="I2158">
        <f t="shared" si="35"/>
        <v>13</v>
      </c>
    </row>
    <row r="2159" spans="1:9">
      <c r="A2159" s="1">
        <v>42656.42291666667</v>
      </c>
      <c r="B2159" s="19">
        <v>42571</v>
      </c>
      <c r="C2159" s="21">
        <v>0.67500000000000004</v>
      </c>
      <c r="D2159" s="20" t="s">
        <v>3043</v>
      </c>
      <c r="E2159" t="s">
        <v>6</v>
      </c>
      <c r="F2159" t="s">
        <v>21</v>
      </c>
      <c r="G2159" t="s">
        <v>825</v>
      </c>
      <c r="H2159">
        <v>29</v>
      </c>
      <c r="I2159">
        <f t="shared" si="35"/>
        <v>36</v>
      </c>
    </row>
    <row r="2160" spans="1:9">
      <c r="A2160" s="1">
        <v>42655.515277777777</v>
      </c>
      <c r="B2160" s="19">
        <v>42571</v>
      </c>
      <c r="C2160" s="21">
        <v>0.37638888888888888</v>
      </c>
      <c r="D2160" s="20" t="s">
        <v>3035</v>
      </c>
      <c r="E2160" t="s">
        <v>2</v>
      </c>
      <c r="F2160" t="s">
        <v>48</v>
      </c>
      <c r="G2160" t="s">
        <v>1679</v>
      </c>
      <c r="H2160">
        <v>25</v>
      </c>
      <c r="I2160">
        <f t="shared" si="35"/>
        <v>31</v>
      </c>
    </row>
    <row r="2161" spans="1:9">
      <c r="A2161" s="1">
        <v>42655.487500000003</v>
      </c>
      <c r="B2161" s="19">
        <v>42571</v>
      </c>
      <c r="C2161" s="21">
        <v>0.34652777777777777</v>
      </c>
      <c r="D2161" s="20" t="s">
        <v>3034</v>
      </c>
      <c r="E2161" t="s">
        <v>2</v>
      </c>
      <c r="F2161" t="s">
        <v>48</v>
      </c>
      <c r="G2161" t="s">
        <v>1680</v>
      </c>
      <c r="H2161">
        <v>3</v>
      </c>
      <c r="I2161">
        <f t="shared" si="35"/>
        <v>4</v>
      </c>
    </row>
    <row r="2162" spans="1:9">
      <c r="A2162" s="1">
        <v>42655.396527777775</v>
      </c>
      <c r="B2162" s="19">
        <v>42571</v>
      </c>
      <c r="C2162" s="21">
        <v>0.21180555555555555</v>
      </c>
      <c r="D2162" s="20" t="s">
        <v>3055</v>
      </c>
      <c r="E2162" t="s">
        <v>2</v>
      </c>
      <c r="F2162" t="s">
        <v>5</v>
      </c>
      <c r="G2162" t="s">
        <v>1681</v>
      </c>
      <c r="H2162">
        <v>7</v>
      </c>
      <c r="I2162">
        <f t="shared" si="35"/>
        <v>9</v>
      </c>
    </row>
    <row r="2163" spans="1:9">
      <c r="A2163" s="1">
        <v>42655.396527777775</v>
      </c>
      <c r="B2163" s="19">
        <v>42571</v>
      </c>
      <c r="C2163" s="21">
        <v>0.18541666666666667</v>
      </c>
      <c r="D2163" s="20" t="s">
        <v>3054</v>
      </c>
      <c r="E2163" t="s">
        <v>6</v>
      </c>
      <c r="G2163" t="s">
        <v>1682</v>
      </c>
      <c r="H2163">
        <v>8</v>
      </c>
      <c r="I2163">
        <f t="shared" si="35"/>
        <v>10</v>
      </c>
    </row>
    <row r="2164" spans="1:9">
      <c r="A2164" s="1">
        <v>42655.340277777781</v>
      </c>
      <c r="B2164" s="19">
        <v>42571</v>
      </c>
      <c r="C2164" s="21">
        <v>0.17152777777777778</v>
      </c>
      <c r="D2164" s="20" t="s">
        <v>3054</v>
      </c>
      <c r="E2164" t="s">
        <v>6</v>
      </c>
      <c r="F2164" t="s">
        <v>15</v>
      </c>
      <c r="G2164" t="s">
        <v>1683</v>
      </c>
      <c r="H2164">
        <v>2</v>
      </c>
      <c r="I2164">
        <f t="shared" si="35"/>
        <v>3</v>
      </c>
    </row>
    <row r="2165" spans="1:9">
      <c r="A2165" s="1">
        <v>42655.332638888889</v>
      </c>
      <c r="B2165" s="19">
        <v>42571</v>
      </c>
      <c r="C2165" s="21">
        <v>1.3888888888888889E-3</v>
      </c>
      <c r="D2165" s="20" t="s">
        <v>3050</v>
      </c>
      <c r="E2165" t="s">
        <v>6</v>
      </c>
      <c r="F2165" t="s">
        <v>754</v>
      </c>
      <c r="G2165" t="s">
        <v>1684</v>
      </c>
      <c r="H2165">
        <v>4</v>
      </c>
      <c r="I2165">
        <f t="shared" si="35"/>
        <v>5</v>
      </c>
    </row>
    <row r="2166" spans="1:9">
      <c r="A2166" s="1">
        <v>42655.305555555555</v>
      </c>
      <c r="B2166" s="19">
        <v>42572</v>
      </c>
      <c r="C2166" s="21">
        <v>0.99861111111111112</v>
      </c>
      <c r="D2166" s="20" t="s">
        <v>3063</v>
      </c>
      <c r="E2166" t="s">
        <v>0</v>
      </c>
      <c r="F2166" t="s">
        <v>10</v>
      </c>
      <c r="G2166" t="s">
        <v>59</v>
      </c>
      <c r="H2166">
        <v>13</v>
      </c>
      <c r="I2166">
        <f t="shared" si="35"/>
        <v>17</v>
      </c>
    </row>
    <row r="2167" spans="1:9">
      <c r="A2167" s="1">
        <v>42655.919444444444</v>
      </c>
      <c r="B2167" s="19">
        <v>42572</v>
      </c>
      <c r="C2167" s="21">
        <v>0.92708333333333337</v>
      </c>
      <c r="D2167" s="20" t="s">
        <v>3049</v>
      </c>
      <c r="E2167" t="s">
        <v>0</v>
      </c>
      <c r="G2167" t="s">
        <v>1666</v>
      </c>
      <c r="H2167">
        <v>13</v>
      </c>
      <c r="I2167">
        <f t="shared" si="35"/>
        <v>17</v>
      </c>
    </row>
    <row r="2168" spans="1:9">
      <c r="A2168" s="1">
        <v>42655.470833333333</v>
      </c>
      <c r="B2168" s="19">
        <v>42572</v>
      </c>
      <c r="C2168" s="21">
        <v>0.91874999999999996</v>
      </c>
      <c r="D2168" s="20" t="s">
        <v>3049</v>
      </c>
      <c r="E2168" t="s">
        <v>18</v>
      </c>
      <c r="F2168" t="s">
        <v>71</v>
      </c>
      <c r="G2168" t="s">
        <v>1614</v>
      </c>
      <c r="H2168" t="e">
        <v>#VALUE!</v>
      </c>
      <c r="I2168" t="e">
        <f t="shared" si="35"/>
        <v>#VALUE!</v>
      </c>
    </row>
    <row r="2169" spans="1:9">
      <c r="A2169" s="1">
        <v>42655.439583333333</v>
      </c>
      <c r="B2169" s="19">
        <v>42572</v>
      </c>
      <c r="C2169" s="21">
        <v>0.67222222222222228</v>
      </c>
      <c r="D2169" s="20" t="s">
        <v>3043</v>
      </c>
      <c r="E2169" t="s">
        <v>0</v>
      </c>
      <c r="F2169" t="s">
        <v>10</v>
      </c>
      <c r="G2169" t="s">
        <v>1669</v>
      </c>
      <c r="H2169">
        <v>13</v>
      </c>
      <c r="I2169">
        <f t="shared" si="35"/>
        <v>17</v>
      </c>
    </row>
    <row r="2170" spans="1:9">
      <c r="A2170" s="1">
        <v>42655.25277777778</v>
      </c>
      <c r="B2170" s="19">
        <v>42572</v>
      </c>
      <c r="C2170" s="21">
        <v>0.59097222222222223</v>
      </c>
      <c r="D2170" s="20" t="s">
        <v>3040</v>
      </c>
      <c r="E2170" t="s">
        <v>18</v>
      </c>
      <c r="F2170" t="s">
        <v>100</v>
      </c>
      <c r="H2170" t="e">
        <v>#VALUE!</v>
      </c>
      <c r="I2170" t="e">
        <f t="shared" si="35"/>
        <v>#VALUE!</v>
      </c>
    </row>
    <row r="2171" spans="1:9">
      <c r="A2171" s="1">
        <v>42654.765972222223</v>
      </c>
      <c r="B2171" s="19">
        <v>42572</v>
      </c>
      <c r="C2171" s="21">
        <v>0.53611111111111109</v>
      </c>
      <c r="D2171" s="20" t="s">
        <v>3038</v>
      </c>
      <c r="E2171" t="s">
        <v>33</v>
      </c>
      <c r="F2171" t="s">
        <v>44</v>
      </c>
      <c r="G2171" t="s">
        <v>1671</v>
      </c>
      <c r="H2171">
        <v>7</v>
      </c>
      <c r="I2171">
        <f t="shared" si="35"/>
        <v>9</v>
      </c>
    </row>
    <row r="2172" spans="1:9">
      <c r="A2172" s="1">
        <v>42654.361111111109</v>
      </c>
      <c r="B2172" s="19">
        <v>42572</v>
      </c>
      <c r="C2172" s="21">
        <v>0.50069444444444444</v>
      </c>
      <c r="D2172" s="20" t="s">
        <v>3038</v>
      </c>
      <c r="E2172" t="s">
        <v>0</v>
      </c>
      <c r="F2172" t="s">
        <v>10</v>
      </c>
      <c r="G2172" t="s">
        <v>59</v>
      </c>
      <c r="H2172">
        <v>13</v>
      </c>
      <c r="I2172">
        <f t="shared" si="35"/>
        <v>17</v>
      </c>
    </row>
    <row r="2173" spans="1:9">
      <c r="A2173" s="1">
        <v>42654.146527777775</v>
      </c>
      <c r="B2173" s="19">
        <v>42572</v>
      </c>
      <c r="C2173" s="21">
        <v>0.15833333333333333</v>
      </c>
      <c r="D2173" s="20" t="s">
        <v>3053</v>
      </c>
      <c r="E2173" t="s">
        <v>77</v>
      </c>
      <c r="F2173" t="s">
        <v>78</v>
      </c>
      <c r="G2173" t="s">
        <v>1674</v>
      </c>
      <c r="H2173">
        <v>2</v>
      </c>
      <c r="I2173">
        <f t="shared" si="35"/>
        <v>3</v>
      </c>
    </row>
    <row r="2174" spans="1:9">
      <c r="A2174" s="1">
        <v>42654.102777777778</v>
      </c>
      <c r="B2174" s="19">
        <v>42572</v>
      </c>
      <c r="C2174" s="21">
        <v>9.5138888888888884E-2</v>
      </c>
      <c r="D2174" s="20" t="s">
        <v>3052</v>
      </c>
      <c r="E2174" t="s">
        <v>0</v>
      </c>
      <c r="F2174" t="s">
        <v>10</v>
      </c>
      <c r="G2174" t="s">
        <v>59</v>
      </c>
      <c r="H2174">
        <v>13</v>
      </c>
      <c r="I2174">
        <f t="shared" si="35"/>
        <v>17</v>
      </c>
    </row>
    <row r="2175" spans="1:9">
      <c r="A2175" s="1">
        <v>42654.025694444441</v>
      </c>
      <c r="B2175" s="19">
        <v>42572</v>
      </c>
      <c r="C2175" s="21">
        <v>0.99027777777777781</v>
      </c>
      <c r="D2175" s="20" t="s">
        <v>3063</v>
      </c>
      <c r="E2175" t="s">
        <v>6</v>
      </c>
      <c r="F2175" t="s">
        <v>21</v>
      </c>
      <c r="G2175" t="s">
        <v>1664</v>
      </c>
      <c r="H2175">
        <v>13</v>
      </c>
      <c r="I2175">
        <f t="shared" si="35"/>
        <v>17</v>
      </c>
    </row>
    <row r="2176" spans="1:9">
      <c r="A2176" s="1">
        <v>42654.331944444442</v>
      </c>
      <c r="B2176" s="19">
        <v>42572</v>
      </c>
      <c r="C2176" s="21">
        <v>0.98055555555555551</v>
      </c>
      <c r="D2176" s="20" t="s">
        <v>3063</v>
      </c>
      <c r="E2176" t="s">
        <v>6</v>
      </c>
      <c r="F2176" t="s">
        <v>15</v>
      </c>
      <c r="G2176" t="s">
        <v>1665</v>
      </c>
      <c r="H2176">
        <v>13</v>
      </c>
      <c r="I2176">
        <f t="shared" si="35"/>
        <v>17</v>
      </c>
    </row>
    <row r="2177" spans="1:9">
      <c r="A2177" s="1">
        <v>42654.251388888886</v>
      </c>
      <c r="B2177" s="19">
        <v>42572</v>
      </c>
      <c r="C2177" s="21">
        <v>0.93680555555555556</v>
      </c>
      <c r="D2177" s="20" t="s">
        <v>3049</v>
      </c>
      <c r="E2177" t="s">
        <v>2</v>
      </c>
      <c r="F2177" t="s">
        <v>3</v>
      </c>
      <c r="G2177" t="s">
        <v>1048</v>
      </c>
      <c r="H2177">
        <v>9</v>
      </c>
      <c r="I2177">
        <f t="shared" si="35"/>
        <v>12</v>
      </c>
    </row>
    <row r="2178" spans="1:9">
      <c r="A2178" s="1">
        <v>42653.978472222225</v>
      </c>
      <c r="B2178" s="19">
        <v>42572</v>
      </c>
      <c r="C2178" s="21">
        <v>0.80486111111111114</v>
      </c>
      <c r="D2178" s="20" t="s">
        <v>3046</v>
      </c>
      <c r="E2178" t="s">
        <v>2</v>
      </c>
      <c r="F2178" t="s">
        <v>5</v>
      </c>
      <c r="G2178" t="s">
        <v>1581</v>
      </c>
      <c r="H2178" t="e">
        <v>#VALUE!</v>
      </c>
      <c r="I2178" t="e">
        <f t="shared" si="35"/>
        <v>#VALUE!</v>
      </c>
    </row>
    <row r="2179" spans="1:9">
      <c r="A2179" s="1">
        <v>42653.95208333333</v>
      </c>
      <c r="B2179" s="19">
        <v>42572</v>
      </c>
      <c r="C2179" s="21">
        <v>0.75</v>
      </c>
      <c r="D2179" s="20" t="s">
        <v>3045</v>
      </c>
      <c r="E2179" t="s">
        <v>6</v>
      </c>
      <c r="F2179" t="s">
        <v>7</v>
      </c>
      <c r="G2179" t="s">
        <v>1667</v>
      </c>
      <c r="H2179" t="e">
        <v>#VALUE!</v>
      </c>
      <c r="I2179" t="e">
        <f t="shared" ref="I2179:I2242" si="36">ROUNDUP((H2179*1.24), 0)</f>
        <v>#VALUE!</v>
      </c>
    </row>
    <row r="2180" spans="1:9">
      <c r="A2180" s="1">
        <v>42653.549305555556</v>
      </c>
      <c r="B2180" s="19">
        <v>42572</v>
      </c>
      <c r="C2180" s="21">
        <v>0.67291666666666672</v>
      </c>
      <c r="D2180" s="20" t="s">
        <v>3043</v>
      </c>
      <c r="E2180" t="s">
        <v>2</v>
      </c>
      <c r="F2180" t="s">
        <v>5</v>
      </c>
      <c r="G2180" t="s">
        <v>1668</v>
      </c>
      <c r="H2180">
        <v>98</v>
      </c>
      <c r="I2180">
        <f t="shared" si="36"/>
        <v>122</v>
      </c>
    </row>
    <row r="2181" spans="1:9">
      <c r="A2181" s="1">
        <v>42653.61041666667</v>
      </c>
      <c r="B2181" s="19">
        <v>42572</v>
      </c>
      <c r="C2181" s="21">
        <v>0.6479166666666667</v>
      </c>
      <c r="D2181" s="20" t="s">
        <v>3042</v>
      </c>
      <c r="E2181" t="s">
        <v>2</v>
      </c>
      <c r="F2181" t="s">
        <v>5</v>
      </c>
      <c r="G2181" t="s">
        <v>1670</v>
      </c>
      <c r="H2181">
        <v>34</v>
      </c>
      <c r="I2181">
        <f t="shared" si="36"/>
        <v>43</v>
      </c>
    </row>
    <row r="2182" spans="1:9">
      <c r="A2182" s="1">
        <v>42653.275694444441</v>
      </c>
      <c r="B2182" s="19">
        <v>42572</v>
      </c>
      <c r="C2182" s="21">
        <v>0.33750000000000002</v>
      </c>
      <c r="D2182" s="20" t="s">
        <v>3034</v>
      </c>
      <c r="E2182" t="s">
        <v>2</v>
      </c>
      <c r="F2182" t="s">
        <v>48</v>
      </c>
      <c r="G2182" t="s">
        <v>1672</v>
      </c>
      <c r="H2182">
        <v>31</v>
      </c>
      <c r="I2182">
        <f t="shared" si="36"/>
        <v>39</v>
      </c>
    </row>
    <row r="2183" spans="1:9">
      <c r="A2183" s="1">
        <v>42653.240972222222</v>
      </c>
      <c r="B2183" s="19">
        <v>42572</v>
      </c>
      <c r="C2183" s="21">
        <v>0.25208333333333333</v>
      </c>
      <c r="D2183" s="20" t="s">
        <v>3031</v>
      </c>
      <c r="E2183" t="s">
        <v>6</v>
      </c>
      <c r="F2183" t="s">
        <v>15</v>
      </c>
      <c r="G2183" t="s">
        <v>1673</v>
      </c>
      <c r="H2183" t="e">
        <v>#VALUE!</v>
      </c>
      <c r="I2183" t="e">
        <f t="shared" si="36"/>
        <v>#VALUE!</v>
      </c>
    </row>
    <row r="2184" spans="1:9">
      <c r="A2184" s="1">
        <v>42651.102083333331</v>
      </c>
      <c r="B2184" s="19">
        <v>42572</v>
      </c>
      <c r="C2184" s="21">
        <v>0.15694444444444444</v>
      </c>
      <c r="D2184" s="20" t="s">
        <v>3053</v>
      </c>
      <c r="E2184" t="s">
        <v>6</v>
      </c>
      <c r="F2184" t="s">
        <v>12</v>
      </c>
      <c r="G2184" t="s">
        <v>1675</v>
      </c>
      <c r="H2184">
        <v>5</v>
      </c>
      <c r="I2184">
        <f t="shared" si="36"/>
        <v>7</v>
      </c>
    </row>
    <row r="2185" spans="1:9">
      <c r="A2185" s="1">
        <v>42651.196527777778</v>
      </c>
      <c r="B2185" s="19">
        <v>42573</v>
      </c>
      <c r="C2185" s="21">
        <v>0.95208333333333328</v>
      </c>
      <c r="D2185" s="20" t="s">
        <v>3049</v>
      </c>
      <c r="E2185" t="s">
        <v>18</v>
      </c>
      <c r="F2185" t="s">
        <v>19</v>
      </c>
      <c r="G2185" t="s">
        <v>1657</v>
      </c>
      <c r="H2185">
        <v>7</v>
      </c>
      <c r="I2185">
        <f t="shared" si="36"/>
        <v>9</v>
      </c>
    </row>
    <row r="2186" spans="1:9">
      <c r="A2186" s="1">
        <v>42650.871527777781</v>
      </c>
      <c r="B2186" s="19">
        <v>42573</v>
      </c>
      <c r="C2186" s="21">
        <v>0.94513888888888886</v>
      </c>
      <c r="D2186" s="20" t="s">
        <v>3049</v>
      </c>
      <c r="E2186" t="s">
        <v>77</v>
      </c>
      <c r="F2186" t="s">
        <v>78</v>
      </c>
      <c r="G2186" t="s">
        <v>1658</v>
      </c>
      <c r="H2186" t="e">
        <v>#VALUE!</v>
      </c>
      <c r="I2186" t="e">
        <f t="shared" si="36"/>
        <v>#VALUE!</v>
      </c>
    </row>
    <row r="2187" spans="1:9">
      <c r="A2187" s="1">
        <v>42650.765277777777</v>
      </c>
      <c r="B2187" s="19">
        <v>42573</v>
      </c>
      <c r="C2187" s="21">
        <v>0.91805555555555551</v>
      </c>
      <c r="D2187" s="20" t="s">
        <v>3049</v>
      </c>
      <c r="E2187" t="s">
        <v>18</v>
      </c>
      <c r="F2187" t="s">
        <v>71</v>
      </c>
      <c r="G2187" t="s">
        <v>1659</v>
      </c>
      <c r="H2187" t="e">
        <v>#VALUE!</v>
      </c>
      <c r="I2187" t="e">
        <f t="shared" si="36"/>
        <v>#VALUE!</v>
      </c>
    </row>
    <row r="2188" spans="1:9">
      <c r="A2188" s="1">
        <v>42650.685416666667</v>
      </c>
      <c r="B2188" s="19">
        <v>42573</v>
      </c>
      <c r="C2188" s="21">
        <v>0.90694444444444444</v>
      </c>
      <c r="D2188" s="20" t="s">
        <v>3048</v>
      </c>
      <c r="H2188">
        <v>0</v>
      </c>
      <c r="I2188">
        <f t="shared" si="36"/>
        <v>0</v>
      </c>
    </row>
    <row r="2189" spans="1:9">
      <c r="A2189" s="1">
        <v>42650.030555555553</v>
      </c>
      <c r="B2189" s="19">
        <v>42573</v>
      </c>
      <c r="C2189" s="21">
        <v>0.83263888888888893</v>
      </c>
      <c r="D2189" s="20" t="s">
        <v>3046</v>
      </c>
      <c r="E2189" t="s">
        <v>0</v>
      </c>
      <c r="F2189" t="s">
        <v>10</v>
      </c>
      <c r="G2189" t="s">
        <v>64</v>
      </c>
      <c r="H2189">
        <v>13</v>
      </c>
      <c r="I2189">
        <f t="shared" si="36"/>
        <v>17</v>
      </c>
    </row>
    <row r="2190" spans="1:9">
      <c r="A2190" s="1">
        <v>42650.019444444442</v>
      </c>
      <c r="B2190" s="19">
        <v>42573</v>
      </c>
      <c r="C2190" s="21">
        <v>0.67638888888888893</v>
      </c>
      <c r="D2190" s="20" t="s">
        <v>3043</v>
      </c>
      <c r="E2190" t="s">
        <v>0</v>
      </c>
      <c r="F2190" t="s">
        <v>10</v>
      </c>
      <c r="G2190" t="s">
        <v>64</v>
      </c>
      <c r="H2190">
        <v>13</v>
      </c>
      <c r="I2190">
        <f t="shared" si="36"/>
        <v>17</v>
      </c>
    </row>
    <row r="2191" spans="1:9">
      <c r="A2191" s="1">
        <v>42650.730555555558</v>
      </c>
      <c r="B2191" s="19">
        <v>42573</v>
      </c>
      <c r="C2191" s="21">
        <v>0.58472222222222225</v>
      </c>
      <c r="D2191" s="20" t="s">
        <v>3040</v>
      </c>
      <c r="E2191" t="s">
        <v>18</v>
      </c>
      <c r="F2191" t="s">
        <v>100</v>
      </c>
      <c r="H2191" t="e">
        <v>#VALUE!</v>
      </c>
      <c r="I2191" t="e">
        <f t="shared" si="36"/>
        <v>#VALUE!</v>
      </c>
    </row>
    <row r="2192" spans="1:9">
      <c r="A2192" s="1">
        <v>42650.582638888889</v>
      </c>
      <c r="B2192" s="19">
        <v>42573</v>
      </c>
      <c r="C2192" s="21">
        <v>0.5083333333333333</v>
      </c>
      <c r="D2192" s="20" t="s">
        <v>3038</v>
      </c>
      <c r="E2192" t="s">
        <v>0</v>
      </c>
      <c r="F2192" t="s">
        <v>10</v>
      </c>
      <c r="G2192" t="s">
        <v>59</v>
      </c>
      <c r="H2192">
        <v>13</v>
      </c>
      <c r="I2192">
        <f t="shared" si="36"/>
        <v>17</v>
      </c>
    </row>
    <row r="2193" spans="1:9">
      <c r="A2193" s="1">
        <v>42650.461805555555</v>
      </c>
      <c r="B2193" s="19">
        <v>42573</v>
      </c>
      <c r="C2193" s="21">
        <v>0.20555555555555555</v>
      </c>
      <c r="D2193" s="20" t="s">
        <v>3054</v>
      </c>
      <c r="E2193" t="s">
        <v>0</v>
      </c>
      <c r="G2193" t="s">
        <v>1662</v>
      </c>
      <c r="H2193">
        <v>13</v>
      </c>
      <c r="I2193">
        <f t="shared" si="36"/>
        <v>17</v>
      </c>
    </row>
    <row r="2194" spans="1:9">
      <c r="A2194" s="1">
        <v>42650.04791666667</v>
      </c>
      <c r="B2194" s="19">
        <v>42573</v>
      </c>
      <c r="C2194" s="21">
        <v>0.18402777777777779</v>
      </c>
      <c r="D2194" s="20" t="s">
        <v>3054</v>
      </c>
      <c r="E2194" t="s">
        <v>33</v>
      </c>
      <c r="F2194" t="s">
        <v>44</v>
      </c>
      <c r="G2194" t="s">
        <v>1663</v>
      </c>
      <c r="H2194">
        <v>38</v>
      </c>
      <c r="I2194">
        <f t="shared" si="36"/>
        <v>48</v>
      </c>
    </row>
    <row r="2195" spans="1:9">
      <c r="A2195" s="1">
        <v>42649.981249999997</v>
      </c>
      <c r="B2195" s="19">
        <v>42573</v>
      </c>
      <c r="C2195" s="21">
        <v>0.16527777777777777</v>
      </c>
      <c r="D2195" s="20" t="s">
        <v>3053</v>
      </c>
      <c r="E2195" t="s">
        <v>0</v>
      </c>
      <c r="F2195" t="s">
        <v>10</v>
      </c>
      <c r="G2195" t="s">
        <v>59</v>
      </c>
      <c r="H2195">
        <v>13</v>
      </c>
      <c r="I2195">
        <f t="shared" si="36"/>
        <v>17</v>
      </c>
    </row>
    <row r="2196" spans="1:9">
      <c r="A2196" s="1">
        <v>42649.945138888892</v>
      </c>
      <c r="B2196" s="19">
        <v>42573</v>
      </c>
      <c r="C2196" s="21">
        <v>0.97152777777777777</v>
      </c>
      <c r="D2196" s="20" t="s">
        <v>3063</v>
      </c>
      <c r="E2196" t="s">
        <v>6</v>
      </c>
      <c r="F2196" t="s">
        <v>12</v>
      </c>
      <c r="G2196" t="s">
        <v>1656</v>
      </c>
      <c r="H2196" t="e">
        <v>#VALUE!</v>
      </c>
      <c r="I2196" t="e">
        <f t="shared" si="36"/>
        <v>#VALUE!</v>
      </c>
    </row>
    <row r="2197" spans="1:9">
      <c r="A2197" s="1">
        <v>42649.929861111108</v>
      </c>
      <c r="B2197" s="19">
        <v>42573</v>
      </c>
      <c r="C2197" s="21">
        <v>0.58333333333333337</v>
      </c>
      <c r="D2197" s="20" t="s">
        <v>3040</v>
      </c>
      <c r="E2197" t="s">
        <v>2</v>
      </c>
      <c r="F2197" t="s">
        <v>48</v>
      </c>
      <c r="H2197">
        <v>18</v>
      </c>
      <c r="I2197">
        <f t="shared" si="36"/>
        <v>23</v>
      </c>
    </row>
    <row r="2198" spans="1:9">
      <c r="A2198" s="1">
        <v>42649.920138888891</v>
      </c>
      <c r="B2198" s="19">
        <v>42573</v>
      </c>
      <c r="C2198" s="21">
        <v>0.45208333333333334</v>
      </c>
      <c r="D2198" s="20" t="s">
        <v>3036</v>
      </c>
      <c r="E2198" t="s">
        <v>2</v>
      </c>
      <c r="F2198" t="s">
        <v>48</v>
      </c>
      <c r="G2198" t="s">
        <v>1660</v>
      </c>
      <c r="H2198">
        <v>12</v>
      </c>
      <c r="I2198">
        <f t="shared" si="36"/>
        <v>15</v>
      </c>
    </row>
    <row r="2199" spans="1:9">
      <c r="A2199" s="1">
        <v>42649.910416666666</v>
      </c>
      <c r="B2199" s="19">
        <v>42573</v>
      </c>
      <c r="C2199" s="21">
        <v>0.31736111111111109</v>
      </c>
      <c r="D2199" s="20" t="s">
        <v>3033</v>
      </c>
      <c r="E2199" t="s">
        <v>2</v>
      </c>
      <c r="F2199" t="s">
        <v>56</v>
      </c>
      <c r="G2199" t="s">
        <v>1661</v>
      </c>
      <c r="H2199">
        <v>13</v>
      </c>
      <c r="I2199">
        <f t="shared" si="36"/>
        <v>17</v>
      </c>
    </row>
    <row r="2200" spans="1:9">
      <c r="A2200" s="1">
        <v>42649.87777777778</v>
      </c>
      <c r="B2200" s="19">
        <v>42574</v>
      </c>
      <c r="C2200" s="21">
        <v>0.11736111111111111</v>
      </c>
      <c r="D2200" s="20" t="s">
        <v>3052</v>
      </c>
      <c r="E2200" t="s">
        <v>33</v>
      </c>
      <c r="F2200" t="s">
        <v>44</v>
      </c>
      <c r="G2200" t="s">
        <v>669</v>
      </c>
      <c r="H2200" t="e">
        <v>#VALUE!</v>
      </c>
      <c r="I2200" t="e">
        <f t="shared" si="36"/>
        <v>#VALUE!</v>
      </c>
    </row>
    <row r="2201" spans="1:9">
      <c r="A2201" s="1">
        <v>42649.668749999997</v>
      </c>
      <c r="B2201" s="19">
        <v>42574</v>
      </c>
      <c r="C2201" s="21">
        <v>0.14791666666666667</v>
      </c>
      <c r="D2201" s="20" t="s">
        <v>3053</v>
      </c>
      <c r="E2201" t="s">
        <v>6</v>
      </c>
      <c r="F2201" t="s">
        <v>12</v>
      </c>
      <c r="G2201" t="s">
        <v>1382</v>
      </c>
      <c r="H2201">
        <v>4</v>
      </c>
      <c r="I2201">
        <f t="shared" si="36"/>
        <v>5</v>
      </c>
    </row>
    <row r="2202" spans="1:9">
      <c r="A2202" s="1">
        <v>42649.275000000001</v>
      </c>
      <c r="B2202" s="19">
        <v>42574</v>
      </c>
      <c r="C2202" s="21">
        <v>0.10277777777777777</v>
      </c>
      <c r="D2202" s="20" t="s">
        <v>3052</v>
      </c>
      <c r="E2202" t="s">
        <v>6</v>
      </c>
      <c r="F2202" t="s">
        <v>26</v>
      </c>
      <c r="G2202" t="s">
        <v>1654</v>
      </c>
      <c r="H2202">
        <v>19</v>
      </c>
      <c r="I2202">
        <f t="shared" si="36"/>
        <v>24</v>
      </c>
    </row>
    <row r="2203" spans="1:9">
      <c r="A2203" s="1">
        <v>42649.263194444444</v>
      </c>
      <c r="B2203" s="19">
        <v>42574</v>
      </c>
      <c r="C2203" s="21">
        <v>9.7222222222222224E-2</v>
      </c>
      <c r="D2203" s="20" t="s">
        <v>3052</v>
      </c>
      <c r="E2203" t="s">
        <v>6</v>
      </c>
      <c r="F2203" t="s">
        <v>12</v>
      </c>
      <c r="G2203" t="s">
        <v>1382</v>
      </c>
      <c r="H2203">
        <v>4</v>
      </c>
      <c r="I2203">
        <f t="shared" si="36"/>
        <v>5</v>
      </c>
    </row>
    <row r="2204" spans="1:9">
      <c r="A2204" s="1">
        <v>42649.253472222219</v>
      </c>
      <c r="B2204" s="19">
        <v>42574</v>
      </c>
      <c r="C2204" s="21">
        <v>8.3333333333333329E-2</v>
      </c>
      <c r="D2204" s="20" t="s">
        <v>3052</v>
      </c>
      <c r="E2204" t="s">
        <v>6</v>
      </c>
      <c r="F2204" t="s">
        <v>21</v>
      </c>
      <c r="G2204" t="s">
        <v>1655</v>
      </c>
      <c r="H2204">
        <v>13</v>
      </c>
      <c r="I2204">
        <f t="shared" si="36"/>
        <v>17</v>
      </c>
    </row>
    <row r="2205" spans="1:9">
      <c r="A2205" s="1">
        <v>42649.224305555559</v>
      </c>
      <c r="B2205" s="19">
        <v>42576</v>
      </c>
      <c r="C2205" s="21">
        <v>0.84166666666666667</v>
      </c>
      <c r="D2205" s="20" t="s">
        <v>3047</v>
      </c>
      <c r="E2205" t="s">
        <v>0</v>
      </c>
      <c r="F2205" t="s">
        <v>10</v>
      </c>
      <c r="G2205" t="s">
        <v>59</v>
      </c>
      <c r="H2205">
        <v>13</v>
      </c>
      <c r="I2205">
        <f t="shared" si="36"/>
        <v>17</v>
      </c>
    </row>
    <row r="2206" spans="1:9">
      <c r="A2206" s="1">
        <v>42649.210416666669</v>
      </c>
      <c r="B2206" s="19">
        <v>42576</v>
      </c>
      <c r="C2206" s="21">
        <v>0.68263888888888891</v>
      </c>
      <c r="D2206" s="20" t="s">
        <v>3043</v>
      </c>
      <c r="E2206" t="s">
        <v>77</v>
      </c>
      <c r="F2206" t="s">
        <v>78</v>
      </c>
      <c r="G2206" t="s">
        <v>1598</v>
      </c>
      <c r="H2206">
        <v>2</v>
      </c>
      <c r="I2206">
        <f t="shared" si="36"/>
        <v>3</v>
      </c>
    </row>
    <row r="2207" spans="1:9">
      <c r="A2207" s="1">
        <v>42649.206250000003</v>
      </c>
      <c r="B2207" s="19">
        <v>42576</v>
      </c>
      <c r="C2207" s="21">
        <v>0.67361111111111116</v>
      </c>
      <c r="D2207" s="20" t="s">
        <v>3043</v>
      </c>
      <c r="E2207" t="s">
        <v>0</v>
      </c>
      <c r="F2207" t="s">
        <v>10</v>
      </c>
      <c r="G2207" t="s">
        <v>59</v>
      </c>
      <c r="H2207">
        <v>13</v>
      </c>
      <c r="I2207">
        <f t="shared" si="36"/>
        <v>17</v>
      </c>
    </row>
    <row r="2208" spans="1:9">
      <c r="A2208" s="1">
        <v>42648.557638888888</v>
      </c>
      <c r="B2208" s="19">
        <v>42576</v>
      </c>
      <c r="C2208" s="21">
        <v>0.61041666666666672</v>
      </c>
      <c r="D2208" s="20" t="s">
        <v>3040</v>
      </c>
      <c r="E2208" t="s">
        <v>33</v>
      </c>
      <c r="F2208" t="s">
        <v>44</v>
      </c>
      <c r="G2208" t="s">
        <v>1652</v>
      </c>
      <c r="H2208">
        <v>75</v>
      </c>
      <c r="I2208">
        <f t="shared" si="36"/>
        <v>93</v>
      </c>
    </row>
    <row r="2209" spans="1:9">
      <c r="A2209" s="1">
        <v>42648.520138888889</v>
      </c>
      <c r="B2209" s="19">
        <v>42576</v>
      </c>
      <c r="C2209" s="21">
        <v>0.58333333333333337</v>
      </c>
      <c r="D2209" s="20" t="s">
        <v>3040</v>
      </c>
      <c r="E2209" t="s">
        <v>18</v>
      </c>
      <c r="F2209" t="s">
        <v>71</v>
      </c>
      <c r="G2209" t="s">
        <v>1641</v>
      </c>
      <c r="H2209" t="e">
        <v>#VALUE!</v>
      </c>
      <c r="I2209" t="e">
        <f t="shared" si="36"/>
        <v>#VALUE!</v>
      </c>
    </row>
    <row r="2210" spans="1:9">
      <c r="A2210" s="1">
        <v>42648.354166666664</v>
      </c>
      <c r="B2210" s="19">
        <v>42576</v>
      </c>
      <c r="C2210" s="21">
        <v>0.26805555555555555</v>
      </c>
      <c r="D2210" s="20" t="s">
        <v>3031</v>
      </c>
      <c r="E2210" t="s">
        <v>18</v>
      </c>
      <c r="F2210" t="s">
        <v>100</v>
      </c>
      <c r="G2210" t="s">
        <v>444</v>
      </c>
      <c r="H2210" t="e">
        <v>#VALUE!</v>
      </c>
      <c r="I2210" t="e">
        <f t="shared" si="36"/>
        <v>#VALUE!</v>
      </c>
    </row>
    <row r="2211" spans="1:9">
      <c r="A2211" s="1">
        <v>42647.383333333331</v>
      </c>
      <c r="B2211" s="19">
        <v>42576</v>
      </c>
      <c r="C2211" s="21">
        <v>0.77847222222222223</v>
      </c>
      <c r="D2211" s="20" t="s">
        <v>3045</v>
      </c>
      <c r="E2211" t="s">
        <v>6</v>
      </c>
      <c r="F2211" t="s">
        <v>12</v>
      </c>
      <c r="G2211" t="s">
        <v>1382</v>
      </c>
      <c r="H2211">
        <v>10</v>
      </c>
      <c r="I2211">
        <f t="shared" si="36"/>
        <v>13</v>
      </c>
    </row>
    <row r="2212" spans="1:9">
      <c r="A2212" s="1">
        <v>42647.25</v>
      </c>
      <c r="B2212" s="19">
        <v>42576</v>
      </c>
      <c r="C2212" s="21">
        <v>0.68194444444444446</v>
      </c>
      <c r="D2212" s="20" t="s">
        <v>3043</v>
      </c>
      <c r="E2212" t="s">
        <v>6</v>
      </c>
      <c r="F2212" t="s">
        <v>12</v>
      </c>
      <c r="G2212" t="s">
        <v>1650</v>
      </c>
      <c r="H2212">
        <v>34</v>
      </c>
      <c r="I2212">
        <f t="shared" si="36"/>
        <v>43</v>
      </c>
    </row>
    <row r="2213" spans="1:9">
      <c r="A2213" s="1">
        <v>42647.645138888889</v>
      </c>
      <c r="B2213" s="19">
        <v>42576</v>
      </c>
      <c r="C2213" s="21">
        <v>0.64166666666666672</v>
      </c>
      <c r="D2213" s="20" t="s">
        <v>3042</v>
      </c>
      <c r="E2213" t="s">
        <v>6</v>
      </c>
      <c r="F2213" t="s">
        <v>7</v>
      </c>
      <c r="G2213" t="s">
        <v>1651</v>
      </c>
      <c r="H2213">
        <v>19</v>
      </c>
      <c r="I2213">
        <f t="shared" si="36"/>
        <v>24</v>
      </c>
    </row>
    <row r="2214" spans="1:9">
      <c r="A2214" s="1">
        <v>42647.638888888891</v>
      </c>
      <c r="B2214" s="19">
        <v>42576</v>
      </c>
      <c r="C2214" s="21">
        <v>0.62916666666666665</v>
      </c>
      <c r="D2214" s="20" t="s">
        <v>3042</v>
      </c>
      <c r="E2214" t="s">
        <v>6</v>
      </c>
      <c r="F2214" t="s">
        <v>7</v>
      </c>
      <c r="G2214" t="s">
        <v>1651</v>
      </c>
      <c r="H2214">
        <v>13</v>
      </c>
      <c r="I2214">
        <f t="shared" si="36"/>
        <v>17</v>
      </c>
    </row>
    <row r="2215" spans="1:9">
      <c r="A2215" s="1">
        <v>42647.525694444441</v>
      </c>
      <c r="B2215" s="19">
        <v>42576</v>
      </c>
      <c r="C2215" s="21">
        <v>0.62638888888888888</v>
      </c>
      <c r="D2215" s="20" t="s">
        <v>3042</v>
      </c>
      <c r="E2215" t="s">
        <v>6</v>
      </c>
      <c r="F2215" t="s">
        <v>15</v>
      </c>
      <c r="G2215" t="s">
        <v>1646</v>
      </c>
      <c r="H2215">
        <v>3</v>
      </c>
      <c r="I2215">
        <f t="shared" si="36"/>
        <v>4</v>
      </c>
    </row>
    <row r="2216" spans="1:9">
      <c r="A2216" s="1">
        <v>42647.013888888891</v>
      </c>
      <c r="B2216" s="19">
        <v>42576</v>
      </c>
      <c r="C2216" s="21">
        <v>0.37083333333333335</v>
      </c>
      <c r="D2216" s="20" t="s">
        <v>3034</v>
      </c>
      <c r="E2216" t="s">
        <v>6</v>
      </c>
      <c r="F2216" t="s">
        <v>12</v>
      </c>
      <c r="G2216" t="s">
        <v>1653</v>
      </c>
      <c r="H2216">
        <v>8</v>
      </c>
      <c r="I2216">
        <f t="shared" si="36"/>
        <v>10</v>
      </c>
    </row>
    <row r="2217" spans="1:9">
      <c r="A2217" s="1">
        <v>42646.924305555556</v>
      </c>
      <c r="B2217" s="19">
        <v>42577</v>
      </c>
      <c r="C2217" s="21">
        <v>0.95902777777777781</v>
      </c>
      <c r="D2217" s="20" t="s">
        <v>3063</v>
      </c>
      <c r="E2217" t="s">
        <v>33</v>
      </c>
      <c r="F2217" t="s">
        <v>44</v>
      </c>
      <c r="G2217" t="s">
        <v>1643</v>
      </c>
      <c r="H2217">
        <v>2</v>
      </c>
      <c r="I2217">
        <f t="shared" si="36"/>
        <v>3</v>
      </c>
    </row>
    <row r="2218" spans="1:9">
      <c r="A2218" s="1">
        <v>42646.850694444445</v>
      </c>
      <c r="B2218" s="19">
        <v>42577</v>
      </c>
      <c r="C2218" s="21">
        <v>0.60069444444444442</v>
      </c>
      <c r="D2218" s="20" t="s">
        <v>3040</v>
      </c>
      <c r="E2218" t="s">
        <v>0</v>
      </c>
      <c r="G2218" t="s">
        <v>1647</v>
      </c>
      <c r="H2218">
        <v>25</v>
      </c>
      <c r="I2218">
        <f t="shared" si="36"/>
        <v>31</v>
      </c>
    </row>
    <row r="2219" spans="1:9">
      <c r="A2219" s="1">
        <v>42646.843055555553</v>
      </c>
      <c r="B2219" s="19">
        <v>42577</v>
      </c>
      <c r="C2219" s="21">
        <v>0.58611111111111114</v>
      </c>
      <c r="D2219" s="20" t="s">
        <v>3040</v>
      </c>
      <c r="E2219" t="s">
        <v>18</v>
      </c>
      <c r="F2219" t="s">
        <v>71</v>
      </c>
      <c r="G2219" t="s">
        <v>1641</v>
      </c>
      <c r="H2219" t="e">
        <v>#VALUE!</v>
      </c>
      <c r="I2219" t="e">
        <f t="shared" si="36"/>
        <v>#VALUE!</v>
      </c>
    </row>
    <row r="2220" spans="1:9">
      <c r="A2220" s="1">
        <v>42646.820138888892</v>
      </c>
      <c r="B2220" s="19">
        <v>42577</v>
      </c>
      <c r="C2220" s="21">
        <v>0.27847222222222223</v>
      </c>
      <c r="D2220" s="20" t="s">
        <v>3031</v>
      </c>
      <c r="E2220" t="s">
        <v>33</v>
      </c>
      <c r="F2220" t="s">
        <v>44</v>
      </c>
      <c r="G2220" t="s">
        <v>1649</v>
      </c>
      <c r="H2220">
        <v>18</v>
      </c>
      <c r="I2220">
        <f t="shared" si="36"/>
        <v>23</v>
      </c>
    </row>
    <row r="2221" spans="1:9">
      <c r="A2221" s="1">
        <v>42646.770138888889</v>
      </c>
      <c r="B2221" s="19">
        <v>42577</v>
      </c>
      <c r="C2221" s="21">
        <v>0.25624999999999998</v>
      </c>
      <c r="D2221" s="20" t="s">
        <v>3031</v>
      </c>
      <c r="E2221" t="s">
        <v>18</v>
      </c>
      <c r="F2221" t="s">
        <v>100</v>
      </c>
      <c r="G2221" t="s">
        <v>444</v>
      </c>
      <c r="H2221" t="e">
        <v>#VALUE!</v>
      </c>
      <c r="I2221" t="e">
        <f t="shared" si="36"/>
        <v>#VALUE!</v>
      </c>
    </row>
    <row r="2222" spans="1:9">
      <c r="A2222" s="1">
        <v>42646.65902777778</v>
      </c>
      <c r="B2222" s="19">
        <v>42577</v>
      </c>
      <c r="C2222" s="21">
        <v>0.78472222222222221</v>
      </c>
      <c r="D2222" s="20" t="s">
        <v>3045</v>
      </c>
      <c r="E2222" t="s">
        <v>6</v>
      </c>
      <c r="F2222" t="s">
        <v>12</v>
      </c>
      <c r="G2222" t="s">
        <v>1439</v>
      </c>
      <c r="H2222">
        <v>3</v>
      </c>
      <c r="I2222">
        <f t="shared" si="36"/>
        <v>4</v>
      </c>
    </row>
    <row r="2223" spans="1:9">
      <c r="A2223" s="1">
        <v>42646.584722222222</v>
      </c>
      <c r="B2223" s="19">
        <v>42577</v>
      </c>
      <c r="C2223" s="21">
        <v>0.78333333333333333</v>
      </c>
      <c r="D2223" s="20" t="s">
        <v>3045</v>
      </c>
      <c r="E2223" t="s">
        <v>6</v>
      </c>
      <c r="F2223" t="s">
        <v>46</v>
      </c>
      <c r="G2223" t="s">
        <v>1644</v>
      </c>
      <c r="H2223">
        <v>4</v>
      </c>
      <c r="I2223">
        <f t="shared" si="36"/>
        <v>5</v>
      </c>
    </row>
    <row r="2224" spans="1:9">
      <c r="A2224" s="1">
        <v>42646.547222222223</v>
      </c>
      <c r="B2224" s="19">
        <v>42577</v>
      </c>
      <c r="C2224" s="21">
        <v>0.7104166666666667</v>
      </c>
      <c r="D2224" s="20" t="s">
        <v>3044</v>
      </c>
      <c r="E2224" t="s">
        <v>6</v>
      </c>
      <c r="F2224" t="s">
        <v>26</v>
      </c>
      <c r="G2224" t="s">
        <v>1645</v>
      </c>
      <c r="H2224">
        <v>23</v>
      </c>
      <c r="I2224">
        <f t="shared" si="36"/>
        <v>29</v>
      </c>
    </row>
    <row r="2225" spans="1:9">
      <c r="A2225" s="1">
        <v>42646.417361111111</v>
      </c>
      <c r="B2225" s="19">
        <v>42577</v>
      </c>
      <c r="C2225" s="21">
        <v>0.70763888888888893</v>
      </c>
      <c r="D2225" s="20" t="s">
        <v>3043</v>
      </c>
      <c r="E2225" t="s">
        <v>6</v>
      </c>
      <c r="F2225" t="s">
        <v>26</v>
      </c>
      <c r="G2225" t="s">
        <v>1646</v>
      </c>
      <c r="H2225">
        <v>4</v>
      </c>
      <c r="I2225">
        <f t="shared" si="36"/>
        <v>5</v>
      </c>
    </row>
    <row r="2226" spans="1:9">
      <c r="A2226" s="1">
        <v>42646.260416666664</v>
      </c>
      <c r="B2226" s="19">
        <v>42577</v>
      </c>
      <c r="C2226" s="21">
        <v>0.70416666666666672</v>
      </c>
      <c r="D2226" s="20" t="s">
        <v>3043</v>
      </c>
      <c r="E2226" t="s">
        <v>6</v>
      </c>
      <c r="F2226" t="s">
        <v>12</v>
      </c>
      <c r="G2226" t="s">
        <v>1439</v>
      </c>
      <c r="H2226">
        <v>4</v>
      </c>
      <c r="I2226">
        <f t="shared" si="36"/>
        <v>5</v>
      </c>
    </row>
    <row r="2227" spans="1:9">
      <c r="A2227" s="1">
        <v>42646.25</v>
      </c>
      <c r="B2227" s="19">
        <v>42577</v>
      </c>
      <c r="C2227" s="21">
        <v>0.58888888888888891</v>
      </c>
      <c r="D2227" s="20" t="s">
        <v>3040</v>
      </c>
      <c r="E2227" t="s">
        <v>6</v>
      </c>
      <c r="F2227" t="s">
        <v>61</v>
      </c>
      <c r="G2227" t="s">
        <v>1551</v>
      </c>
      <c r="H2227">
        <v>3</v>
      </c>
      <c r="I2227">
        <f t="shared" si="36"/>
        <v>4</v>
      </c>
    </row>
    <row r="2228" spans="1:9">
      <c r="A2228" s="1">
        <v>42644.222916666666</v>
      </c>
      <c r="B2228" s="19">
        <v>42577</v>
      </c>
      <c r="C2228" s="21">
        <v>0.46319444444444446</v>
      </c>
      <c r="D2228" s="20" t="s">
        <v>3037</v>
      </c>
      <c r="E2228" t="s">
        <v>2</v>
      </c>
      <c r="F2228" t="s">
        <v>3</v>
      </c>
      <c r="G2228" t="s">
        <v>480</v>
      </c>
      <c r="H2228">
        <v>17</v>
      </c>
      <c r="I2228">
        <f t="shared" si="36"/>
        <v>22</v>
      </c>
    </row>
    <row r="2229" spans="1:9">
      <c r="A2229" s="1">
        <v>42643.944444444445</v>
      </c>
      <c r="B2229" s="19">
        <v>42577</v>
      </c>
      <c r="C2229" s="21">
        <v>0.45208333333333334</v>
      </c>
      <c r="D2229" s="20" t="s">
        <v>3036</v>
      </c>
      <c r="E2229" t="s">
        <v>2</v>
      </c>
      <c r="F2229" t="s">
        <v>3</v>
      </c>
      <c r="G2229" t="s">
        <v>342</v>
      </c>
      <c r="H2229">
        <v>13</v>
      </c>
      <c r="I2229">
        <f t="shared" si="36"/>
        <v>17</v>
      </c>
    </row>
    <row r="2230" spans="1:9">
      <c r="A2230" s="1">
        <v>42643.811805555553</v>
      </c>
      <c r="B2230" s="19">
        <v>42577</v>
      </c>
      <c r="C2230" s="21">
        <v>0.38819444444444445</v>
      </c>
      <c r="D2230" s="20" t="s">
        <v>3035</v>
      </c>
      <c r="E2230" t="s">
        <v>2</v>
      </c>
      <c r="F2230" t="s">
        <v>56</v>
      </c>
      <c r="G2230" t="s">
        <v>1648</v>
      </c>
      <c r="H2230">
        <v>27</v>
      </c>
      <c r="I2230">
        <f t="shared" si="36"/>
        <v>34</v>
      </c>
    </row>
    <row r="2231" spans="1:9">
      <c r="A2231" s="1">
        <v>42643.59097222222</v>
      </c>
      <c r="B2231" s="19">
        <v>42578</v>
      </c>
      <c r="C2231" s="21">
        <v>0.89652777777777781</v>
      </c>
      <c r="D2231" s="20" t="s">
        <v>3048</v>
      </c>
      <c r="E2231" t="s">
        <v>0</v>
      </c>
      <c r="G2231" t="s">
        <v>1639</v>
      </c>
      <c r="H2231">
        <v>50</v>
      </c>
      <c r="I2231">
        <f t="shared" si="36"/>
        <v>62</v>
      </c>
    </row>
    <row r="2232" spans="1:9">
      <c r="A2232" s="1">
        <v>42643.583333333336</v>
      </c>
      <c r="B2232" s="19">
        <v>42578</v>
      </c>
      <c r="C2232" s="21">
        <v>0.86875000000000002</v>
      </c>
      <c r="D2232" s="20" t="s">
        <v>3047</v>
      </c>
      <c r="E2232" t="s">
        <v>33</v>
      </c>
      <c r="F2232" t="s">
        <v>44</v>
      </c>
      <c r="G2232" t="s">
        <v>1625</v>
      </c>
      <c r="H2232" t="e">
        <v>#VALUE!</v>
      </c>
      <c r="I2232" t="e">
        <f t="shared" si="36"/>
        <v>#VALUE!</v>
      </c>
    </row>
    <row r="2233" spans="1:9">
      <c r="A2233" s="1">
        <v>42643.470138888886</v>
      </c>
      <c r="B2233" s="19">
        <v>42578</v>
      </c>
      <c r="C2233" s="21">
        <v>0.58333333333333337</v>
      </c>
      <c r="D2233" s="20" t="s">
        <v>3040</v>
      </c>
      <c r="E2233" t="s">
        <v>18</v>
      </c>
      <c r="F2233" t="s">
        <v>71</v>
      </c>
      <c r="G2233" t="s">
        <v>1641</v>
      </c>
      <c r="H2233" t="e">
        <v>#VALUE!</v>
      </c>
      <c r="I2233" t="e">
        <f t="shared" si="36"/>
        <v>#VALUE!</v>
      </c>
    </row>
    <row r="2234" spans="1:9">
      <c r="A2234" s="1">
        <v>42643.363194444442</v>
      </c>
      <c r="B2234" s="19">
        <v>42578</v>
      </c>
      <c r="C2234" s="21">
        <v>0.30555555555555558</v>
      </c>
      <c r="D2234" s="20" t="s">
        <v>3033</v>
      </c>
      <c r="E2234" t="s">
        <v>18</v>
      </c>
      <c r="F2234" t="s">
        <v>100</v>
      </c>
      <c r="G2234" t="s">
        <v>1642</v>
      </c>
      <c r="H2234" t="e">
        <v>#VALUE!</v>
      </c>
      <c r="I2234" t="e">
        <f t="shared" si="36"/>
        <v>#VALUE!</v>
      </c>
    </row>
    <row r="2235" spans="1:9">
      <c r="A2235" s="1">
        <v>42643.298611111109</v>
      </c>
      <c r="B2235" s="19">
        <v>42578</v>
      </c>
      <c r="C2235" s="21">
        <v>0.92361111111111116</v>
      </c>
      <c r="D2235" s="20" t="s">
        <v>3049</v>
      </c>
      <c r="E2235" t="s">
        <v>6</v>
      </c>
      <c r="F2235" t="s">
        <v>15</v>
      </c>
      <c r="G2235" t="s">
        <v>1638</v>
      </c>
      <c r="H2235">
        <v>13</v>
      </c>
      <c r="I2235">
        <f t="shared" si="36"/>
        <v>17</v>
      </c>
    </row>
    <row r="2236" spans="1:9">
      <c r="A2236" s="1">
        <v>42643.254166666666</v>
      </c>
      <c r="B2236" s="19">
        <v>42578</v>
      </c>
      <c r="C2236" s="21">
        <v>0.85</v>
      </c>
      <c r="D2236" s="20" t="s">
        <v>3047</v>
      </c>
      <c r="E2236" t="s">
        <v>6</v>
      </c>
      <c r="F2236" t="s">
        <v>46</v>
      </c>
      <c r="G2236" t="s">
        <v>1640</v>
      </c>
      <c r="H2236">
        <v>8</v>
      </c>
      <c r="I2236">
        <f t="shared" si="36"/>
        <v>10</v>
      </c>
    </row>
    <row r="2237" spans="1:9">
      <c r="A2237" s="1">
        <v>42643.255555555559</v>
      </c>
      <c r="B2237" s="19">
        <v>42578</v>
      </c>
      <c r="C2237" s="21">
        <v>0.72430555555555554</v>
      </c>
      <c r="D2237" s="20" t="s">
        <v>3044</v>
      </c>
      <c r="E2237" t="s">
        <v>6</v>
      </c>
      <c r="F2237" t="s">
        <v>12</v>
      </c>
      <c r="G2237" t="s">
        <v>1382</v>
      </c>
      <c r="H2237">
        <v>3</v>
      </c>
      <c r="I2237">
        <f t="shared" si="36"/>
        <v>4</v>
      </c>
    </row>
    <row r="2238" spans="1:9">
      <c r="A2238" s="1">
        <v>42643.243055555555</v>
      </c>
      <c r="B2238" s="19">
        <v>42578</v>
      </c>
      <c r="C2238" s="21">
        <v>0.62916666666666665</v>
      </c>
      <c r="D2238" s="20" t="s">
        <v>3042</v>
      </c>
      <c r="E2238" t="s">
        <v>6</v>
      </c>
      <c r="F2238" t="s">
        <v>46</v>
      </c>
      <c r="G2238" t="s">
        <v>1640</v>
      </c>
      <c r="H2238">
        <v>3</v>
      </c>
      <c r="I2238">
        <f t="shared" si="36"/>
        <v>4</v>
      </c>
    </row>
    <row r="2239" spans="1:9">
      <c r="A2239" s="1">
        <v>42642.92083333333</v>
      </c>
      <c r="B2239" s="19">
        <v>42579</v>
      </c>
      <c r="C2239" s="21">
        <v>0.95138888888888884</v>
      </c>
      <c r="D2239" s="20" t="s">
        <v>3049</v>
      </c>
      <c r="E2239" t="s">
        <v>18</v>
      </c>
      <c r="F2239" t="s">
        <v>100</v>
      </c>
      <c r="H2239" t="e">
        <v>#VALUE!</v>
      </c>
      <c r="I2239" t="e">
        <f t="shared" si="36"/>
        <v>#VALUE!</v>
      </c>
    </row>
    <row r="2240" spans="1:9">
      <c r="A2240" s="1">
        <v>42642.67291666667</v>
      </c>
      <c r="B2240" s="19">
        <v>42579</v>
      </c>
      <c r="C2240" s="21">
        <v>0.85486111111111107</v>
      </c>
      <c r="D2240" s="20" t="s">
        <v>3047</v>
      </c>
      <c r="E2240" t="s">
        <v>0</v>
      </c>
      <c r="G2240" t="s">
        <v>632</v>
      </c>
      <c r="H2240" t="e">
        <v>#VALUE!</v>
      </c>
      <c r="I2240" t="e">
        <f t="shared" si="36"/>
        <v>#VALUE!</v>
      </c>
    </row>
    <row r="2241" spans="1:9">
      <c r="A2241" s="1">
        <v>42642.583333333336</v>
      </c>
      <c r="B2241" s="19">
        <v>42579</v>
      </c>
      <c r="C2241" s="21">
        <v>0.81736111111111109</v>
      </c>
      <c r="D2241" s="20" t="s">
        <v>3046</v>
      </c>
      <c r="E2241" t="s">
        <v>0</v>
      </c>
      <c r="G2241" t="s">
        <v>1635</v>
      </c>
      <c r="H2241">
        <v>13</v>
      </c>
      <c r="I2241">
        <f t="shared" si="36"/>
        <v>17</v>
      </c>
    </row>
    <row r="2242" spans="1:9">
      <c r="A2242" s="1">
        <v>42642.568055555559</v>
      </c>
      <c r="B2242" s="19">
        <v>42579</v>
      </c>
      <c r="C2242" s="21">
        <v>0.6743055555555556</v>
      </c>
      <c r="D2242" s="20" t="s">
        <v>3043</v>
      </c>
      <c r="E2242" t="s">
        <v>0</v>
      </c>
      <c r="F2242" t="s">
        <v>10</v>
      </c>
      <c r="G2242" t="s">
        <v>59</v>
      </c>
      <c r="H2242">
        <v>13</v>
      </c>
      <c r="I2242">
        <f t="shared" si="36"/>
        <v>17</v>
      </c>
    </row>
    <row r="2243" spans="1:9">
      <c r="A2243" s="1">
        <v>42642.382638888892</v>
      </c>
      <c r="B2243" s="19">
        <v>42579</v>
      </c>
      <c r="C2243" s="21">
        <v>0.57708333333333328</v>
      </c>
      <c r="D2243" s="20" t="s">
        <v>3039</v>
      </c>
      <c r="E2243" t="s">
        <v>18</v>
      </c>
      <c r="F2243" t="s">
        <v>71</v>
      </c>
      <c r="G2243" t="s">
        <v>1614</v>
      </c>
      <c r="H2243" t="e">
        <v>#VALUE!</v>
      </c>
      <c r="I2243" t="e">
        <f t="shared" ref="I2243:I2306" si="37">ROUNDUP((H2243*1.24), 0)</f>
        <v>#VALUE!</v>
      </c>
    </row>
    <row r="2244" spans="1:9">
      <c r="A2244" s="1">
        <v>42642.334027777775</v>
      </c>
      <c r="B2244" s="19">
        <v>42579</v>
      </c>
      <c r="C2244" s="21">
        <v>0.25277777777777777</v>
      </c>
      <c r="D2244" s="20" t="s">
        <v>3031</v>
      </c>
      <c r="E2244" t="s">
        <v>18</v>
      </c>
      <c r="F2244" t="s">
        <v>100</v>
      </c>
      <c r="G2244" t="s">
        <v>444</v>
      </c>
      <c r="H2244" t="e">
        <v>#VALUE!</v>
      </c>
      <c r="I2244" t="e">
        <f t="shared" si="37"/>
        <v>#VALUE!</v>
      </c>
    </row>
    <row r="2245" spans="1:9">
      <c r="A2245" s="1">
        <v>42642.30972222222</v>
      </c>
      <c r="B2245" s="19">
        <v>42579</v>
      </c>
      <c r="C2245" s="21">
        <v>0.98402777777777772</v>
      </c>
      <c r="D2245" s="20" t="s">
        <v>3063</v>
      </c>
      <c r="E2245" t="s">
        <v>6</v>
      </c>
      <c r="F2245" t="s">
        <v>46</v>
      </c>
      <c r="G2245" t="s">
        <v>1628</v>
      </c>
      <c r="H2245">
        <v>3</v>
      </c>
      <c r="I2245">
        <f t="shared" si="37"/>
        <v>4</v>
      </c>
    </row>
    <row r="2246" spans="1:9">
      <c r="A2246" s="1">
        <v>42642.295138888891</v>
      </c>
      <c r="B2246" s="19">
        <v>42579</v>
      </c>
      <c r="C2246" s="21">
        <v>0.98124999999999996</v>
      </c>
      <c r="D2246" s="20" t="s">
        <v>3063</v>
      </c>
      <c r="E2246" t="s">
        <v>6</v>
      </c>
      <c r="F2246" t="s">
        <v>12</v>
      </c>
      <c r="G2246" t="s">
        <v>45</v>
      </c>
      <c r="H2246">
        <v>2</v>
      </c>
      <c r="I2246">
        <f t="shared" si="37"/>
        <v>3</v>
      </c>
    </row>
    <row r="2247" spans="1:9">
      <c r="A2247" s="1">
        <v>42642.292361111111</v>
      </c>
      <c r="B2247" s="19">
        <v>42579</v>
      </c>
      <c r="C2247" s="21">
        <v>0.98124999999999996</v>
      </c>
      <c r="D2247" s="20" t="s">
        <v>3063</v>
      </c>
      <c r="E2247" t="s">
        <v>6</v>
      </c>
      <c r="G2247" t="s">
        <v>1629</v>
      </c>
      <c r="H2247">
        <v>13</v>
      </c>
      <c r="I2247">
        <f t="shared" si="37"/>
        <v>17</v>
      </c>
    </row>
    <row r="2248" spans="1:9">
      <c r="A2248" s="1">
        <v>42642.274305555555</v>
      </c>
      <c r="B2248" s="19">
        <v>42579</v>
      </c>
      <c r="C2248" s="21">
        <v>0.94652777777777775</v>
      </c>
      <c r="D2248" s="20" t="s">
        <v>3049</v>
      </c>
      <c r="E2248" t="s">
        <v>2</v>
      </c>
      <c r="F2248" t="s">
        <v>5</v>
      </c>
      <c r="G2248" t="s">
        <v>1630</v>
      </c>
      <c r="H2248">
        <v>8</v>
      </c>
      <c r="I2248">
        <f t="shared" si="37"/>
        <v>10</v>
      </c>
    </row>
    <row r="2249" spans="1:9">
      <c r="A2249" s="1">
        <v>42642.265277777777</v>
      </c>
      <c r="B2249" s="19">
        <v>42579</v>
      </c>
      <c r="C2249" s="21">
        <v>0.9243055555555556</v>
      </c>
      <c r="D2249" s="20" t="s">
        <v>3049</v>
      </c>
      <c r="E2249" t="s">
        <v>6</v>
      </c>
      <c r="F2249" t="s">
        <v>167</v>
      </c>
      <c r="G2249" t="s">
        <v>1631</v>
      </c>
      <c r="H2249">
        <v>2</v>
      </c>
      <c r="I2249">
        <f t="shared" si="37"/>
        <v>3</v>
      </c>
    </row>
    <row r="2250" spans="1:9">
      <c r="A2250" s="1">
        <v>42642.25277777778</v>
      </c>
      <c r="B2250" s="19">
        <v>42579</v>
      </c>
      <c r="C2250" s="21">
        <v>0.92152777777777772</v>
      </c>
      <c r="D2250" s="20" t="s">
        <v>3049</v>
      </c>
      <c r="E2250" t="s">
        <v>6</v>
      </c>
      <c r="F2250" t="s">
        <v>15</v>
      </c>
      <c r="G2250" t="s">
        <v>1632</v>
      </c>
      <c r="H2250" t="e">
        <v>#VALUE!</v>
      </c>
      <c r="I2250" t="e">
        <f t="shared" si="37"/>
        <v>#VALUE!</v>
      </c>
    </row>
    <row r="2251" spans="1:9">
      <c r="A2251" s="1">
        <v>42642.208333333336</v>
      </c>
      <c r="B2251" s="19">
        <v>42579</v>
      </c>
      <c r="C2251" s="21">
        <v>0.85486111111111107</v>
      </c>
      <c r="D2251" s="20" t="s">
        <v>3047</v>
      </c>
      <c r="E2251" t="s">
        <v>6</v>
      </c>
      <c r="F2251" t="s">
        <v>15</v>
      </c>
      <c r="G2251" t="s">
        <v>1633</v>
      </c>
      <c r="H2251">
        <v>13</v>
      </c>
      <c r="I2251">
        <f t="shared" si="37"/>
        <v>17</v>
      </c>
    </row>
    <row r="2252" spans="1:9">
      <c r="A2252" s="1">
        <v>42642.958333333336</v>
      </c>
      <c r="B2252" s="19">
        <v>42579</v>
      </c>
      <c r="C2252" s="21">
        <v>0.83958333333333335</v>
      </c>
      <c r="D2252" s="20" t="s">
        <v>3047</v>
      </c>
      <c r="E2252" t="s">
        <v>6</v>
      </c>
      <c r="F2252" t="s">
        <v>15</v>
      </c>
      <c r="G2252" t="s">
        <v>1634</v>
      </c>
      <c r="H2252">
        <v>13</v>
      </c>
      <c r="I2252">
        <f t="shared" si="37"/>
        <v>17</v>
      </c>
    </row>
    <row r="2253" spans="1:9">
      <c r="A2253" s="1">
        <v>42642.909722222219</v>
      </c>
      <c r="B2253" s="19">
        <v>42579</v>
      </c>
      <c r="C2253" s="21">
        <v>0.70277777777777772</v>
      </c>
      <c r="D2253" s="20" t="s">
        <v>3043</v>
      </c>
      <c r="E2253" t="s">
        <v>6</v>
      </c>
      <c r="F2253" t="s">
        <v>46</v>
      </c>
      <c r="G2253" t="s">
        <v>1449</v>
      </c>
      <c r="H2253">
        <v>4</v>
      </c>
      <c r="I2253">
        <f t="shared" si="37"/>
        <v>5</v>
      </c>
    </row>
    <row r="2254" spans="1:9">
      <c r="A2254" s="1">
        <v>42641.952777777777</v>
      </c>
      <c r="B2254" s="19">
        <v>42579</v>
      </c>
      <c r="C2254" s="21">
        <v>0.39444444444444443</v>
      </c>
      <c r="D2254" s="20" t="s">
        <v>3035</v>
      </c>
      <c r="E2254" t="s">
        <v>2</v>
      </c>
      <c r="F2254" t="s">
        <v>56</v>
      </c>
      <c r="G2254" t="s">
        <v>1636</v>
      </c>
      <c r="H2254">
        <v>13</v>
      </c>
      <c r="I2254">
        <f t="shared" si="37"/>
        <v>17</v>
      </c>
    </row>
    <row r="2255" spans="1:9">
      <c r="A2255" s="1">
        <v>42641.369444444441</v>
      </c>
      <c r="B2255" s="19">
        <v>42579</v>
      </c>
      <c r="C2255" s="21">
        <v>1.5972222222222221E-2</v>
      </c>
      <c r="D2255" s="20" t="s">
        <v>3050</v>
      </c>
      <c r="E2255" t="s">
        <v>6</v>
      </c>
      <c r="F2255" t="s">
        <v>15</v>
      </c>
      <c r="G2255" t="s">
        <v>1637</v>
      </c>
      <c r="H2255">
        <v>19</v>
      </c>
      <c r="I2255">
        <f t="shared" si="37"/>
        <v>24</v>
      </c>
    </row>
    <row r="2256" spans="1:9">
      <c r="A2256" s="1">
        <v>42641.356944444444</v>
      </c>
      <c r="B2256" s="19">
        <v>42580</v>
      </c>
      <c r="C2256" s="21">
        <v>0.91597222222222219</v>
      </c>
      <c r="D2256" s="20" t="s">
        <v>3048</v>
      </c>
      <c r="E2256" t="s">
        <v>18</v>
      </c>
      <c r="F2256" t="s">
        <v>100</v>
      </c>
      <c r="G2256" t="s">
        <v>1623</v>
      </c>
      <c r="H2256" t="e">
        <v>#VALUE!</v>
      </c>
      <c r="I2256" t="e">
        <f t="shared" si="37"/>
        <v>#VALUE!</v>
      </c>
    </row>
    <row r="2257" spans="1:9">
      <c r="A2257" s="1">
        <v>42641.313194444447</v>
      </c>
      <c r="B2257" s="19">
        <v>42580</v>
      </c>
      <c r="C2257" s="21">
        <v>0.66666666666666663</v>
      </c>
      <c r="D2257" s="20" t="s">
        <v>3043</v>
      </c>
      <c r="H2257">
        <v>0</v>
      </c>
      <c r="I2257">
        <f t="shared" si="37"/>
        <v>0</v>
      </c>
    </row>
    <row r="2258" spans="1:9">
      <c r="A2258" s="1">
        <v>42641.290277777778</v>
      </c>
      <c r="B2258" s="19">
        <v>42580</v>
      </c>
      <c r="C2258" s="21">
        <v>0.63680555555555551</v>
      </c>
      <c r="D2258" s="20" t="s">
        <v>3042</v>
      </c>
      <c r="E2258" t="s">
        <v>33</v>
      </c>
      <c r="F2258" t="s">
        <v>44</v>
      </c>
      <c r="G2258" t="s">
        <v>1625</v>
      </c>
      <c r="H2258" t="e">
        <v>#VALUE!</v>
      </c>
      <c r="I2258" t="e">
        <f t="shared" si="37"/>
        <v>#VALUE!</v>
      </c>
    </row>
    <row r="2259" spans="1:9">
      <c r="A2259" s="1">
        <v>42641.26666666667</v>
      </c>
      <c r="B2259" s="19">
        <v>42580</v>
      </c>
      <c r="C2259" s="21">
        <v>0.58402777777777781</v>
      </c>
      <c r="D2259" s="20" t="s">
        <v>3040</v>
      </c>
      <c r="E2259" t="s">
        <v>18</v>
      </c>
      <c r="F2259" t="s">
        <v>71</v>
      </c>
      <c r="G2259" t="s">
        <v>1626</v>
      </c>
      <c r="H2259" t="e">
        <v>#VALUE!</v>
      </c>
      <c r="I2259" t="e">
        <f t="shared" si="37"/>
        <v>#VALUE!</v>
      </c>
    </row>
    <row r="2260" spans="1:9">
      <c r="A2260" s="1">
        <v>42641.006944444445</v>
      </c>
      <c r="B2260" s="19">
        <v>42580</v>
      </c>
      <c r="C2260" s="21">
        <v>0.8618055555555556</v>
      </c>
      <c r="D2260" s="20" t="s">
        <v>3047</v>
      </c>
      <c r="E2260" t="s">
        <v>6</v>
      </c>
      <c r="F2260" t="s">
        <v>15</v>
      </c>
      <c r="G2260" t="s">
        <v>1624</v>
      </c>
      <c r="H2260">
        <v>13</v>
      </c>
      <c r="I2260">
        <f t="shared" si="37"/>
        <v>17</v>
      </c>
    </row>
    <row r="2261" spans="1:9">
      <c r="A2261" s="1">
        <v>42641.854166666664</v>
      </c>
      <c r="B2261" s="19">
        <v>42580</v>
      </c>
      <c r="C2261" s="21">
        <v>0.66597222222222219</v>
      </c>
      <c r="D2261" s="20" t="s">
        <v>3042</v>
      </c>
      <c r="E2261" t="s">
        <v>2</v>
      </c>
      <c r="F2261" t="s">
        <v>48</v>
      </c>
      <c r="H2261">
        <v>9</v>
      </c>
      <c r="I2261">
        <f t="shared" si="37"/>
        <v>12</v>
      </c>
    </row>
    <row r="2262" spans="1:9">
      <c r="A2262" s="1">
        <v>42641.584722222222</v>
      </c>
      <c r="B2262" s="19">
        <v>42580</v>
      </c>
      <c r="C2262" s="21">
        <v>0.12986111111111112</v>
      </c>
      <c r="D2262" s="20" t="s">
        <v>3053</v>
      </c>
      <c r="E2262" t="s">
        <v>6</v>
      </c>
      <c r="F2262" t="s">
        <v>46</v>
      </c>
      <c r="G2262" t="s">
        <v>1627</v>
      </c>
      <c r="H2262">
        <v>2</v>
      </c>
      <c r="I2262">
        <f t="shared" si="37"/>
        <v>3</v>
      </c>
    </row>
    <row r="2263" spans="1:9">
      <c r="A2263" s="1">
        <v>42641.550694444442</v>
      </c>
      <c r="B2263" s="19">
        <v>42583</v>
      </c>
      <c r="C2263" s="21">
        <v>0.96736111111111112</v>
      </c>
      <c r="D2263" s="20" t="s">
        <v>3063</v>
      </c>
      <c r="E2263" t="s">
        <v>33</v>
      </c>
      <c r="F2263" t="s">
        <v>44</v>
      </c>
      <c r="G2263" t="s">
        <v>1618</v>
      </c>
      <c r="H2263">
        <v>38</v>
      </c>
      <c r="I2263">
        <f t="shared" si="37"/>
        <v>48</v>
      </c>
    </row>
    <row r="2264" spans="1:9">
      <c r="A2264" s="1">
        <v>42640.774305555555</v>
      </c>
      <c r="B2264" s="19">
        <v>42583</v>
      </c>
      <c r="C2264" s="21">
        <v>0.90902777777777777</v>
      </c>
      <c r="D2264" s="20" t="s">
        <v>3048</v>
      </c>
      <c r="E2264" t="s">
        <v>0</v>
      </c>
      <c r="F2264" t="s">
        <v>10</v>
      </c>
      <c r="G2264" t="s">
        <v>734</v>
      </c>
      <c r="H2264">
        <v>13</v>
      </c>
      <c r="I2264">
        <f t="shared" si="37"/>
        <v>17</v>
      </c>
    </row>
    <row r="2265" spans="1:9">
      <c r="A2265" s="1">
        <v>42640.659722222219</v>
      </c>
      <c r="B2265" s="19">
        <v>42583</v>
      </c>
      <c r="C2265" s="21">
        <v>0.67013888888888884</v>
      </c>
      <c r="D2265" s="20" t="s">
        <v>3043</v>
      </c>
      <c r="E2265" t="s">
        <v>18</v>
      </c>
      <c r="F2265" t="s">
        <v>100</v>
      </c>
      <c r="H2265" t="e">
        <v>#VALUE!</v>
      </c>
      <c r="I2265" t="e">
        <f t="shared" si="37"/>
        <v>#VALUE!</v>
      </c>
    </row>
    <row r="2266" spans="1:9">
      <c r="A2266" s="1">
        <v>42640.569444444445</v>
      </c>
      <c r="B2266" s="19">
        <v>42583</v>
      </c>
      <c r="C2266" s="21">
        <v>0.31736111111111109</v>
      </c>
      <c r="D2266" s="20" t="s">
        <v>3033</v>
      </c>
      <c r="E2266" t="s">
        <v>77</v>
      </c>
      <c r="F2266" t="s">
        <v>159</v>
      </c>
      <c r="G2266" t="s">
        <v>1606</v>
      </c>
      <c r="H2266" t="e">
        <v>#VALUE!</v>
      </c>
      <c r="I2266" t="e">
        <f t="shared" si="37"/>
        <v>#VALUE!</v>
      </c>
    </row>
    <row r="2267" spans="1:9">
      <c r="A2267" s="1">
        <v>42640.527777777781</v>
      </c>
      <c r="B2267" s="19">
        <v>42583</v>
      </c>
      <c r="C2267" s="21">
        <v>0.25486111111111109</v>
      </c>
      <c r="D2267" s="20" t="s">
        <v>3031</v>
      </c>
      <c r="E2267" t="s">
        <v>18</v>
      </c>
      <c r="F2267" t="s">
        <v>71</v>
      </c>
      <c r="G2267" t="s">
        <v>1614</v>
      </c>
      <c r="H2267" t="e">
        <v>#VALUE!</v>
      </c>
      <c r="I2267" t="e">
        <f t="shared" si="37"/>
        <v>#VALUE!</v>
      </c>
    </row>
    <row r="2268" spans="1:9">
      <c r="A2268" s="1">
        <v>42640.355555555558</v>
      </c>
      <c r="B2268" s="19">
        <v>42583</v>
      </c>
      <c r="C2268" s="21">
        <v>0.25416666666666665</v>
      </c>
      <c r="D2268" s="20" t="s">
        <v>3031</v>
      </c>
      <c r="E2268" t="s">
        <v>0</v>
      </c>
      <c r="G2268" t="s">
        <v>1622</v>
      </c>
      <c r="H2268">
        <v>17</v>
      </c>
      <c r="I2268">
        <f t="shared" si="37"/>
        <v>22</v>
      </c>
    </row>
    <row r="2269" spans="1:9">
      <c r="A2269" s="1">
        <v>42640.353472222225</v>
      </c>
      <c r="B2269" s="19">
        <v>42583</v>
      </c>
      <c r="C2269" s="21">
        <v>0.98888888888888893</v>
      </c>
      <c r="D2269" s="20" t="s">
        <v>3063</v>
      </c>
      <c r="E2269" t="s">
        <v>2</v>
      </c>
      <c r="F2269" t="s">
        <v>5</v>
      </c>
      <c r="G2269" t="s">
        <v>1617</v>
      </c>
      <c r="H2269">
        <v>50</v>
      </c>
      <c r="I2269">
        <f t="shared" si="37"/>
        <v>62</v>
      </c>
    </row>
    <row r="2270" spans="1:9">
      <c r="A2270" s="1">
        <v>42640.276388888888</v>
      </c>
      <c r="B2270" s="19">
        <v>42583</v>
      </c>
      <c r="C2270" s="21">
        <v>0.58402777777777781</v>
      </c>
      <c r="D2270" s="20" t="s">
        <v>3040</v>
      </c>
      <c r="E2270" t="s">
        <v>2</v>
      </c>
      <c r="F2270" t="s">
        <v>48</v>
      </c>
      <c r="G2270" t="s">
        <v>1619</v>
      </c>
      <c r="H2270" t="e">
        <v>#VALUE!</v>
      </c>
      <c r="I2270" t="e">
        <f t="shared" si="37"/>
        <v>#VALUE!</v>
      </c>
    </row>
    <row r="2271" spans="1:9">
      <c r="A2271" s="1">
        <v>42640.263888888891</v>
      </c>
      <c r="B2271" s="19">
        <v>42583</v>
      </c>
      <c r="C2271" s="21">
        <v>0.34027777777777779</v>
      </c>
      <c r="D2271" s="20" t="s">
        <v>3034</v>
      </c>
      <c r="E2271" t="s">
        <v>2</v>
      </c>
      <c r="F2271" t="s">
        <v>5</v>
      </c>
      <c r="G2271" t="s">
        <v>1620</v>
      </c>
      <c r="H2271" t="e">
        <v>#VALUE!</v>
      </c>
      <c r="I2271" t="e">
        <f t="shared" si="37"/>
        <v>#VALUE!</v>
      </c>
    </row>
    <row r="2272" spans="1:9">
      <c r="A2272" s="1">
        <v>42640.208333333336</v>
      </c>
      <c r="B2272" s="19">
        <v>42583</v>
      </c>
      <c r="C2272" s="21">
        <v>0.32916666666666666</v>
      </c>
      <c r="D2272" s="20" t="s">
        <v>3033</v>
      </c>
      <c r="E2272" t="s">
        <v>2</v>
      </c>
      <c r="F2272" t="s">
        <v>56</v>
      </c>
      <c r="G2272" t="s">
        <v>1621</v>
      </c>
      <c r="H2272">
        <v>13</v>
      </c>
      <c r="I2272">
        <f t="shared" si="37"/>
        <v>17</v>
      </c>
    </row>
    <row r="2273" spans="1:9">
      <c r="A2273" s="1">
        <v>42640.220833333333</v>
      </c>
      <c r="B2273" s="19">
        <v>42584</v>
      </c>
      <c r="C2273" s="21">
        <v>0.91041666666666665</v>
      </c>
      <c r="D2273" s="20" t="s">
        <v>3048</v>
      </c>
      <c r="E2273" t="s">
        <v>0</v>
      </c>
      <c r="F2273" t="s">
        <v>10</v>
      </c>
      <c r="G2273" t="s">
        <v>1608</v>
      </c>
      <c r="H2273">
        <v>13</v>
      </c>
      <c r="I2273">
        <f t="shared" si="37"/>
        <v>17</v>
      </c>
    </row>
    <row r="2274" spans="1:9">
      <c r="A2274" s="1">
        <v>42639.518750000003</v>
      </c>
      <c r="B2274" s="19">
        <v>42584</v>
      </c>
      <c r="C2274" s="21">
        <v>0.58125000000000004</v>
      </c>
      <c r="D2274" s="20" t="s">
        <v>3039</v>
      </c>
      <c r="E2274" t="s">
        <v>18</v>
      </c>
      <c r="F2274" t="s">
        <v>100</v>
      </c>
      <c r="H2274" t="e">
        <v>#VALUE!</v>
      </c>
      <c r="I2274" t="e">
        <f t="shared" si="37"/>
        <v>#VALUE!</v>
      </c>
    </row>
    <row r="2275" spans="1:9">
      <c r="A2275" s="1">
        <v>42639.509027777778</v>
      </c>
      <c r="B2275" s="19">
        <v>42584</v>
      </c>
      <c r="C2275" s="21">
        <v>0.49722222222222223</v>
      </c>
      <c r="D2275" s="20" t="s">
        <v>3037</v>
      </c>
      <c r="E2275" t="s">
        <v>33</v>
      </c>
      <c r="F2275" t="s">
        <v>44</v>
      </c>
      <c r="G2275" t="s">
        <v>1613</v>
      </c>
      <c r="H2275">
        <v>13</v>
      </c>
      <c r="I2275">
        <f t="shared" si="37"/>
        <v>17</v>
      </c>
    </row>
    <row r="2276" spans="1:9">
      <c r="A2276" s="1">
        <v>42639.383333333331</v>
      </c>
      <c r="B2276" s="19">
        <v>42584</v>
      </c>
      <c r="C2276" s="21">
        <v>0.43125000000000002</v>
      </c>
      <c r="D2276" s="20" t="s">
        <v>3036</v>
      </c>
      <c r="E2276" t="s">
        <v>77</v>
      </c>
      <c r="G2276" t="s">
        <v>1606</v>
      </c>
      <c r="H2276">
        <v>13</v>
      </c>
      <c r="I2276">
        <f t="shared" si="37"/>
        <v>17</v>
      </c>
    </row>
    <row r="2277" spans="1:9">
      <c r="A2277" s="1">
        <v>42639.666666666664</v>
      </c>
      <c r="B2277" s="19">
        <v>42584</v>
      </c>
      <c r="C2277" s="21">
        <v>0.31666666666666665</v>
      </c>
      <c r="D2277" s="20" t="s">
        <v>3033</v>
      </c>
      <c r="E2277" t="s">
        <v>18</v>
      </c>
      <c r="F2277" t="s">
        <v>71</v>
      </c>
      <c r="G2277" t="s">
        <v>1614</v>
      </c>
      <c r="H2277" t="e">
        <v>#VALUE!</v>
      </c>
      <c r="I2277" t="e">
        <f t="shared" si="37"/>
        <v>#VALUE!</v>
      </c>
    </row>
    <row r="2278" spans="1:9">
      <c r="A2278" s="1">
        <v>42639.459722222222</v>
      </c>
      <c r="B2278" s="19">
        <v>42584</v>
      </c>
      <c r="C2278" s="21">
        <v>0.9604166666666667</v>
      </c>
      <c r="D2278" s="20" t="s">
        <v>3063</v>
      </c>
      <c r="E2278" t="s">
        <v>2</v>
      </c>
      <c r="F2278" t="s">
        <v>3</v>
      </c>
      <c r="G2278" t="s">
        <v>693</v>
      </c>
      <c r="H2278">
        <v>19</v>
      </c>
      <c r="I2278">
        <f t="shared" si="37"/>
        <v>24</v>
      </c>
    </row>
    <row r="2279" spans="1:9">
      <c r="A2279" s="1">
        <v>42639.27847222222</v>
      </c>
      <c r="B2279" s="19">
        <v>42584</v>
      </c>
      <c r="C2279" s="21">
        <v>0.78055555555555556</v>
      </c>
      <c r="D2279" s="20" t="s">
        <v>3045</v>
      </c>
      <c r="E2279" t="s">
        <v>2</v>
      </c>
      <c r="F2279" t="s">
        <v>5</v>
      </c>
      <c r="G2279" t="s">
        <v>1609</v>
      </c>
      <c r="H2279" t="e">
        <v>#VALUE!</v>
      </c>
      <c r="I2279" t="e">
        <f t="shared" si="37"/>
        <v>#VALUE!</v>
      </c>
    </row>
    <row r="2280" spans="1:9">
      <c r="A2280" s="1">
        <v>42637.038888888892</v>
      </c>
      <c r="B2280" s="19">
        <v>42584</v>
      </c>
      <c r="C2280" s="21">
        <v>0.76249999999999996</v>
      </c>
      <c r="D2280" s="20" t="s">
        <v>3045</v>
      </c>
      <c r="E2280" t="s">
        <v>6</v>
      </c>
      <c r="F2280" t="s">
        <v>7</v>
      </c>
      <c r="G2280" t="s">
        <v>1610</v>
      </c>
      <c r="H2280">
        <v>28</v>
      </c>
      <c r="I2280">
        <f t="shared" si="37"/>
        <v>35</v>
      </c>
    </row>
    <row r="2281" spans="1:9">
      <c r="A2281" s="1">
        <v>42637.019444444442</v>
      </c>
      <c r="B2281" s="19">
        <v>42584</v>
      </c>
      <c r="C2281" s="21">
        <v>0.72986111111111107</v>
      </c>
      <c r="D2281" s="20" t="s">
        <v>3044</v>
      </c>
      <c r="E2281" t="s">
        <v>2</v>
      </c>
      <c r="F2281" t="s">
        <v>5</v>
      </c>
      <c r="H2281">
        <v>59</v>
      </c>
      <c r="I2281">
        <f t="shared" si="37"/>
        <v>74</v>
      </c>
    </row>
    <row r="2282" spans="1:9">
      <c r="A2282" s="1">
        <v>42636.925694444442</v>
      </c>
      <c r="B2282" s="19">
        <v>42584</v>
      </c>
      <c r="C2282" s="21">
        <v>0.72013888888888888</v>
      </c>
      <c r="D2282" s="20" t="s">
        <v>3044</v>
      </c>
      <c r="E2282" t="s">
        <v>6</v>
      </c>
      <c r="F2282" t="s">
        <v>7</v>
      </c>
      <c r="G2282" t="s">
        <v>1611</v>
      </c>
      <c r="H2282">
        <v>30</v>
      </c>
      <c r="I2282">
        <f t="shared" si="37"/>
        <v>38</v>
      </c>
    </row>
    <row r="2283" spans="1:9">
      <c r="A2283" s="1">
        <v>42636.870138888888</v>
      </c>
      <c r="B2283" s="19">
        <v>42584</v>
      </c>
      <c r="C2283" s="21">
        <v>0.50208333333333333</v>
      </c>
      <c r="D2283" s="20" t="s">
        <v>3038</v>
      </c>
      <c r="E2283" t="s">
        <v>2</v>
      </c>
      <c r="F2283" t="s">
        <v>48</v>
      </c>
      <c r="G2283" t="s">
        <v>1612</v>
      </c>
      <c r="H2283">
        <v>19</v>
      </c>
      <c r="I2283">
        <f t="shared" si="37"/>
        <v>24</v>
      </c>
    </row>
    <row r="2284" spans="1:9">
      <c r="A2284" s="1">
        <v>42636.835416666669</v>
      </c>
      <c r="B2284" s="19">
        <v>42584</v>
      </c>
      <c r="C2284" s="21">
        <v>0.38194444444444442</v>
      </c>
      <c r="D2284" s="20" t="s">
        <v>3035</v>
      </c>
      <c r="E2284" t="s">
        <v>6</v>
      </c>
      <c r="F2284" t="s">
        <v>46</v>
      </c>
      <c r="G2284" t="s">
        <v>1589</v>
      </c>
      <c r="H2284">
        <v>4</v>
      </c>
      <c r="I2284">
        <f t="shared" si="37"/>
        <v>5</v>
      </c>
    </row>
    <row r="2285" spans="1:9">
      <c r="A2285" s="1">
        <v>42636.790972222225</v>
      </c>
      <c r="B2285" s="19">
        <v>42584</v>
      </c>
      <c r="C2285" s="21">
        <v>0.31666666666666665</v>
      </c>
      <c r="D2285" s="20" t="s">
        <v>3033</v>
      </c>
      <c r="E2285" t="s">
        <v>6</v>
      </c>
      <c r="F2285" t="s">
        <v>12</v>
      </c>
      <c r="G2285" t="s">
        <v>1382</v>
      </c>
      <c r="H2285">
        <v>4</v>
      </c>
      <c r="I2285">
        <f t="shared" si="37"/>
        <v>5</v>
      </c>
    </row>
    <row r="2286" spans="1:9">
      <c r="A2286" s="1">
        <v>42636.717361111114</v>
      </c>
      <c r="B2286" s="19">
        <v>42584</v>
      </c>
      <c r="C2286" s="21">
        <v>0.25208333333333333</v>
      </c>
      <c r="D2286" s="20" t="s">
        <v>3031</v>
      </c>
      <c r="E2286" t="s">
        <v>6</v>
      </c>
      <c r="F2286" t="s">
        <v>21</v>
      </c>
      <c r="G2286" t="s">
        <v>1463</v>
      </c>
      <c r="H2286" t="e">
        <v>#VALUE!</v>
      </c>
      <c r="I2286" t="e">
        <f t="shared" si="37"/>
        <v>#VALUE!</v>
      </c>
    </row>
    <row r="2287" spans="1:9">
      <c r="A2287" s="1">
        <v>42636.594444444447</v>
      </c>
      <c r="B2287" s="19">
        <v>42584</v>
      </c>
      <c r="C2287" s="21">
        <v>0.16666666666666666</v>
      </c>
      <c r="D2287" s="20" t="s">
        <v>3054</v>
      </c>
      <c r="E2287" t="s">
        <v>6</v>
      </c>
      <c r="F2287" t="s">
        <v>21</v>
      </c>
      <c r="G2287" t="s">
        <v>1615</v>
      </c>
      <c r="H2287" t="e">
        <v>#VALUE!</v>
      </c>
      <c r="I2287" t="e">
        <f t="shared" si="37"/>
        <v>#VALUE!</v>
      </c>
    </row>
    <row r="2288" spans="1:9">
      <c r="A2288" s="1">
        <v>42636.57708333333</v>
      </c>
      <c r="B2288" s="19">
        <v>42584</v>
      </c>
      <c r="C2288" s="21">
        <v>0.1388888888888889</v>
      </c>
      <c r="D2288" s="20" t="s">
        <v>3053</v>
      </c>
      <c r="E2288" t="s">
        <v>2</v>
      </c>
      <c r="F2288" t="s">
        <v>3</v>
      </c>
      <c r="G2288" t="s">
        <v>1616</v>
      </c>
      <c r="H2288">
        <v>35</v>
      </c>
      <c r="I2288">
        <f t="shared" si="37"/>
        <v>44</v>
      </c>
    </row>
    <row r="2289" spans="1:9">
      <c r="A2289" s="1">
        <v>42636.557638888888</v>
      </c>
      <c r="B2289" s="19">
        <v>42585</v>
      </c>
      <c r="C2289" s="21">
        <v>0.90902777777777777</v>
      </c>
      <c r="D2289" s="20" t="s">
        <v>3048</v>
      </c>
      <c r="E2289" t="s">
        <v>0</v>
      </c>
      <c r="F2289" t="s">
        <v>10</v>
      </c>
      <c r="G2289" t="s">
        <v>84</v>
      </c>
      <c r="H2289">
        <v>13</v>
      </c>
      <c r="I2289">
        <f t="shared" si="37"/>
        <v>17</v>
      </c>
    </row>
    <row r="2290" spans="1:9">
      <c r="A2290" s="1">
        <v>42636.554166666669</v>
      </c>
      <c r="B2290" s="19">
        <v>42585</v>
      </c>
      <c r="C2290" s="21">
        <v>0.83125000000000004</v>
      </c>
      <c r="D2290" s="20" t="s">
        <v>3046</v>
      </c>
      <c r="E2290" t="s">
        <v>0</v>
      </c>
      <c r="F2290" t="s">
        <v>10</v>
      </c>
      <c r="G2290" t="s">
        <v>64</v>
      </c>
      <c r="H2290">
        <v>13</v>
      </c>
      <c r="I2290">
        <f t="shared" si="37"/>
        <v>17</v>
      </c>
    </row>
    <row r="2291" spans="1:9">
      <c r="A2291" s="1">
        <v>42636.5</v>
      </c>
      <c r="B2291" s="19">
        <v>42585</v>
      </c>
      <c r="C2291" s="21">
        <v>0.81458333333333333</v>
      </c>
      <c r="D2291" s="20" t="s">
        <v>3046</v>
      </c>
      <c r="E2291" t="s">
        <v>0</v>
      </c>
      <c r="G2291" t="s">
        <v>1602</v>
      </c>
      <c r="H2291">
        <v>7</v>
      </c>
      <c r="I2291">
        <f t="shared" si="37"/>
        <v>9</v>
      </c>
    </row>
    <row r="2292" spans="1:9">
      <c r="A2292" s="1">
        <v>42636.425694444442</v>
      </c>
      <c r="B2292" s="19">
        <v>42585</v>
      </c>
      <c r="C2292" s="21">
        <v>0.66597222222222219</v>
      </c>
      <c r="D2292" s="20" t="s">
        <v>3042</v>
      </c>
      <c r="E2292" t="s">
        <v>0</v>
      </c>
      <c r="F2292" t="s">
        <v>10</v>
      </c>
      <c r="G2292" t="s">
        <v>64</v>
      </c>
      <c r="H2292">
        <v>13</v>
      </c>
      <c r="I2292">
        <f t="shared" si="37"/>
        <v>17</v>
      </c>
    </row>
    <row r="2293" spans="1:9">
      <c r="A2293" s="1">
        <v>42636.35833333333</v>
      </c>
      <c r="B2293" s="19">
        <v>42585</v>
      </c>
      <c r="C2293" s="21">
        <v>0.58402777777777781</v>
      </c>
      <c r="D2293" s="20" t="s">
        <v>3040</v>
      </c>
      <c r="E2293" t="s">
        <v>18</v>
      </c>
      <c r="F2293" t="s">
        <v>100</v>
      </c>
      <c r="G2293" t="s">
        <v>1603</v>
      </c>
      <c r="H2293" t="e">
        <v>#VALUE!</v>
      </c>
      <c r="I2293" t="e">
        <f t="shared" si="37"/>
        <v>#VALUE!</v>
      </c>
    </row>
    <row r="2294" spans="1:9">
      <c r="A2294" s="1">
        <v>42636.342361111114</v>
      </c>
      <c r="B2294" s="19">
        <v>42585</v>
      </c>
      <c r="C2294" s="21">
        <v>0.50347222222222221</v>
      </c>
      <c r="D2294" s="20" t="s">
        <v>3038</v>
      </c>
      <c r="E2294" t="s">
        <v>0</v>
      </c>
      <c r="F2294" t="s">
        <v>10</v>
      </c>
      <c r="G2294" t="s">
        <v>59</v>
      </c>
      <c r="H2294">
        <v>13</v>
      </c>
      <c r="I2294">
        <f t="shared" si="37"/>
        <v>17</v>
      </c>
    </row>
    <row r="2295" spans="1:9">
      <c r="A2295" s="1">
        <v>42636.30972222222</v>
      </c>
      <c r="B2295" s="19">
        <v>42585</v>
      </c>
      <c r="C2295" s="21">
        <v>0.27430555555555558</v>
      </c>
      <c r="D2295" s="20" t="s">
        <v>3031</v>
      </c>
      <c r="E2295" t="s">
        <v>77</v>
      </c>
      <c r="F2295" t="s">
        <v>159</v>
      </c>
      <c r="G2295" t="s">
        <v>1606</v>
      </c>
      <c r="H2295" t="e">
        <v>#VALUE!</v>
      </c>
      <c r="I2295" t="e">
        <f t="shared" si="37"/>
        <v>#VALUE!</v>
      </c>
    </row>
    <row r="2296" spans="1:9">
      <c r="A2296" s="1">
        <v>42636.248611111114</v>
      </c>
      <c r="B2296" s="19">
        <v>42585</v>
      </c>
      <c r="C2296" s="21">
        <v>0.18819444444444444</v>
      </c>
      <c r="D2296" s="20" t="s">
        <v>3054</v>
      </c>
      <c r="E2296" t="s">
        <v>0</v>
      </c>
      <c r="G2296" t="s">
        <v>1607</v>
      </c>
      <c r="H2296">
        <v>10</v>
      </c>
      <c r="I2296">
        <f t="shared" si="37"/>
        <v>13</v>
      </c>
    </row>
    <row r="2297" spans="1:9">
      <c r="A2297" s="1">
        <v>42636.201388888891</v>
      </c>
      <c r="B2297" s="19">
        <v>42585</v>
      </c>
      <c r="C2297" s="21">
        <v>0.88958333333333328</v>
      </c>
      <c r="D2297" s="20" t="s">
        <v>3048</v>
      </c>
      <c r="E2297" t="s">
        <v>6</v>
      </c>
      <c r="F2297" t="s">
        <v>26</v>
      </c>
      <c r="G2297" t="s">
        <v>453</v>
      </c>
      <c r="H2297">
        <v>4</v>
      </c>
      <c r="I2297">
        <f t="shared" si="37"/>
        <v>5</v>
      </c>
    </row>
    <row r="2298" spans="1:9">
      <c r="A2298" s="1">
        <v>42636.1875</v>
      </c>
      <c r="B2298" s="19">
        <v>42585</v>
      </c>
      <c r="C2298" s="21">
        <v>0.72430555555555554</v>
      </c>
      <c r="D2298" s="20" t="s">
        <v>3044</v>
      </c>
      <c r="E2298" t="s">
        <v>6</v>
      </c>
      <c r="F2298" t="s">
        <v>26</v>
      </c>
      <c r="G2298" t="s">
        <v>453</v>
      </c>
      <c r="H2298">
        <v>7</v>
      </c>
      <c r="I2298">
        <f t="shared" si="37"/>
        <v>9</v>
      </c>
    </row>
    <row r="2299" spans="1:9">
      <c r="A2299" s="1">
        <v>42636.15347222222</v>
      </c>
      <c r="B2299" s="19">
        <v>42585</v>
      </c>
      <c r="C2299" s="21">
        <v>0.55625000000000002</v>
      </c>
      <c r="D2299" s="20" t="s">
        <v>3039</v>
      </c>
      <c r="E2299" t="s">
        <v>6</v>
      </c>
      <c r="F2299" t="s">
        <v>26</v>
      </c>
      <c r="G2299" t="s">
        <v>453</v>
      </c>
      <c r="H2299">
        <v>4</v>
      </c>
      <c r="I2299">
        <f t="shared" si="37"/>
        <v>5</v>
      </c>
    </row>
    <row r="2300" spans="1:9">
      <c r="A2300" s="1">
        <v>42636.90625</v>
      </c>
      <c r="B2300" s="19">
        <v>42585</v>
      </c>
      <c r="C2300" s="21">
        <v>0.55069444444444449</v>
      </c>
      <c r="D2300" s="20" t="s">
        <v>3039</v>
      </c>
      <c r="E2300" t="s">
        <v>6</v>
      </c>
      <c r="F2300" t="s">
        <v>12</v>
      </c>
      <c r="G2300" t="s">
        <v>1382</v>
      </c>
      <c r="H2300">
        <v>4</v>
      </c>
      <c r="I2300">
        <f t="shared" si="37"/>
        <v>5</v>
      </c>
    </row>
    <row r="2301" spans="1:9">
      <c r="A2301" s="1">
        <v>42636.599305555559</v>
      </c>
      <c r="B2301" s="19">
        <v>42585</v>
      </c>
      <c r="C2301" s="21">
        <v>0.54374999999999996</v>
      </c>
      <c r="D2301" s="20" t="s">
        <v>3039</v>
      </c>
      <c r="E2301" t="s">
        <v>6</v>
      </c>
      <c r="F2301" t="s">
        <v>12</v>
      </c>
      <c r="G2301" t="s">
        <v>1382</v>
      </c>
      <c r="H2301">
        <v>4</v>
      </c>
      <c r="I2301">
        <f t="shared" si="37"/>
        <v>5</v>
      </c>
    </row>
    <row r="2302" spans="1:9">
      <c r="A2302" s="1">
        <v>42636.503472222219</v>
      </c>
      <c r="B2302" s="19">
        <v>42585</v>
      </c>
      <c r="C2302" s="21">
        <v>0.53194444444444444</v>
      </c>
      <c r="D2302" s="20" t="s">
        <v>3038</v>
      </c>
      <c r="E2302" t="s">
        <v>6</v>
      </c>
      <c r="F2302" t="s">
        <v>12</v>
      </c>
      <c r="G2302" t="s">
        <v>1604</v>
      </c>
      <c r="H2302">
        <v>7</v>
      </c>
      <c r="I2302">
        <f t="shared" si="37"/>
        <v>9</v>
      </c>
    </row>
    <row r="2303" spans="1:9">
      <c r="A2303" s="1">
        <v>42636.423611111109</v>
      </c>
      <c r="B2303" s="19">
        <v>42585</v>
      </c>
      <c r="C2303" s="21">
        <v>0.52847222222222223</v>
      </c>
      <c r="D2303" s="20" t="s">
        <v>3038</v>
      </c>
      <c r="E2303" t="s">
        <v>6</v>
      </c>
      <c r="F2303" t="s">
        <v>12</v>
      </c>
      <c r="G2303" t="s">
        <v>1382</v>
      </c>
      <c r="H2303">
        <v>5</v>
      </c>
      <c r="I2303">
        <f t="shared" si="37"/>
        <v>7</v>
      </c>
    </row>
    <row r="2304" spans="1:9">
      <c r="A2304" s="1">
        <v>42636.39166666667</v>
      </c>
      <c r="B2304" s="19">
        <v>42585</v>
      </c>
      <c r="C2304" s="21">
        <v>0.48402777777777778</v>
      </c>
      <c r="D2304" s="20" t="s">
        <v>3037</v>
      </c>
      <c r="E2304" t="s">
        <v>6</v>
      </c>
      <c r="F2304" t="s">
        <v>12</v>
      </c>
      <c r="G2304" t="s">
        <v>1605</v>
      </c>
      <c r="H2304">
        <v>13</v>
      </c>
      <c r="I2304">
        <f t="shared" si="37"/>
        <v>17</v>
      </c>
    </row>
    <row r="2305" spans="1:9">
      <c r="A2305" s="1">
        <v>42636.009722222225</v>
      </c>
      <c r="B2305" s="19">
        <v>42585</v>
      </c>
      <c r="C2305" s="21">
        <v>0.44583333333333336</v>
      </c>
      <c r="D2305" s="20" t="s">
        <v>3036</v>
      </c>
      <c r="E2305" t="s">
        <v>6</v>
      </c>
      <c r="F2305" t="s">
        <v>12</v>
      </c>
      <c r="G2305" t="s">
        <v>1382</v>
      </c>
      <c r="H2305">
        <v>4</v>
      </c>
      <c r="I2305">
        <f t="shared" si="37"/>
        <v>5</v>
      </c>
    </row>
    <row r="2306" spans="1:9">
      <c r="A2306" s="1">
        <v>42635.962500000001</v>
      </c>
      <c r="B2306" s="19">
        <v>42585</v>
      </c>
      <c r="C2306" s="21">
        <v>0.42708333333333331</v>
      </c>
      <c r="D2306" s="20" t="s">
        <v>3036</v>
      </c>
      <c r="E2306" t="s">
        <v>6</v>
      </c>
      <c r="F2306" t="s">
        <v>26</v>
      </c>
      <c r="G2306" t="s">
        <v>453</v>
      </c>
      <c r="H2306">
        <v>5</v>
      </c>
      <c r="I2306">
        <f t="shared" si="37"/>
        <v>7</v>
      </c>
    </row>
    <row r="2307" spans="1:9">
      <c r="A2307" s="1">
        <v>42635.904861111114</v>
      </c>
      <c r="B2307" s="19">
        <v>42585</v>
      </c>
      <c r="C2307" s="21">
        <v>0.3972222222222222</v>
      </c>
      <c r="D2307" s="20" t="s">
        <v>3035</v>
      </c>
      <c r="E2307" t="s">
        <v>6</v>
      </c>
      <c r="F2307" t="s">
        <v>12</v>
      </c>
      <c r="G2307" t="s">
        <v>1382</v>
      </c>
      <c r="H2307">
        <v>4</v>
      </c>
      <c r="I2307">
        <f t="shared" ref="I2307:I2370" si="38">ROUNDUP((H2307*1.24), 0)</f>
        <v>5</v>
      </c>
    </row>
    <row r="2308" spans="1:9">
      <c r="A2308" s="1">
        <v>42635.431250000001</v>
      </c>
      <c r="B2308" s="19">
        <v>42585</v>
      </c>
      <c r="C2308" s="21">
        <v>0.22222222222222221</v>
      </c>
      <c r="D2308" s="20" t="s">
        <v>3055</v>
      </c>
      <c r="E2308" t="s">
        <v>2</v>
      </c>
      <c r="F2308" t="s">
        <v>56</v>
      </c>
      <c r="G2308" t="s">
        <v>609</v>
      </c>
      <c r="H2308">
        <v>28</v>
      </c>
      <c r="I2308">
        <f t="shared" si="38"/>
        <v>35</v>
      </c>
    </row>
    <row r="2309" spans="1:9">
      <c r="A2309" s="1">
        <v>42635.422222222223</v>
      </c>
      <c r="B2309" s="19">
        <v>42586</v>
      </c>
      <c r="C2309" s="21">
        <v>0.83263888888888893</v>
      </c>
      <c r="D2309" s="20" t="s">
        <v>3046</v>
      </c>
      <c r="E2309" t="s">
        <v>0</v>
      </c>
      <c r="F2309" t="s">
        <v>10</v>
      </c>
      <c r="G2309" t="s">
        <v>64</v>
      </c>
      <c r="H2309">
        <v>13</v>
      </c>
      <c r="I2309">
        <f t="shared" si="38"/>
        <v>17</v>
      </c>
    </row>
    <row r="2310" spans="1:9">
      <c r="A2310" s="1">
        <v>42635.341666666667</v>
      </c>
      <c r="B2310" s="19">
        <v>42586</v>
      </c>
      <c r="C2310" s="21">
        <v>0.66597222222222219</v>
      </c>
      <c r="D2310" s="20" t="s">
        <v>3042</v>
      </c>
      <c r="E2310" t="s">
        <v>0</v>
      </c>
      <c r="F2310" t="s">
        <v>10</v>
      </c>
      <c r="G2310" t="s">
        <v>64</v>
      </c>
      <c r="H2310">
        <v>13</v>
      </c>
      <c r="I2310">
        <f t="shared" si="38"/>
        <v>17</v>
      </c>
    </row>
    <row r="2311" spans="1:9">
      <c r="A2311" s="1">
        <v>42635.300694444442</v>
      </c>
      <c r="B2311" s="19">
        <v>42586</v>
      </c>
      <c r="C2311" s="21">
        <v>0.59513888888888888</v>
      </c>
      <c r="D2311" s="20" t="s">
        <v>3040</v>
      </c>
      <c r="E2311" t="s">
        <v>18</v>
      </c>
      <c r="F2311" t="s">
        <v>100</v>
      </c>
      <c r="G2311" t="s">
        <v>1595</v>
      </c>
      <c r="H2311" t="e">
        <v>#VALUE!</v>
      </c>
      <c r="I2311" t="e">
        <f t="shared" si="38"/>
        <v>#VALUE!</v>
      </c>
    </row>
    <row r="2312" spans="1:9">
      <c r="A2312" s="1">
        <v>42635.007638888892</v>
      </c>
      <c r="B2312" s="19">
        <v>42586</v>
      </c>
      <c r="C2312" s="21">
        <v>0.58263888888888893</v>
      </c>
      <c r="D2312" s="20" t="s">
        <v>3039</v>
      </c>
      <c r="E2312" t="s">
        <v>18</v>
      </c>
      <c r="G2312" t="s">
        <v>1596</v>
      </c>
      <c r="H2312">
        <v>22</v>
      </c>
      <c r="I2312">
        <f t="shared" si="38"/>
        <v>28</v>
      </c>
    </row>
    <row r="2313" spans="1:9">
      <c r="A2313" s="1">
        <v>42634.943749999999</v>
      </c>
      <c r="B2313" s="19">
        <v>42586</v>
      </c>
      <c r="C2313" s="21">
        <v>0.49861111111111112</v>
      </c>
      <c r="D2313" s="20" t="s">
        <v>3037</v>
      </c>
      <c r="E2313" t="s">
        <v>0</v>
      </c>
      <c r="F2313" t="s">
        <v>10</v>
      </c>
      <c r="G2313" t="s">
        <v>59</v>
      </c>
      <c r="H2313">
        <v>13</v>
      </c>
      <c r="I2313">
        <f t="shared" si="38"/>
        <v>17</v>
      </c>
    </row>
    <row r="2314" spans="1:9">
      <c r="A2314" s="1">
        <v>42634.836111111108</v>
      </c>
      <c r="B2314" s="19">
        <v>42586</v>
      </c>
      <c r="C2314" s="21">
        <v>0.49375000000000002</v>
      </c>
      <c r="D2314" s="20" t="s">
        <v>3037</v>
      </c>
      <c r="E2314" t="s">
        <v>18</v>
      </c>
      <c r="G2314" t="s">
        <v>1597</v>
      </c>
      <c r="H2314">
        <v>9</v>
      </c>
      <c r="I2314">
        <f t="shared" si="38"/>
        <v>12</v>
      </c>
    </row>
    <row r="2315" spans="1:9">
      <c r="A2315" s="1">
        <v>42634.545138888891</v>
      </c>
      <c r="B2315" s="19">
        <v>42586</v>
      </c>
      <c r="C2315" s="21">
        <v>0.48194444444444445</v>
      </c>
      <c r="D2315" s="20" t="s">
        <v>3037</v>
      </c>
      <c r="E2315" t="s">
        <v>77</v>
      </c>
      <c r="F2315" t="s">
        <v>78</v>
      </c>
      <c r="G2315" t="s">
        <v>1598</v>
      </c>
      <c r="H2315">
        <v>3</v>
      </c>
      <c r="I2315">
        <f t="shared" si="38"/>
        <v>4</v>
      </c>
    </row>
    <row r="2316" spans="1:9">
      <c r="A2316" s="1">
        <v>42634.362500000003</v>
      </c>
      <c r="B2316" s="19">
        <v>42586</v>
      </c>
      <c r="C2316" s="21">
        <v>0.45555555555555555</v>
      </c>
      <c r="D2316" s="20" t="s">
        <v>3036</v>
      </c>
      <c r="E2316" t="s">
        <v>0</v>
      </c>
      <c r="G2316" t="s">
        <v>104</v>
      </c>
      <c r="H2316">
        <v>19</v>
      </c>
      <c r="I2316">
        <f t="shared" si="38"/>
        <v>24</v>
      </c>
    </row>
    <row r="2317" spans="1:9">
      <c r="A2317" s="1">
        <v>42634.333333333336</v>
      </c>
      <c r="B2317" s="19">
        <v>42586</v>
      </c>
      <c r="C2317" s="21">
        <v>0.4548611111111111</v>
      </c>
      <c r="D2317" s="20" t="s">
        <v>3036</v>
      </c>
      <c r="E2317" t="s">
        <v>33</v>
      </c>
      <c r="F2317" t="s">
        <v>44</v>
      </c>
      <c r="G2317" t="s">
        <v>1599</v>
      </c>
      <c r="H2317">
        <v>19</v>
      </c>
      <c r="I2317">
        <f t="shared" si="38"/>
        <v>24</v>
      </c>
    </row>
    <row r="2318" spans="1:9">
      <c r="A2318" s="1">
        <v>42633.959027777775</v>
      </c>
      <c r="B2318" s="19">
        <v>42586</v>
      </c>
      <c r="C2318" s="21">
        <v>0.91736111111111107</v>
      </c>
      <c r="D2318" s="20" t="s">
        <v>3049</v>
      </c>
      <c r="E2318" t="s">
        <v>6</v>
      </c>
      <c r="F2318" t="s">
        <v>7</v>
      </c>
      <c r="G2318" t="s">
        <v>1592</v>
      </c>
      <c r="H2318" t="e">
        <v>#VALUE!</v>
      </c>
      <c r="I2318" t="e">
        <f t="shared" si="38"/>
        <v>#VALUE!</v>
      </c>
    </row>
    <row r="2319" spans="1:9">
      <c r="A2319" s="1">
        <v>42633.834027777775</v>
      </c>
      <c r="B2319" s="19">
        <v>42586</v>
      </c>
      <c r="C2319" s="21">
        <v>0.87569444444444444</v>
      </c>
      <c r="D2319" s="20" t="s">
        <v>3048</v>
      </c>
      <c r="E2319" t="s">
        <v>2</v>
      </c>
      <c r="F2319" t="s">
        <v>5</v>
      </c>
      <c r="G2319" t="s">
        <v>1593</v>
      </c>
      <c r="H2319">
        <v>74</v>
      </c>
      <c r="I2319">
        <f t="shared" si="38"/>
        <v>92</v>
      </c>
    </row>
    <row r="2320" spans="1:9">
      <c r="A2320" s="1">
        <v>42633.752083333333</v>
      </c>
      <c r="B2320" s="19">
        <v>42586</v>
      </c>
      <c r="C2320" s="21">
        <v>0.86736111111111114</v>
      </c>
      <c r="D2320" s="20" t="s">
        <v>3047</v>
      </c>
      <c r="E2320" t="s">
        <v>6</v>
      </c>
      <c r="F2320" t="s">
        <v>7</v>
      </c>
      <c r="G2320" t="s">
        <v>1594</v>
      </c>
      <c r="H2320">
        <v>15</v>
      </c>
      <c r="I2320">
        <f t="shared" si="38"/>
        <v>19</v>
      </c>
    </row>
    <row r="2321" spans="1:9">
      <c r="A2321" s="1">
        <v>42633.67083333333</v>
      </c>
      <c r="B2321" s="19">
        <v>42586</v>
      </c>
      <c r="C2321" s="21">
        <v>0.78055555555555556</v>
      </c>
      <c r="D2321" s="20" t="s">
        <v>3045</v>
      </c>
      <c r="E2321" t="s">
        <v>6</v>
      </c>
      <c r="F2321" t="s">
        <v>12</v>
      </c>
      <c r="G2321" t="s">
        <v>45</v>
      </c>
      <c r="H2321">
        <v>4</v>
      </c>
      <c r="I2321">
        <f t="shared" si="38"/>
        <v>5</v>
      </c>
    </row>
    <row r="2322" spans="1:9">
      <c r="A2322" s="1">
        <v>42633.63958333333</v>
      </c>
      <c r="B2322" s="19">
        <v>42586</v>
      </c>
      <c r="C2322" s="21">
        <v>0.31180555555555556</v>
      </c>
      <c r="D2322" s="20" t="s">
        <v>3033</v>
      </c>
      <c r="E2322" t="s">
        <v>6</v>
      </c>
      <c r="F2322" t="s">
        <v>7</v>
      </c>
      <c r="G2322" t="s">
        <v>1600</v>
      </c>
      <c r="H2322" t="e">
        <v>#VALUE!</v>
      </c>
      <c r="I2322" t="e">
        <f t="shared" si="38"/>
        <v>#VALUE!</v>
      </c>
    </row>
    <row r="2323" spans="1:9">
      <c r="A2323" s="1">
        <v>42633.586805555555</v>
      </c>
      <c r="B2323" s="19">
        <v>42586</v>
      </c>
      <c r="C2323" s="21">
        <v>0.28680555555555554</v>
      </c>
      <c r="D2323" s="20" t="s">
        <v>3031</v>
      </c>
      <c r="E2323" t="s">
        <v>6</v>
      </c>
      <c r="F2323" t="s">
        <v>7</v>
      </c>
      <c r="G2323" t="s">
        <v>1601</v>
      </c>
      <c r="H2323">
        <v>34</v>
      </c>
      <c r="I2323">
        <f t="shared" si="38"/>
        <v>43</v>
      </c>
    </row>
    <row r="2324" spans="1:9">
      <c r="A2324" s="1">
        <v>42633.168749999997</v>
      </c>
      <c r="B2324" s="19">
        <v>42586</v>
      </c>
      <c r="C2324" s="21">
        <v>4.6527777777777779E-2</v>
      </c>
      <c r="D2324" s="20" t="s">
        <v>3051</v>
      </c>
      <c r="E2324" t="s">
        <v>6</v>
      </c>
      <c r="F2324" t="s">
        <v>21</v>
      </c>
      <c r="G2324" t="s">
        <v>103</v>
      </c>
      <c r="H2324">
        <v>13</v>
      </c>
      <c r="I2324">
        <f t="shared" si="38"/>
        <v>17</v>
      </c>
    </row>
    <row r="2325" spans="1:9">
      <c r="A2325" s="1">
        <v>42632.981944444444</v>
      </c>
      <c r="B2325" s="19">
        <v>42587</v>
      </c>
      <c r="C2325" s="21">
        <v>0.90902777777777777</v>
      </c>
      <c r="D2325" s="20" t="s">
        <v>3048</v>
      </c>
      <c r="E2325" t="s">
        <v>0</v>
      </c>
      <c r="F2325" t="s">
        <v>10</v>
      </c>
      <c r="G2325" t="s">
        <v>448</v>
      </c>
      <c r="H2325">
        <v>13</v>
      </c>
      <c r="I2325">
        <f t="shared" si="38"/>
        <v>17</v>
      </c>
    </row>
    <row r="2326" spans="1:9">
      <c r="A2326" s="1">
        <v>42632.977777777778</v>
      </c>
      <c r="B2326" s="19">
        <v>42587</v>
      </c>
      <c r="C2326" s="21">
        <v>0.83194444444444449</v>
      </c>
      <c r="D2326" s="20" t="s">
        <v>3046</v>
      </c>
      <c r="E2326" t="s">
        <v>0</v>
      </c>
      <c r="F2326" t="s">
        <v>10</v>
      </c>
      <c r="G2326" t="s">
        <v>64</v>
      </c>
      <c r="H2326">
        <v>13</v>
      </c>
      <c r="I2326">
        <f t="shared" si="38"/>
        <v>17</v>
      </c>
    </row>
    <row r="2327" spans="1:9">
      <c r="A2327" s="1">
        <v>42632.943749999999</v>
      </c>
      <c r="B2327" s="19">
        <v>42587</v>
      </c>
      <c r="C2327" s="21">
        <v>0.66527777777777775</v>
      </c>
      <c r="D2327" s="20" t="s">
        <v>3042</v>
      </c>
      <c r="E2327" t="s">
        <v>0</v>
      </c>
      <c r="F2327" t="s">
        <v>10</v>
      </c>
      <c r="G2327" t="s">
        <v>64</v>
      </c>
      <c r="H2327">
        <v>13</v>
      </c>
      <c r="I2327">
        <f t="shared" si="38"/>
        <v>17</v>
      </c>
    </row>
    <row r="2328" spans="1:9">
      <c r="A2328" s="1">
        <v>42632.918055555558</v>
      </c>
      <c r="B2328" s="19">
        <v>42587</v>
      </c>
      <c r="C2328" s="21">
        <v>0.58888888888888891</v>
      </c>
      <c r="D2328" s="20" t="s">
        <v>3040</v>
      </c>
      <c r="E2328" t="s">
        <v>18</v>
      </c>
      <c r="F2328" t="s">
        <v>100</v>
      </c>
      <c r="G2328" t="s">
        <v>1587</v>
      </c>
      <c r="H2328" t="e">
        <v>#VALUE!</v>
      </c>
      <c r="I2328" t="e">
        <f t="shared" si="38"/>
        <v>#VALUE!</v>
      </c>
    </row>
    <row r="2329" spans="1:9">
      <c r="A2329" s="1">
        <v>42632.886111111111</v>
      </c>
      <c r="B2329" s="19">
        <v>42587</v>
      </c>
      <c r="C2329" s="21">
        <v>0.55208333333333337</v>
      </c>
      <c r="D2329" s="20" t="s">
        <v>3039</v>
      </c>
      <c r="E2329" t="s">
        <v>18</v>
      </c>
      <c r="F2329" t="s">
        <v>71</v>
      </c>
      <c r="G2329" t="s">
        <v>1588</v>
      </c>
      <c r="H2329" t="e">
        <v>#VALUE!</v>
      </c>
      <c r="I2329" t="e">
        <f t="shared" si="38"/>
        <v>#VALUE!</v>
      </c>
    </row>
    <row r="2330" spans="1:9">
      <c r="A2330" s="1">
        <v>42632.836805555555</v>
      </c>
      <c r="B2330" s="19">
        <v>42587</v>
      </c>
      <c r="C2330" s="21">
        <v>0.50972222222222219</v>
      </c>
      <c r="D2330" s="20" t="s">
        <v>3038</v>
      </c>
      <c r="E2330" t="s">
        <v>0</v>
      </c>
      <c r="F2330" t="s">
        <v>10</v>
      </c>
      <c r="G2330" t="s">
        <v>59</v>
      </c>
      <c r="H2330">
        <v>13</v>
      </c>
      <c r="I2330">
        <f t="shared" si="38"/>
        <v>17</v>
      </c>
    </row>
    <row r="2331" spans="1:9">
      <c r="A2331" s="1">
        <v>42632.811805555553</v>
      </c>
      <c r="B2331" s="19">
        <v>42587</v>
      </c>
      <c r="C2331" s="21">
        <v>0.42430555555555555</v>
      </c>
      <c r="D2331" s="20" t="s">
        <v>3036</v>
      </c>
      <c r="E2331" t="s">
        <v>0</v>
      </c>
      <c r="G2331" t="s">
        <v>1590</v>
      </c>
      <c r="H2331">
        <v>13</v>
      </c>
      <c r="I2331">
        <f t="shared" si="38"/>
        <v>17</v>
      </c>
    </row>
    <row r="2332" spans="1:9">
      <c r="A2332" s="1">
        <v>42632.647222222222</v>
      </c>
      <c r="B2332" s="19">
        <v>42587</v>
      </c>
      <c r="C2332" s="21">
        <v>0.88055555555555554</v>
      </c>
      <c r="D2332" s="20" t="s">
        <v>3048</v>
      </c>
      <c r="E2332" t="s">
        <v>6</v>
      </c>
      <c r="F2332" t="s">
        <v>15</v>
      </c>
      <c r="G2332" t="s">
        <v>1585</v>
      </c>
      <c r="H2332">
        <v>10</v>
      </c>
      <c r="I2332">
        <f t="shared" si="38"/>
        <v>13</v>
      </c>
    </row>
    <row r="2333" spans="1:9">
      <c r="A2333" s="1">
        <v>42632.631249999999</v>
      </c>
      <c r="B2333" s="19">
        <v>42587</v>
      </c>
      <c r="C2333" s="21">
        <v>0.87222222222222223</v>
      </c>
      <c r="D2333" s="20" t="s">
        <v>3047</v>
      </c>
      <c r="E2333" t="s">
        <v>2</v>
      </c>
      <c r="F2333" t="s">
        <v>5</v>
      </c>
      <c r="H2333">
        <v>4</v>
      </c>
      <c r="I2333">
        <f t="shared" si="38"/>
        <v>5</v>
      </c>
    </row>
    <row r="2334" spans="1:9">
      <c r="A2334" s="1">
        <v>42632.554861111108</v>
      </c>
      <c r="B2334" s="19">
        <v>42587</v>
      </c>
      <c r="C2334" s="21">
        <v>0.86319444444444449</v>
      </c>
      <c r="D2334" s="20" t="s">
        <v>3047</v>
      </c>
      <c r="E2334" t="s">
        <v>6</v>
      </c>
      <c r="F2334" t="s">
        <v>46</v>
      </c>
      <c r="G2334" t="s">
        <v>962</v>
      </c>
      <c r="H2334">
        <v>17</v>
      </c>
      <c r="I2334">
        <f t="shared" si="38"/>
        <v>22</v>
      </c>
    </row>
    <row r="2335" spans="1:9">
      <c r="A2335" s="1">
        <v>42632.493055555555</v>
      </c>
      <c r="B2335" s="19">
        <v>42587</v>
      </c>
      <c r="C2335" s="21">
        <v>0.65833333333333333</v>
      </c>
      <c r="D2335" s="20" t="s">
        <v>3042</v>
      </c>
      <c r="E2335" t="s">
        <v>2</v>
      </c>
      <c r="F2335" t="s">
        <v>48</v>
      </c>
      <c r="G2335" t="s">
        <v>969</v>
      </c>
      <c r="H2335">
        <v>13</v>
      </c>
      <c r="I2335">
        <f t="shared" si="38"/>
        <v>17</v>
      </c>
    </row>
    <row r="2336" spans="1:9">
      <c r="A2336" s="1">
        <v>42632.436111111114</v>
      </c>
      <c r="B2336" s="19">
        <v>42587</v>
      </c>
      <c r="C2336" s="21">
        <v>0.625</v>
      </c>
      <c r="D2336" s="20" t="s">
        <v>3042</v>
      </c>
      <c r="E2336" t="s">
        <v>6</v>
      </c>
      <c r="F2336" t="s">
        <v>12</v>
      </c>
      <c r="G2336" t="s">
        <v>1586</v>
      </c>
      <c r="H2336">
        <v>5</v>
      </c>
      <c r="I2336">
        <f t="shared" si="38"/>
        <v>7</v>
      </c>
    </row>
    <row r="2337" spans="1:9">
      <c r="A2337" s="1">
        <v>42632.297222222223</v>
      </c>
      <c r="B2337" s="19">
        <v>42587</v>
      </c>
      <c r="C2337" s="21">
        <v>0.60833333333333328</v>
      </c>
      <c r="D2337" s="20" t="s">
        <v>3040</v>
      </c>
      <c r="E2337" t="s">
        <v>2</v>
      </c>
      <c r="F2337" t="s">
        <v>48</v>
      </c>
      <c r="G2337" t="s">
        <v>969</v>
      </c>
      <c r="H2337">
        <v>23</v>
      </c>
      <c r="I2337">
        <f t="shared" si="38"/>
        <v>29</v>
      </c>
    </row>
    <row r="2338" spans="1:9">
      <c r="A2338" s="1">
        <v>42632.283333333333</v>
      </c>
      <c r="B2338" s="19">
        <v>42587</v>
      </c>
      <c r="C2338" s="21">
        <v>0.52986111111111112</v>
      </c>
      <c r="D2338" s="20" t="s">
        <v>3038</v>
      </c>
      <c r="E2338" t="s">
        <v>6</v>
      </c>
      <c r="F2338" t="s">
        <v>167</v>
      </c>
      <c r="G2338" t="s">
        <v>1589</v>
      </c>
      <c r="H2338">
        <v>5</v>
      </c>
      <c r="I2338">
        <f t="shared" si="38"/>
        <v>7</v>
      </c>
    </row>
    <row r="2339" spans="1:9">
      <c r="A2339" s="1">
        <v>42632.272222222222</v>
      </c>
      <c r="B2339" s="19">
        <v>42587</v>
      </c>
      <c r="C2339" s="21">
        <v>0.42083333333333334</v>
      </c>
      <c r="D2339" s="20" t="s">
        <v>3036</v>
      </c>
      <c r="E2339" t="s">
        <v>6</v>
      </c>
      <c r="F2339" t="s">
        <v>7</v>
      </c>
      <c r="G2339" t="s">
        <v>1591</v>
      </c>
      <c r="H2339" t="e">
        <v>#VALUE!</v>
      </c>
      <c r="I2339" t="e">
        <f t="shared" si="38"/>
        <v>#VALUE!</v>
      </c>
    </row>
    <row r="2340" spans="1:9">
      <c r="A2340" s="1">
        <v>42632.260416666664</v>
      </c>
      <c r="B2340" s="19">
        <v>42588</v>
      </c>
      <c r="C2340" s="21">
        <v>0.1763888888888889</v>
      </c>
      <c r="D2340" s="20" t="s">
        <v>3054</v>
      </c>
      <c r="E2340" t="s">
        <v>77</v>
      </c>
      <c r="F2340" t="s">
        <v>78</v>
      </c>
      <c r="G2340" t="s">
        <v>1583</v>
      </c>
      <c r="H2340">
        <v>8</v>
      </c>
      <c r="I2340">
        <f t="shared" si="38"/>
        <v>10</v>
      </c>
    </row>
    <row r="2341" spans="1:9">
      <c r="A2341" s="1">
        <v>42632.261111111111</v>
      </c>
      <c r="B2341" s="19">
        <v>42588</v>
      </c>
      <c r="C2341" s="21">
        <v>6.9444444444444441E-3</v>
      </c>
      <c r="D2341" s="20" t="s">
        <v>3050</v>
      </c>
      <c r="E2341" t="s">
        <v>0</v>
      </c>
      <c r="F2341" t="s">
        <v>10</v>
      </c>
      <c r="G2341" t="s">
        <v>64</v>
      </c>
      <c r="H2341">
        <v>13</v>
      </c>
      <c r="I2341">
        <f t="shared" si="38"/>
        <v>17</v>
      </c>
    </row>
    <row r="2342" spans="1:9">
      <c r="A2342" s="1">
        <v>42629.925694444442</v>
      </c>
      <c r="B2342" s="19">
        <v>42588</v>
      </c>
      <c r="C2342" s="21">
        <v>0.1875</v>
      </c>
      <c r="D2342" s="20" t="s">
        <v>3054</v>
      </c>
      <c r="E2342" t="s">
        <v>2</v>
      </c>
      <c r="F2342" t="s">
        <v>5</v>
      </c>
      <c r="G2342" t="s">
        <v>1581</v>
      </c>
      <c r="H2342" t="e">
        <v>#VALUE!</v>
      </c>
      <c r="I2342" t="e">
        <f t="shared" si="38"/>
        <v>#VALUE!</v>
      </c>
    </row>
    <row r="2343" spans="1:9">
      <c r="A2343" s="1">
        <v>42629.905555555553</v>
      </c>
      <c r="B2343" s="19">
        <v>42588</v>
      </c>
      <c r="C2343" s="21">
        <v>0.18402777777777779</v>
      </c>
      <c r="D2343" s="20" t="s">
        <v>3054</v>
      </c>
      <c r="E2343" t="s">
        <v>6</v>
      </c>
      <c r="F2343" t="s">
        <v>7</v>
      </c>
      <c r="G2343" t="s">
        <v>1582</v>
      </c>
      <c r="H2343">
        <v>7</v>
      </c>
      <c r="I2343">
        <f t="shared" si="38"/>
        <v>9</v>
      </c>
    </row>
    <row r="2344" spans="1:9">
      <c r="A2344" s="1">
        <v>42629.877083333333</v>
      </c>
      <c r="B2344" s="19">
        <v>42588</v>
      </c>
      <c r="C2344" s="21">
        <v>0.10625</v>
      </c>
      <c r="D2344" s="20" t="s">
        <v>3052</v>
      </c>
      <c r="E2344" t="s">
        <v>6</v>
      </c>
      <c r="F2344" t="s">
        <v>21</v>
      </c>
      <c r="G2344" t="s">
        <v>455</v>
      </c>
      <c r="H2344">
        <v>7</v>
      </c>
      <c r="I2344">
        <f t="shared" si="38"/>
        <v>9</v>
      </c>
    </row>
    <row r="2345" spans="1:9">
      <c r="A2345" s="1">
        <v>42629.853472222225</v>
      </c>
      <c r="B2345" s="19">
        <v>42588</v>
      </c>
      <c r="C2345" s="21">
        <v>8.6805555555555552E-2</v>
      </c>
      <c r="D2345" s="20" t="s">
        <v>3052</v>
      </c>
      <c r="E2345" t="s">
        <v>6</v>
      </c>
      <c r="F2345" t="s">
        <v>21</v>
      </c>
      <c r="G2345" t="s">
        <v>455</v>
      </c>
      <c r="H2345">
        <v>7</v>
      </c>
      <c r="I2345">
        <f t="shared" si="38"/>
        <v>9</v>
      </c>
    </row>
    <row r="2346" spans="1:9">
      <c r="A2346" s="1">
        <v>42629.85</v>
      </c>
      <c r="B2346" s="19">
        <v>42588</v>
      </c>
      <c r="C2346" s="21">
        <v>5.7638888888888892E-2</v>
      </c>
      <c r="D2346" s="20" t="s">
        <v>3051</v>
      </c>
      <c r="E2346" t="s">
        <v>6</v>
      </c>
      <c r="F2346" t="s">
        <v>12</v>
      </c>
      <c r="G2346" t="s">
        <v>1584</v>
      </c>
      <c r="H2346">
        <v>5</v>
      </c>
      <c r="I2346">
        <f t="shared" si="38"/>
        <v>7</v>
      </c>
    </row>
    <row r="2347" spans="1:9">
      <c r="A2347" s="1">
        <v>42629.837500000001</v>
      </c>
      <c r="B2347" s="19">
        <v>42590</v>
      </c>
      <c r="C2347" s="21">
        <v>0.69652777777777775</v>
      </c>
      <c r="D2347" s="20" t="s">
        <v>3043</v>
      </c>
      <c r="E2347" t="s">
        <v>149</v>
      </c>
      <c r="F2347" t="s">
        <v>150</v>
      </c>
      <c r="G2347" t="s">
        <v>1574</v>
      </c>
      <c r="H2347">
        <v>9</v>
      </c>
      <c r="I2347">
        <f t="shared" si="38"/>
        <v>12</v>
      </c>
    </row>
    <row r="2348" spans="1:9">
      <c r="A2348" s="1">
        <v>42629.73541666667</v>
      </c>
      <c r="B2348" s="19">
        <v>42590</v>
      </c>
      <c r="C2348" s="21">
        <v>0.57638888888888884</v>
      </c>
      <c r="D2348" s="20" t="s">
        <v>3039</v>
      </c>
      <c r="E2348" t="s">
        <v>0</v>
      </c>
      <c r="F2348" t="s">
        <v>10</v>
      </c>
      <c r="G2348" t="s">
        <v>145</v>
      </c>
      <c r="H2348">
        <v>13</v>
      </c>
      <c r="I2348">
        <f t="shared" si="38"/>
        <v>17</v>
      </c>
    </row>
    <row r="2349" spans="1:9">
      <c r="A2349" s="1">
        <v>42629.728472222225</v>
      </c>
      <c r="B2349" s="19">
        <v>42590</v>
      </c>
      <c r="C2349" s="21">
        <v>0.25555555555555554</v>
      </c>
      <c r="D2349" s="20" t="s">
        <v>3031</v>
      </c>
      <c r="E2349" t="s">
        <v>0</v>
      </c>
      <c r="G2349" t="s">
        <v>1579</v>
      </c>
      <c r="H2349">
        <v>5</v>
      </c>
      <c r="I2349">
        <f t="shared" si="38"/>
        <v>7</v>
      </c>
    </row>
    <row r="2350" spans="1:9">
      <c r="A2350" s="1">
        <v>42629.468055555553</v>
      </c>
      <c r="B2350" s="19">
        <v>42590</v>
      </c>
      <c r="C2350" s="21">
        <v>0.25</v>
      </c>
      <c r="D2350" s="20" t="s">
        <v>3031</v>
      </c>
      <c r="E2350" t="s">
        <v>18</v>
      </c>
      <c r="F2350" t="s">
        <v>100</v>
      </c>
      <c r="G2350" t="s">
        <v>1580</v>
      </c>
      <c r="H2350" t="e">
        <v>#VALUE!</v>
      </c>
      <c r="I2350" t="e">
        <f t="shared" si="38"/>
        <v>#VALUE!</v>
      </c>
    </row>
    <row r="2351" spans="1:9">
      <c r="A2351" s="1">
        <v>42629.350694444445</v>
      </c>
      <c r="B2351" s="19">
        <v>42590</v>
      </c>
      <c r="C2351" s="21">
        <v>0.97083333333333333</v>
      </c>
      <c r="D2351" s="20" t="s">
        <v>3063</v>
      </c>
      <c r="E2351" t="s">
        <v>6</v>
      </c>
      <c r="F2351" t="s">
        <v>754</v>
      </c>
      <c r="G2351" t="s">
        <v>1571</v>
      </c>
      <c r="H2351" t="e">
        <v>#VALUE!</v>
      </c>
      <c r="I2351" t="e">
        <f t="shared" si="38"/>
        <v>#VALUE!</v>
      </c>
    </row>
    <row r="2352" spans="1:9">
      <c r="A2352" s="1">
        <v>42629.25</v>
      </c>
      <c r="B2352" s="19">
        <v>42590</v>
      </c>
      <c r="C2352" s="21">
        <v>0.8041666666666667</v>
      </c>
      <c r="D2352" s="20" t="s">
        <v>3046</v>
      </c>
      <c r="E2352" t="s">
        <v>6</v>
      </c>
      <c r="F2352" t="s">
        <v>26</v>
      </c>
      <c r="G2352" t="s">
        <v>1572</v>
      </c>
      <c r="H2352">
        <v>8</v>
      </c>
      <c r="I2352">
        <f t="shared" si="38"/>
        <v>10</v>
      </c>
    </row>
    <row r="2353" spans="1:9">
      <c r="A2353" s="1">
        <v>42629.686805555553</v>
      </c>
      <c r="B2353" s="19">
        <v>42590</v>
      </c>
      <c r="C2353" s="21">
        <v>0.78472222222222221</v>
      </c>
      <c r="D2353" s="20" t="s">
        <v>3045</v>
      </c>
      <c r="E2353" t="s">
        <v>6</v>
      </c>
      <c r="F2353" t="s">
        <v>7</v>
      </c>
      <c r="G2353" t="s">
        <v>1573</v>
      </c>
      <c r="H2353">
        <v>25</v>
      </c>
      <c r="I2353">
        <f t="shared" si="38"/>
        <v>31</v>
      </c>
    </row>
    <row r="2354" spans="1:9">
      <c r="A2354" s="1">
        <v>42629.681250000001</v>
      </c>
      <c r="B2354" s="19">
        <v>42590</v>
      </c>
      <c r="C2354" s="21">
        <v>0.77916666666666667</v>
      </c>
      <c r="D2354" s="20" t="s">
        <v>3045</v>
      </c>
      <c r="E2354" t="s">
        <v>6</v>
      </c>
      <c r="F2354" t="s">
        <v>21</v>
      </c>
      <c r="G2354" t="s">
        <v>1572</v>
      </c>
      <c r="H2354">
        <v>0</v>
      </c>
      <c r="I2354">
        <f t="shared" si="38"/>
        <v>0</v>
      </c>
    </row>
    <row r="2355" spans="1:9">
      <c r="A2355" s="1">
        <v>42629.26666666667</v>
      </c>
      <c r="B2355" s="19">
        <v>42590</v>
      </c>
      <c r="C2355" s="21">
        <v>0.67986111111111114</v>
      </c>
      <c r="D2355" s="20" t="s">
        <v>3043</v>
      </c>
      <c r="E2355" t="s">
        <v>6</v>
      </c>
      <c r="F2355" t="s">
        <v>21</v>
      </c>
      <c r="G2355" t="s">
        <v>1572</v>
      </c>
      <c r="H2355">
        <v>10</v>
      </c>
      <c r="I2355">
        <f t="shared" si="38"/>
        <v>13</v>
      </c>
    </row>
    <row r="2356" spans="1:9">
      <c r="A2356" s="1">
        <v>42629.226388888892</v>
      </c>
      <c r="B2356" s="19">
        <v>42590</v>
      </c>
      <c r="C2356" s="21">
        <v>0.6381944444444444</v>
      </c>
      <c r="D2356" s="20" t="s">
        <v>3042</v>
      </c>
      <c r="E2356" t="s">
        <v>6</v>
      </c>
      <c r="F2356" t="s">
        <v>21</v>
      </c>
      <c r="G2356" t="s">
        <v>1572</v>
      </c>
      <c r="H2356">
        <v>9</v>
      </c>
      <c r="I2356">
        <f t="shared" si="38"/>
        <v>12</v>
      </c>
    </row>
    <row r="2357" spans="1:9">
      <c r="A2357" s="1">
        <v>42628.980555555558</v>
      </c>
      <c r="B2357" s="19">
        <v>42590</v>
      </c>
      <c r="C2357" s="21">
        <v>0.62916666666666665</v>
      </c>
      <c r="D2357" s="20" t="s">
        <v>3042</v>
      </c>
      <c r="E2357" t="s">
        <v>2</v>
      </c>
      <c r="F2357" t="s">
        <v>5</v>
      </c>
      <c r="H2357">
        <v>13</v>
      </c>
      <c r="I2357">
        <f t="shared" si="38"/>
        <v>17</v>
      </c>
    </row>
    <row r="2358" spans="1:9" ht="57.6">
      <c r="A2358" s="1">
        <v>42628.954861111109</v>
      </c>
      <c r="B2358" s="19">
        <v>42590</v>
      </c>
      <c r="C2358" s="21">
        <v>0.62847222222222221</v>
      </c>
      <c r="D2358" s="20" t="s">
        <v>3042</v>
      </c>
      <c r="E2358" t="s">
        <v>6</v>
      </c>
      <c r="F2358" t="s">
        <v>89</v>
      </c>
      <c r="G2358" s="2" t="s">
        <v>1575</v>
      </c>
      <c r="H2358" t="e">
        <v>#VALUE!</v>
      </c>
      <c r="I2358" t="e">
        <f t="shared" si="38"/>
        <v>#VALUE!</v>
      </c>
    </row>
    <row r="2359" spans="1:9">
      <c r="A2359" s="1">
        <v>42628.918749999997</v>
      </c>
      <c r="B2359" s="19">
        <v>42590</v>
      </c>
      <c r="C2359" s="21">
        <v>0.5083333333333333</v>
      </c>
      <c r="D2359" s="20" t="s">
        <v>3038</v>
      </c>
      <c r="E2359" t="s">
        <v>2</v>
      </c>
      <c r="F2359" t="s">
        <v>56</v>
      </c>
      <c r="G2359" t="s">
        <v>57</v>
      </c>
      <c r="H2359">
        <v>23</v>
      </c>
      <c r="I2359">
        <f t="shared" si="38"/>
        <v>29</v>
      </c>
    </row>
    <row r="2360" spans="1:9">
      <c r="A2360" s="1">
        <v>42628.896527777775</v>
      </c>
      <c r="B2360" s="19">
        <v>42590</v>
      </c>
      <c r="C2360" s="21">
        <v>0.50069444444444444</v>
      </c>
      <c r="D2360" s="20" t="s">
        <v>3038</v>
      </c>
      <c r="E2360" t="s">
        <v>6</v>
      </c>
      <c r="F2360" t="s">
        <v>21</v>
      </c>
      <c r="G2360" t="s">
        <v>1576</v>
      </c>
      <c r="H2360">
        <v>14</v>
      </c>
      <c r="I2360">
        <f t="shared" si="38"/>
        <v>18</v>
      </c>
    </row>
    <row r="2361" spans="1:9">
      <c r="A2361" s="1">
        <v>42628.896527777775</v>
      </c>
      <c r="B2361" s="19">
        <v>42590</v>
      </c>
      <c r="C2361" s="21">
        <v>0.36180555555555555</v>
      </c>
      <c r="D2361" s="20" t="s">
        <v>3034</v>
      </c>
      <c r="E2361" t="s">
        <v>6</v>
      </c>
      <c r="F2361" t="s">
        <v>89</v>
      </c>
      <c r="G2361" t="s">
        <v>1577</v>
      </c>
      <c r="H2361">
        <v>3</v>
      </c>
      <c r="I2361">
        <f t="shared" si="38"/>
        <v>4</v>
      </c>
    </row>
    <row r="2362" spans="1:9">
      <c r="A2362" s="1">
        <v>42628.64166666667</v>
      </c>
      <c r="B2362" s="19">
        <v>42590</v>
      </c>
      <c r="C2362" s="21">
        <v>0.26180555555555557</v>
      </c>
      <c r="D2362" s="20" t="s">
        <v>3031</v>
      </c>
      <c r="E2362" t="s">
        <v>6</v>
      </c>
      <c r="F2362" t="s">
        <v>7</v>
      </c>
      <c r="G2362" t="s">
        <v>1578</v>
      </c>
      <c r="H2362">
        <v>12</v>
      </c>
      <c r="I2362">
        <f t="shared" si="38"/>
        <v>15</v>
      </c>
    </row>
    <row r="2363" spans="1:9">
      <c r="A2363" s="1">
        <v>42628.64166666667</v>
      </c>
      <c r="B2363" s="19">
        <v>42591</v>
      </c>
      <c r="C2363" s="21">
        <v>0.95347222222222228</v>
      </c>
      <c r="D2363" s="20" t="s">
        <v>3049</v>
      </c>
      <c r="E2363" t="s">
        <v>33</v>
      </c>
      <c r="F2363" t="s">
        <v>44</v>
      </c>
      <c r="G2363" t="s">
        <v>1564</v>
      </c>
      <c r="H2363" t="e">
        <v>#VALUE!</v>
      </c>
      <c r="I2363" t="e">
        <f t="shared" si="38"/>
        <v>#VALUE!</v>
      </c>
    </row>
    <row r="2364" spans="1:9">
      <c r="A2364" s="1">
        <v>42628.449305555558</v>
      </c>
      <c r="B2364" s="19">
        <v>42591</v>
      </c>
      <c r="C2364" s="21">
        <v>0.6694444444444444</v>
      </c>
      <c r="D2364" s="20" t="s">
        <v>3043</v>
      </c>
      <c r="E2364" t="s">
        <v>0</v>
      </c>
      <c r="F2364" t="s">
        <v>10</v>
      </c>
      <c r="G2364" t="s">
        <v>64</v>
      </c>
      <c r="H2364">
        <v>13</v>
      </c>
      <c r="I2364">
        <f t="shared" si="38"/>
        <v>17</v>
      </c>
    </row>
    <row r="2365" spans="1:9">
      <c r="A2365" s="1">
        <v>42628.394444444442</v>
      </c>
      <c r="B2365" s="19">
        <v>42591</v>
      </c>
      <c r="C2365" s="21">
        <v>0.59583333333333333</v>
      </c>
      <c r="D2365" s="20" t="s">
        <v>3040</v>
      </c>
      <c r="E2365" t="s">
        <v>0</v>
      </c>
      <c r="F2365" t="s">
        <v>10</v>
      </c>
      <c r="G2365" t="s">
        <v>255</v>
      </c>
      <c r="H2365">
        <v>13</v>
      </c>
      <c r="I2365">
        <f t="shared" si="38"/>
        <v>17</v>
      </c>
    </row>
    <row r="2366" spans="1:9">
      <c r="A2366" s="1">
        <v>42628.385416666664</v>
      </c>
      <c r="B2366" s="19">
        <v>42591</v>
      </c>
      <c r="C2366" s="21">
        <v>0.59583333333333333</v>
      </c>
      <c r="D2366" s="20" t="s">
        <v>3040</v>
      </c>
      <c r="E2366" t="s">
        <v>18</v>
      </c>
      <c r="F2366" t="s">
        <v>71</v>
      </c>
      <c r="G2366" t="s">
        <v>1565</v>
      </c>
      <c r="H2366">
        <v>15</v>
      </c>
      <c r="I2366">
        <f t="shared" si="38"/>
        <v>19</v>
      </c>
    </row>
    <row r="2367" spans="1:9">
      <c r="A2367" s="1">
        <v>42628.370833333334</v>
      </c>
      <c r="B2367" s="19">
        <v>42591</v>
      </c>
      <c r="C2367" s="21">
        <v>0.57638888888888884</v>
      </c>
      <c r="D2367" s="20" t="s">
        <v>3039</v>
      </c>
      <c r="E2367" t="s">
        <v>0</v>
      </c>
      <c r="F2367" t="s">
        <v>10</v>
      </c>
      <c r="G2367" t="s">
        <v>145</v>
      </c>
      <c r="H2367">
        <v>13</v>
      </c>
      <c r="I2367">
        <f t="shared" si="38"/>
        <v>17</v>
      </c>
    </row>
    <row r="2368" spans="1:9">
      <c r="A2368" s="1">
        <v>42628.361805555556</v>
      </c>
      <c r="B2368" s="19">
        <v>42591</v>
      </c>
      <c r="C2368" s="21">
        <v>0.35138888888888886</v>
      </c>
      <c r="D2368" s="20" t="s">
        <v>3034</v>
      </c>
      <c r="E2368" t="s">
        <v>77</v>
      </c>
      <c r="G2368" t="s">
        <v>447</v>
      </c>
      <c r="H2368">
        <v>5</v>
      </c>
      <c r="I2368">
        <f t="shared" si="38"/>
        <v>7</v>
      </c>
    </row>
    <row r="2369" spans="1:9">
      <c r="A2369" s="1">
        <v>42628.323611111111</v>
      </c>
      <c r="B2369" s="19">
        <v>42591</v>
      </c>
      <c r="C2369" s="21">
        <v>0.25555555555555554</v>
      </c>
      <c r="D2369" s="20" t="s">
        <v>3031</v>
      </c>
      <c r="E2369" t="s">
        <v>0</v>
      </c>
      <c r="F2369" t="s">
        <v>10</v>
      </c>
      <c r="G2369" t="s">
        <v>11</v>
      </c>
      <c r="H2369">
        <v>13</v>
      </c>
      <c r="I2369">
        <f t="shared" si="38"/>
        <v>17</v>
      </c>
    </row>
    <row r="2370" spans="1:9">
      <c r="A2370" s="1">
        <v>42628.281944444447</v>
      </c>
      <c r="B2370" s="19">
        <v>42591</v>
      </c>
      <c r="C2370" s="21">
        <v>0.24791666666666667</v>
      </c>
      <c r="D2370" s="20" t="s">
        <v>3055</v>
      </c>
      <c r="E2370" t="s">
        <v>18</v>
      </c>
      <c r="F2370" t="s">
        <v>100</v>
      </c>
      <c r="G2370" t="s">
        <v>1569</v>
      </c>
      <c r="H2370" t="e">
        <v>#VALUE!</v>
      </c>
      <c r="I2370" t="e">
        <f t="shared" si="38"/>
        <v>#VALUE!</v>
      </c>
    </row>
    <row r="2371" spans="1:9">
      <c r="A2371" s="1">
        <v>42628.253472222219</v>
      </c>
      <c r="B2371" s="19">
        <v>42591</v>
      </c>
      <c r="C2371" s="21">
        <v>0.92013888888888884</v>
      </c>
      <c r="D2371" s="20" t="s">
        <v>3049</v>
      </c>
      <c r="E2371" t="s">
        <v>6</v>
      </c>
      <c r="F2371" t="s">
        <v>61</v>
      </c>
      <c r="G2371" t="s">
        <v>1551</v>
      </c>
      <c r="H2371">
        <v>3</v>
      </c>
      <c r="I2371">
        <f t="shared" ref="I2371:I2434" si="39">ROUNDUP((H2371*1.24), 0)</f>
        <v>4</v>
      </c>
    </row>
    <row r="2372" spans="1:9">
      <c r="A2372" s="1">
        <v>42628.020138888889</v>
      </c>
      <c r="B2372" s="19">
        <v>42591</v>
      </c>
      <c r="C2372" s="21">
        <v>0.61388888888888893</v>
      </c>
      <c r="D2372" s="20" t="s">
        <v>3040</v>
      </c>
      <c r="E2372" t="s">
        <v>6</v>
      </c>
      <c r="F2372" t="s">
        <v>12</v>
      </c>
      <c r="G2372" t="s">
        <v>45</v>
      </c>
      <c r="H2372">
        <v>4</v>
      </c>
      <c r="I2372">
        <f t="shared" si="39"/>
        <v>5</v>
      </c>
    </row>
    <row r="2373" spans="1:9" ht="43.2">
      <c r="A2373" s="1">
        <v>42628.003472222219</v>
      </c>
      <c r="B2373" s="19">
        <v>42591</v>
      </c>
      <c r="C2373" s="21">
        <v>0.58819444444444446</v>
      </c>
      <c r="D2373" s="20" t="s">
        <v>3040</v>
      </c>
      <c r="E2373" t="s">
        <v>6</v>
      </c>
      <c r="F2373" t="s">
        <v>15</v>
      </c>
      <c r="G2373" s="2" t="s">
        <v>1566</v>
      </c>
      <c r="H2373">
        <v>38</v>
      </c>
      <c r="I2373">
        <f t="shared" si="39"/>
        <v>48</v>
      </c>
    </row>
    <row r="2374" spans="1:9">
      <c r="A2374" s="1">
        <v>42628.956944444442</v>
      </c>
      <c r="B2374" s="19">
        <v>42591</v>
      </c>
      <c r="C2374" s="21">
        <v>0.5541666666666667</v>
      </c>
      <c r="D2374" s="20" t="s">
        <v>3039</v>
      </c>
      <c r="E2374" t="s">
        <v>2</v>
      </c>
      <c r="F2374" t="s">
        <v>48</v>
      </c>
      <c r="H2374">
        <v>25</v>
      </c>
      <c r="I2374">
        <f t="shared" si="39"/>
        <v>31</v>
      </c>
    </row>
    <row r="2375" spans="1:9">
      <c r="A2375" s="1">
        <v>42628.379861111112</v>
      </c>
      <c r="B2375" s="19">
        <v>42591</v>
      </c>
      <c r="C2375" s="21">
        <v>0.53194444444444444</v>
      </c>
      <c r="D2375" s="20" t="s">
        <v>3038</v>
      </c>
      <c r="E2375" t="s">
        <v>6</v>
      </c>
      <c r="F2375" t="s">
        <v>15</v>
      </c>
      <c r="G2375" t="s">
        <v>1567</v>
      </c>
      <c r="H2375" t="e">
        <v>#VALUE!</v>
      </c>
      <c r="I2375" t="e">
        <f t="shared" si="39"/>
        <v>#VALUE!</v>
      </c>
    </row>
    <row r="2376" spans="1:9">
      <c r="A2376" s="1">
        <v>42628.308333333334</v>
      </c>
      <c r="B2376" s="19">
        <v>42591</v>
      </c>
      <c r="C2376" s="21">
        <v>0.49861111111111112</v>
      </c>
      <c r="D2376" s="20" t="s">
        <v>3037</v>
      </c>
      <c r="E2376" t="s">
        <v>6</v>
      </c>
      <c r="F2376" t="s">
        <v>12</v>
      </c>
      <c r="G2376" t="s">
        <v>45</v>
      </c>
      <c r="H2376">
        <v>3</v>
      </c>
      <c r="I2376">
        <f t="shared" si="39"/>
        <v>4</v>
      </c>
    </row>
    <row r="2377" spans="1:9">
      <c r="A2377" s="1">
        <v>42627.988194444442</v>
      </c>
      <c r="B2377" s="19">
        <v>42591</v>
      </c>
      <c r="C2377" s="21">
        <v>0.45069444444444445</v>
      </c>
      <c r="D2377" s="20" t="s">
        <v>3036</v>
      </c>
      <c r="E2377" t="s">
        <v>6</v>
      </c>
      <c r="F2377" t="s">
        <v>12</v>
      </c>
      <c r="G2377" t="s">
        <v>45</v>
      </c>
      <c r="H2377">
        <v>3</v>
      </c>
      <c r="I2377">
        <f t="shared" si="39"/>
        <v>4</v>
      </c>
    </row>
    <row r="2378" spans="1:9">
      <c r="A2378" s="1">
        <v>42627.98333333333</v>
      </c>
      <c r="B2378" s="19">
        <v>42591</v>
      </c>
      <c r="C2378" s="21">
        <v>0.42152777777777778</v>
      </c>
      <c r="D2378" s="20" t="s">
        <v>3036</v>
      </c>
      <c r="E2378" t="s">
        <v>6</v>
      </c>
      <c r="F2378" t="s">
        <v>26</v>
      </c>
      <c r="G2378" t="s">
        <v>307</v>
      </c>
      <c r="H2378">
        <v>12</v>
      </c>
      <c r="I2378">
        <f t="shared" si="39"/>
        <v>15</v>
      </c>
    </row>
    <row r="2379" spans="1:9">
      <c r="A2379" s="1">
        <v>42627.772916666669</v>
      </c>
      <c r="B2379" s="19">
        <v>42591</v>
      </c>
      <c r="C2379" s="21">
        <v>0.33541666666666664</v>
      </c>
      <c r="D2379" s="20" t="s">
        <v>3034</v>
      </c>
      <c r="E2379" t="s">
        <v>6</v>
      </c>
      <c r="F2379" t="s">
        <v>89</v>
      </c>
      <c r="G2379" t="s">
        <v>1568</v>
      </c>
      <c r="H2379">
        <v>8</v>
      </c>
      <c r="I2379">
        <f t="shared" si="39"/>
        <v>10</v>
      </c>
    </row>
    <row r="2380" spans="1:9">
      <c r="A2380" s="1">
        <v>42627.709027777775</v>
      </c>
      <c r="B2380" s="19">
        <v>42591</v>
      </c>
      <c r="C2380" s="21">
        <v>0.28749999999999998</v>
      </c>
      <c r="D2380" s="20" t="s">
        <v>3031</v>
      </c>
      <c r="E2380" t="s">
        <v>6</v>
      </c>
      <c r="F2380" t="s">
        <v>12</v>
      </c>
      <c r="G2380" t="s">
        <v>45</v>
      </c>
      <c r="H2380">
        <v>4</v>
      </c>
      <c r="I2380">
        <f t="shared" si="39"/>
        <v>5</v>
      </c>
    </row>
    <row r="2381" spans="1:9">
      <c r="A2381" s="1">
        <v>42627.706944444442</v>
      </c>
      <c r="B2381" s="19">
        <v>42591</v>
      </c>
      <c r="C2381" s="21">
        <v>0.22708333333333333</v>
      </c>
      <c r="D2381" s="20" t="s">
        <v>3055</v>
      </c>
      <c r="E2381" t="s">
        <v>6</v>
      </c>
      <c r="F2381" t="s">
        <v>21</v>
      </c>
      <c r="G2381" t="s">
        <v>1538</v>
      </c>
      <c r="H2381">
        <v>13</v>
      </c>
      <c r="I2381">
        <f t="shared" si="39"/>
        <v>17</v>
      </c>
    </row>
    <row r="2382" spans="1:9">
      <c r="A2382" s="1">
        <v>42627.505555555559</v>
      </c>
      <c r="B2382" s="19">
        <v>42591</v>
      </c>
      <c r="C2382" s="21">
        <v>0.20694444444444443</v>
      </c>
      <c r="D2382" s="20" t="s">
        <v>3054</v>
      </c>
      <c r="E2382" t="s">
        <v>2</v>
      </c>
      <c r="F2382" t="s">
        <v>3</v>
      </c>
      <c r="G2382" t="s">
        <v>1570</v>
      </c>
      <c r="H2382">
        <v>19</v>
      </c>
      <c r="I2382">
        <f t="shared" si="39"/>
        <v>24</v>
      </c>
    </row>
    <row r="2383" spans="1:9">
      <c r="A2383" s="1">
        <v>42627.501388888886</v>
      </c>
      <c r="B2383" s="19">
        <v>42592</v>
      </c>
      <c r="C2383" s="21">
        <v>0.66805555555555551</v>
      </c>
      <c r="D2383" s="20" t="s">
        <v>3043</v>
      </c>
      <c r="E2383" t="s">
        <v>0</v>
      </c>
      <c r="F2383" t="s">
        <v>10</v>
      </c>
      <c r="G2383" t="s">
        <v>59</v>
      </c>
      <c r="H2383">
        <v>13</v>
      </c>
      <c r="I2383">
        <f t="shared" si="39"/>
        <v>17</v>
      </c>
    </row>
    <row r="2384" spans="1:9">
      <c r="A2384" s="1">
        <v>42627.474999999999</v>
      </c>
      <c r="B2384" s="19">
        <v>42592</v>
      </c>
      <c r="C2384" s="21">
        <v>0.60972222222222228</v>
      </c>
      <c r="D2384" s="20" t="s">
        <v>3040</v>
      </c>
      <c r="E2384" t="s">
        <v>18</v>
      </c>
      <c r="F2384" t="s">
        <v>71</v>
      </c>
      <c r="G2384" t="s">
        <v>1557</v>
      </c>
      <c r="H2384">
        <v>31</v>
      </c>
      <c r="I2384">
        <f t="shared" si="39"/>
        <v>39</v>
      </c>
    </row>
    <row r="2385" spans="1:9">
      <c r="A2385" s="1">
        <v>42627.451388888891</v>
      </c>
      <c r="B2385" s="19">
        <v>42592</v>
      </c>
      <c r="C2385" s="21">
        <v>0.58958333333333335</v>
      </c>
      <c r="D2385" s="20" t="s">
        <v>3040</v>
      </c>
      <c r="E2385" t="s">
        <v>0</v>
      </c>
      <c r="F2385" t="s">
        <v>1</v>
      </c>
      <c r="H2385">
        <v>13</v>
      </c>
      <c r="I2385">
        <f t="shared" si="39"/>
        <v>17</v>
      </c>
    </row>
    <row r="2386" spans="1:9">
      <c r="A2386" s="1">
        <v>42627.380555555559</v>
      </c>
      <c r="B2386" s="19">
        <v>42592</v>
      </c>
      <c r="C2386" s="21">
        <v>0.58402777777777781</v>
      </c>
      <c r="D2386" s="20" t="s">
        <v>3040</v>
      </c>
      <c r="E2386" t="s">
        <v>0</v>
      </c>
      <c r="F2386" t="s">
        <v>10</v>
      </c>
      <c r="H2386">
        <v>13</v>
      </c>
      <c r="I2386">
        <f t="shared" si="39"/>
        <v>17</v>
      </c>
    </row>
    <row r="2387" spans="1:9">
      <c r="A2387" s="1">
        <v>42627.365277777775</v>
      </c>
      <c r="B2387" s="19">
        <v>42592</v>
      </c>
      <c r="C2387" s="21">
        <v>0.57638888888888884</v>
      </c>
      <c r="D2387" s="20" t="s">
        <v>3039</v>
      </c>
      <c r="E2387" t="s">
        <v>0</v>
      </c>
      <c r="F2387" t="s">
        <v>10</v>
      </c>
      <c r="G2387" t="s">
        <v>145</v>
      </c>
      <c r="H2387">
        <v>13</v>
      </c>
      <c r="I2387">
        <f t="shared" si="39"/>
        <v>17</v>
      </c>
    </row>
    <row r="2388" spans="1:9">
      <c r="A2388" s="1">
        <v>42627.357638888891</v>
      </c>
      <c r="B2388" s="19">
        <v>42592</v>
      </c>
      <c r="C2388" s="21">
        <v>0.55277777777777781</v>
      </c>
      <c r="D2388" s="20" t="s">
        <v>3039</v>
      </c>
      <c r="E2388" t="s">
        <v>18</v>
      </c>
      <c r="F2388" t="s">
        <v>71</v>
      </c>
      <c r="G2388" t="s">
        <v>1558</v>
      </c>
      <c r="H2388">
        <v>40</v>
      </c>
      <c r="I2388">
        <f t="shared" si="39"/>
        <v>50</v>
      </c>
    </row>
    <row r="2389" spans="1:9">
      <c r="A2389" s="1">
        <v>42627.275000000001</v>
      </c>
      <c r="B2389" s="19">
        <v>42592</v>
      </c>
      <c r="C2389" s="21">
        <v>0.50277777777777777</v>
      </c>
      <c r="D2389" s="20" t="s">
        <v>3038</v>
      </c>
      <c r="E2389" t="s">
        <v>149</v>
      </c>
      <c r="F2389" t="s">
        <v>150</v>
      </c>
      <c r="G2389" t="s">
        <v>1559</v>
      </c>
      <c r="H2389">
        <v>4</v>
      </c>
      <c r="I2389">
        <f t="shared" si="39"/>
        <v>5</v>
      </c>
    </row>
    <row r="2390" spans="1:9">
      <c r="A2390" s="1">
        <v>42627.256944444445</v>
      </c>
      <c r="B2390" s="19">
        <v>42592</v>
      </c>
      <c r="C2390" s="21">
        <v>0.36666666666666664</v>
      </c>
      <c r="D2390" s="20" t="s">
        <v>3034</v>
      </c>
      <c r="E2390" t="s">
        <v>18</v>
      </c>
      <c r="F2390" t="s">
        <v>100</v>
      </c>
      <c r="G2390" t="s">
        <v>1561</v>
      </c>
      <c r="H2390" t="e">
        <v>#VALUE!</v>
      </c>
      <c r="I2390" t="e">
        <f t="shared" si="39"/>
        <v>#VALUE!</v>
      </c>
    </row>
    <row r="2391" spans="1:9">
      <c r="A2391" s="1">
        <v>42627.208333333336</v>
      </c>
      <c r="B2391" s="19">
        <v>42592</v>
      </c>
      <c r="C2391" s="21">
        <v>0.76041666666666663</v>
      </c>
      <c r="D2391" s="20" t="s">
        <v>3045</v>
      </c>
      <c r="E2391" t="s">
        <v>2</v>
      </c>
      <c r="F2391" t="s">
        <v>56</v>
      </c>
      <c r="G2391" t="s">
        <v>1555</v>
      </c>
      <c r="H2391">
        <v>9</v>
      </c>
      <c r="I2391">
        <f t="shared" si="39"/>
        <v>12</v>
      </c>
    </row>
    <row r="2392" spans="1:9">
      <c r="A2392" s="1">
        <v>42627.162499999999</v>
      </c>
      <c r="B2392" s="19">
        <v>42592</v>
      </c>
      <c r="C2392" s="21">
        <v>0.68125000000000002</v>
      </c>
      <c r="D2392" s="20" t="s">
        <v>3043</v>
      </c>
      <c r="E2392" t="s">
        <v>2</v>
      </c>
      <c r="F2392" t="s">
        <v>3</v>
      </c>
      <c r="G2392" t="s">
        <v>572</v>
      </c>
      <c r="H2392">
        <v>3</v>
      </c>
      <c r="I2392">
        <f t="shared" si="39"/>
        <v>4</v>
      </c>
    </row>
    <row r="2393" spans="1:9" ht="28.8">
      <c r="A2393" s="1">
        <v>42626.612500000003</v>
      </c>
      <c r="B2393" s="19">
        <v>42592</v>
      </c>
      <c r="C2393" s="21">
        <v>0.62986111111111109</v>
      </c>
      <c r="D2393" s="20" t="s">
        <v>3042</v>
      </c>
      <c r="E2393" t="s">
        <v>6</v>
      </c>
      <c r="F2393" t="s">
        <v>7</v>
      </c>
      <c r="G2393" s="2" t="s">
        <v>1556</v>
      </c>
      <c r="H2393">
        <v>3</v>
      </c>
      <c r="I2393">
        <f t="shared" si="39"/>
        <v>4</v>
      </c>
    </row>
    <row r="2394" spans="1:9">
      <c r="A2394" s="1">
        <v>42626.488888888889</v>
      </c>
      <c r="B2394" s="19">
        <v>42592</v>
      </c>
      <c r="C2394" s="21">
        <v>0.5131944444444444</v>
      </c>
      <c r="D2394" s="20" t="s">
        <v>3038</v>
      </c>
      <c r="E2394" t="s">
        <v>2</v>
      </c>
      <c r="F2394" t="s">
        <v>48</v>
      </c>
      <c r="H2394">
        <v>18</v>
      </c>
      <c r="I2394">
        <f t="shared" si="39"/>
        <v>23</v>
      </c>
    </row>
    <row r="2395" spans="1:9">
      <c r="A2395" s="1">
        <v>42626.27847222222</v>
      </c>
      <c r="B2395" s="19">
        <v>42592</v>
      </c>
      <c r="C2395" s="21">
        <v>0.49722222222222223</v>
      </c>
      <c r="D2395" s="20" t="s">
        <v>3037</v>
      </c>
      <c r="E2395" t="s">
        <v>2</v>
      </c>
      <c r="F2395" t="s">
        <v>48</v>
      </c>
      <c r="G2395" t="s">
        <v>1560</v>
      </c>
      <c r="H2395">
        <v>7</v>
      </c>
      <c r="I2395">
        <f t="shared" si="39"/>
        <v>9</v>
      </c>
    </row>
    <row r="2396" spans="1:9">
      <c r="A2396" s="1">
        <v>42626.25</v>
      </c>
      <c r="B2396" s="19">
        <v>42592</v>
      </c>
      <c r="C2396" s="21">
        <v>0.36458333333333331</v>
      </c>
      <c r="D2396" s="20" t="s">
        <v>3034</v>
      </c>
      <c r="E2396" t="s">
        <v>2</v>
      </c>
      <c r="F2396" t="s">
        <v>48</v>
      </c>
      <c r="H2396">
        <v>56</v>
      </c>
      <c r="I2396">
        <f t="shared" si="39"/>
        <v>70</v>
      </c>
    </row>
    <row r="2397" spans="1:9">
      <c r="A2397" s="1">
        <v>42626.105555555558</v>
      </c>
      <c r="B2397" s="19">
        <v>42592</v>
      </c>
      <c r="C2397" s="21">
        <v>0.24583333333333332</v>
      </c>
      <c r="D2397" s="20" t="s">
        <v>3055</v>
      </c>
      <c r="E2397" t="s">
        <v>6</v>
      </c>
      <c r="F2397" t="s">
        <v>7</v>
      </c>
      <c r="G2397" t="s">
        <v>249</v>
      </c>
      <c r="H2397" t="e">
        <v>#VALUE!</v>
      </c>
      <c r="I2397" t="e">
        <f t="shared" si="39"/>
        <v>#VALUE!</v>
      </c>
    </row>
    <row r="2398" spans="1:9">
      <c r="A2398" s="1">
        <v>42626.908333333333</v>
      </c>
      <c r="B2398" s="19">
        <v>42592</v>
      </c>
      <c r="C2398" s="21">
        <v>0.17222222222222222</v>
      </c>
      <c r="D2398" s="20" t="s">
        <v>3054</v>
      </c>
      <c r="E2398" t="s">
        <v>6</v>
      </c>
      <c r="F2398" t="s">
        <v>7</v>
      </c>
      <c r="G2398" t="s">
        <v>1562</v>
      </c>
      <c r="H2398" t="e">
        <v>#VALUE!</v>
      </c>
      <c r="I2398" t="e">
        <f t="shared" si="39"/>
        <v>#VALUE!</v>
      </c>
    </row>
    <row r="2399" spans="1:9">
      <c r="A2399" s="1">
        <v>42626.55972222222</v>
      </c>
      <c r="B2399" s="19">
        <v>42592</v>
      </c>
      <c r="C2399" s="21">
        <v>0.11319444444444444</v>
      </c>
      <c r="D2399" s="20" t="s">
        <v>3052</v>
      </c>
      <c r="E2399" t="s">
        <v>6</v>
      </c>
      <c r="F2399" t="s">
        <v>7</v>
      </c>
      <c r="G2399">
        <v>0</v>
      </c>
      <c r="H2399" t="e">
        <v>#VALUE!</v>
      </c>
      <c r="I2399" t="e">
        <f t="shared" si="39"/>
        <v>#VALUE!</v>
      </c>
    </row>
    <row r="2400" spans="1:9">
      <c r="A2400" s="1">
        <v>42626.375</v>
      </c>
      <c r="B2400" s="19">
        <v>42592</v>
      </c>
      <c r="C2400" s="21">
        <v>8.819444444444445E-2</v>
      </c>
      <c r="D2400" s="20" t="s">
        <v>3052</v>
      </c>
      <c r="E2400" t="s">
        <v>6</v>
      </c>
      <c r="F2400" t="s">
        <v>7</v>
      </c>
      <c r="G2400" t="s">
        <v>1563</v>
      </c>
      <c r="H2400">
        <v>35</v>
      </c>
      <c r="I2400">
        <f t="shared" si="39"/>
        <v>44</v>
      </c>
    </row>
    <row r="2401" spans="1:9">
      <c r="A2401" s="1">
        <v>42626.29583333333</v>
      </c>
      <c r="B2401" s="19">
        <v>42593</v>
      </c>
      <c r="C2401" s="21">
        <v>0.92083333333333328</v>
      </c>
      <c r="D2401" s="20" t="s">
        <v>3049</v>
      </c>
      <c r="E2401" t="s">
        <v>18</v>
      </c>
      <c r="F2401" t="s">
        <v>19</v>
      </c>
      <c r="G2401" t="s">
        <v>1539</v>
      </c>
      <c r="H2401">
        <v>5</v>
      </c>
      <c r="I2401">
        <f t="shared" si="39"/>
        <v>7</v>
      </c>
    </row>
    <row r="2402" spans="1:9">
      <c r="A2402" s="1">
        <v>42625.944444444445</v>
      </c>
      <c r="B2402" s="19">
        <v>42593</v>
      </c>
      <c r="C2402" s="21">
        <v>0.83402777777777781</v>
      </c>
      <c r="D2402" s="20" t="s">
        <v>3047</v>
      </c>
      <c r="E2402" t="s">
        <v>0</v>
      </c>
      <c r="F2402" t="s">
        <v>10</v>
      </c>
      <c r="G2402" t="s">
        <v>59</v>
      </c>
      <c r="H2402">
        <v>13</v>
      </c>
      <c r="I2402">
        <f t="shared" si="39"/>
        <v>17</v>
      </c>
    </row>
    <row r="2403" spans="1:9">
      <c r="A2403" s="1">
        <v>42625.922222222223</v>
      </c>
      <c r="B2403" s="19">
        <v>42593</v>
      </c>
      <c r="C2403" s="21">
        <v>0.70208333333333328</v>
      </c>
      <c r="D2403" s="20" t="s">
        <v>3043</v>
      </c>
      <c r="E2403" t="s">
        <v>0</v>
      </c>
      <c r="F2403" t="s">
        <v>1</v>
      </c>
      <c r="H2403">
        <v>13</v>
      </c>
      <c r="I2403">
        <f t="shared" si="39"/>
        <v>17</v>
      </c>
    </row>
    <row r="2404" spans="1:9">
      <c r="A2404" s="1">
        <v>42625.897222222222</v>
      </c>
      <c r="B2404" s="19">
        <v>42593</v>
      </c>
      <c r="C2404" s="21">
        <v>0.97291666666666665</v>
      </c>
      <c r="D2404" s="20" t="s">
        <v>3063</v>
      </c>
      <c r="E2404" t="s">
        <v>6</v>
      </c>
      <c r="F2404" t="s">
        <v>12</v>
      </c>
      <c r="G2404" t="s">
        <v>1382</v>
      </c>
      <c r="H2404">
        <v>3</v>
      </c>
      <c r="I2404">
        <f t="shared" si="39"/>
        <v>4</v>
      </c>
    </row>
    <row r="2405" spans="1:9">
      <c r="A2405" s="1">
        <v>42625.59097222222</v>
      </c>
      <c r="B2405" s="19">
        <v>42593</v>
      </c>
      <c r="C2405" s="21">
        <v>0.96875</v>
      </c>
      <c r="D2405" s="20" t="s">
        <v>3063</v>
      </c>
      <c r="E2405" t="s">
        <v>6</v>
      </c>
      <c r="F2405" t="s">
        <v>12</v>
      </c>
      <c r="G2405" t="s">
        <v>1382</v>
      </c>
      <c r="H2405">
        <v>4</v>
      </c>
      <c r="I2405">
        <f t="shared" si="39"/>
        <v>5</v>
      </c>
    </row>
    <row r="2406" spans="1:9">
      <c r="A2406" s="1">
        <v>42625.555555555555</v>
      </c>
      <c r="B2406" s="19">
        <v>42593</v>
      </c>
      <c r="C2406" s="21">
        <v>0.92083333333333328</v>
      </c>
      <c r="D2406" s="20" t="s">
        <v>3049</v>
      </c>
      <c r="E2406" t="s">
        <v>6</v>
      </c>
      <c r="F2406" t="s">
        <v>61</v>
      </c>
      <c r="G2406" t="s">
        <v>1551</v>
      </c>
      <c r="H2406">
        <v>3</v>
      </c>
      <c r="I2406">
        <f t="shared" si="39"/>
        <v>4</v>
      </c>
    </row>
    <row r="2407" spans="1:9">
      <c r="A2407" s="1">
        <v>42625.518750000003</v>
      </c>
      <c r="B2407" s="19">
        <v>42593</v>
      </c>
      <c r="C2407" s="21">
        <v>0.59097222222222223</v>
      </c>
      <c r="D2407" s="20" t="s">
        <v>3040</v>
      </c>
      <c r="E2407" t="s">
        <v>2</v>
      </c>
      <c r="F2407" t="s">
        <v>56</v>
      </c>
      <c r="G2407" t="s">
        <v>1552</v>
      </c>
      <c r="H2407" t="e">
        <v>#VALUE!</v>
      </c>
      <c r="I2407" t="e">
        <f t="shared" si="39"/>
        <v>#VALUE!</v>
      </c>
    </row>
    <row r="2408" spans="1:9">
      <c r="A2408" s="1">
        <v>42625.380555555559</v>
      </c>
      <c r="B2408" s="19">
        <v>42593</v>
      </c>
      <c r="C2408" s="21">
        <v>0.26250000000000001</v>
      </c>
      <c r="D2408" s="20" t="s">
        <v>3031</v>
      </c>
      <c r="E2408" t="s">
        <v>2</v>
      </c>
      <c r="F2408" t="s">
        <v>56</v>
      </c>
      <c r="G2408" t="s">
        <v>1553</v>
      </c>
      <c r="H2408" t="e">
        <v>#VALUE!</v>
      </c>
      <c r="I2408" t="e">
        <f t="shared" si="39"/>
        <v>#VALUE!</v>
      </c>
    </row>
    <row r="2409" spans="1:9">
      <c r="A2409" s="1">
        <v>42625.637499999997</v>
      </c>
      <c r="B2409" s="19">
        <v>42593</v>
      </c>
      <c r="C2409" s="21">
        <v>0.26180555555555557</v>
      </c>
      <c r="D2409" s="20" t="s">
        <v>3031</v>
      </c>
      <c r="E2409" t="s">
        <v>6</v>
      </c>
      <c r="F2409" t="s">
        <v>26</v>
      </c>
      <c r="G2409" t="s">
        <v>1554</v>
      </c>
      <c r="H2409">
        <v>25</v>
      </c>
      <c r="I2409">
        <f t="shared" si="39"/>
        <v>31</v>
      </c>
    </row>
    <row r="2410" spans="1:9">
      <c r="A2410" s="1">
        <v>42625.511111111111</v>
      </c>
      <c r="B2410" s="19">
        <v>42594</v>
      </c>
      <c r="C2410" s="21">
        <v>0.91527777777777775</v>
      </c>
      <c r="D2410" s="20" t="s">
        <v>3048</v>
      </c>
      <c r="E2410" t="s">
        <v>0</v>
      </c>
      <c r="F2410" t="s">
        <v>10</v>
      </c>
      <c r="G2410" t="s">
        <v>1539</v>
      </c>
      <c r="H2410">
        <v>13</v>
      </c>
      <c r="I2410">
        <f t="shared" si="39"/>
        <v>17</v>
      </c>
    </row>
    <row r="2411" spans="1:9">
      <c r="A2411" s="1">
        <v>42625.448611111111</v>
      </c>
      <c r="B2411" s="19">
        <v>42594</v>
      </c>
      <c r="C2411" s="21">
        <v>0.83333333333333337</v>
      </c>
      <c r="D2411" s="20" t="s">
        <v>3047</v>
      </c>
      <c r="E2411" t="s">
        <v>0</v>
      </c>
      <c r="F2411" t="s">
        <v>10</v>
      </c>
      <c r="G2411" t="s">
        <v>1529</v>
      </c>
      <c r="H2411">
        <v>13</v>
      </c>
      <c r="I2411">
        <f t="shared" si="39"/>
        <v>17</v>
      </c>
    </row>
    <row r="2412" spans="1:9">
      <c r="A2412" s="1">
        <v>42625.251388888886</v>
      </c>
      <c r="B2412" s="19">
        <v>42594</v>
      </c>
      <c r="C2412" s="21">
        <v>0.66736111111111107</v>
      </c>
      <c r="D2412" s="20" t="s">
        <v>3043</v>
      </c>
      <c r="E2412" t="s">
        <v>0</v>
      </c>
      <c r="F2412" t="s">
        <v>10</v>
      </c>
      <c r="G2412" t="s">
        <v>1529</v>
      </c>
      <c r="H2412">
        <v>13</v>
      </c>
      <c r="I2412">
        <f t="shared" si="39"/>
        <v>17</v>
      </c>
    </row>
    <row r="2413" spans="1:9">
      <c r="A2413" s="1">
        <v>42623.178472222222</v>
      </c>
      <c r="B2413" s="19">
        <v>42594</v>
      </c>
      <c r="C2413" s="21">
        <v>0.5854166666666667</v>
      </c>
      <c r="D2413" s="20" t="s">
        <v>3040</v>
      </c>
      <c r="E2413" t="s">
        <v>0</v>
      </c>
      <c r="F2413" t="s">
        <v>10</v>
      </c>
      <c r="G2413" t="s">
        <v>145</v>
      </c>
      <c r="H2413">
        <v>13</v>
      </c>
      <c r="I2413">
        <f t="shared" si="39"/>
        <v>17</v>
      </c>
    </row>
    <row r="2414" spans="1:9">
      <c r="A2414" s="1">
        <v>42623.084722222222</v>
      </c>
      <c r="B2414" s="19">
        <v>42594</v>
      </c>
      <c r="C2414" s="21">
        <v>0.57638888888888884</v>
      </c>
      <c r="D2414" s="20" t="s">
        <v>3039</v>
      </c>
      <c r="E2414" t="s">
        <v>0</v>
      </c>
      <c r="F2414" t="s">
        <v>10</v>
      </c>
      <c r="G2414" t="s">
        <v>145</v>
      </c>
      <c r="H2414">
        <v>13</v>
      </c>
      <c r="I2414">
        <f t="shared" si="39"/>
        <v>17</v>
      </c>
    </row>
    <row r="2415" spans="1:9">
      <c r="A2415" s="1">
        <v>42623.23333333333</v>
      </c>
      <c r="B2415" s="19">
        <v>42594</v>
      </c>
      <c r="C2415" s="21">
        <v>0.31666666666666665</v>
      </c>
      <c r="D2415" s="20" t="s">
        <v>3033</v>
      </c>
      <c r="E2415" t="s">
        <v>0</v>
      </c>
      <c r="G2415" t="s">
        <v>1545</v>
      </c>
      <c r="H2415">
        <v>50</v>
      </c>
      <c r="I2415">
        <f t="shared" si="39"/>
        <v>62</v>
      </c>
    </row>
    <row r="2416" spans="1:9">
      <c r="A2416" s="1">
        <v>42623.04791666667</v>
      </c>
      <c r="B2416" s="19">
        <v>42594</v>
      </c>
      <c r="C2416" s="21">
        <v>0.24861111111111112</v>
      </c>
      <c r="D2416" s="20" t="s">
        <v>3055</v>
      </c>
      <c r="E2416" t="s">
        <v>0</v>
      </c>
      <c r="F2416" t="s">
        <v>10</v>
      </c>
      <c r="G2416" t="s">
        <v>1547</v>
      </c>
      <c r="H2416">
        <v>13</v>
      </c>
      <c r="I2416">
        <f t="shared" si="39"/>
        <v>17</v>
      </c>
    </row>
    <row r="2417" spans="1:9">
      <c r="A2417" s="1">
        <v>42623.045138888891</v>
      </c>
      <c r="B2417" s="19">
        <v>42594</v>
      </c>
      <c r="C2417" s="21">
        <v>0.24861111111111112</v>
      </c>
      <c r="D2417" s="20" t="s">
        <v>3055</v>
      </c>
      <c r="E2417" t="s">
        <v>18</v>
      </c>
      <c r="F2417" t="s">
        <v>100</v>
      </c>
      <c r="G2417" t="s">
        <v>1548</v>
      </c>
      <c r="H2417" t="e">
        <v>#VALUE!</v>
      </c>
      <c r="I2417" t="e">
        <f t="shared" si="39"/>
        <v>#VALUE!</v>
      </c>
    </row>
    <row r="2418" spans="1:9">
      <c r="A2418" s="1">
        <v>42622.869444444441</v>
      </c>
      <c r="B2418" s="19">
        <v>42594</v>
      </c>
      <c r="C2418" s="21">
        <v>0.97152777777777777</v>
      </c>
      <c r="D2418" s="20" t="s">
        <v>3063</v>
      </c>
      <c r="E2418" t="s">
        <v>6</v>
      </c>
      <c r="F2418" t="s">
        <v>46</v>
      </c>
      <c r="G2418" t="s">
        <v>65</v>
      </c>
      <c r="H2418">
        <v>4</v>
      </c>
      <c r="I2418">
        <f t="shared" si="39"/>
        <v>5</v>
      </c>
    </row>
    <row r="2419" spans="1:9" ht="28.8">
      <c r="A2419" s="1">
        <v>42622.826388888891</v>
      </c>
      <c r="B2419" s="19">
        <v>42594</v>
      </c>
      <c r="C2419" s="21">
        <v>0.80138888888888893</v>
      </c>
      <c r="D2419" s="20" t="s">
        <v>3046</v>
      </c>
      <c r="E2419" t="s">
        <v>6</v>
      </c>
      <c r="F2419" t="s">
        <v>46</v>
      </c>
      <c r="G2419" s="2" t="s">
        <v>1540</v>
      </c>
      <c r="H2419">
        <v>15</v>
      </c>
      <c r="I2419">
        <f t="shared" si="39"/>
        <v>19</v>
      </c>
    </row>
    <row r="2420" spans="1:9">
      <c r="A2420" s="1">
        <v>42622.697222222225</v>
      </c>
      <c r="B2420" s="19">
        <v>42594</v>
      </c>
      <c r="C2420" s="21">
        <v>0.5708333333333333</v>
      </c>
      <c r="D2420" s="20" t="s">
        <v>3039</v>
      </c>
      <c r="E2420" t="s">
        <v>6</v>
      </c>
      <c r="F2420" t="s">
        <v>12</v>
      </c>
      <c r="G2420" t="s">
        <v>1532</v>
      </c>
      <c r="H2420">
        <v>4</v>
      </c>
      <c r="I2420">
        <f t="shared" si="39"/>
        <v>5</v>
      </c>
    </row>
    <row r="2421" spans="1:9">
      <c r="A2421" s="1">
        <v>42622.652777777781</v>
      </c>
      <c r="B2421" s="19">
        <v>42594</v>
      </c>
      <c r="C2421" s="21">
        <v>0.43263888888888891</v>
      </c>
      <c r="D2421" s="20" t="s">
        <v>3036</v>
      </c>
      <c r="E2421" t="s">
        <v>6</v>
      </c>
      <c r="F2421" t="s">
        <v>21</v>
      </c>
      <c r="G2421" t="s">
        <v>1541</v>
      </c>
      <c r="H2421">
        <v>12</v>
      </c>
      <c r="I2421">
        <f t="shared" si="39"/>
        <v>15</v>
      </c>
    </row>
    <row r="2422" spans="1:9">
      <c r="A2422" s="1">
        <v>42622.582638888889</v>
      </c>
      <c r="B2422" s="19">
        <v>42594</v>
      </c>
      <c r="C2422" s="21">
        <v>0.42986111111111114</v>
      </c>
      <c r="D2422" s="20" t="s">
        <v>3036</v>
      </c>
      <c r="E2422" t="s">
        <v>6</v>
      </c>
      <c r="F2422" t="s">
        <v>12</v>
      </c>
      <c r="G2422" t="s">
        <v>1542</v>
      </c>
      <c r="H2422">
        <v>3</v>
      </c>
      <c r="I2422">
        <f t="shared" si="39"/>
        <v>4</v>
      </c>
    </row>
    <row r="2423" spans="1:9">
      <c r="A2423" s="1">
        <v>42622.477083333331</v>
      </c>
      <c r="B2423" s="19">
        <v>42594</v>
      </c>
      <c r="C2423" s="21">
        <v>0.33402777777777776</v>
      </c>
      <c r="D2423" s="20" t="s">
        <v>3034</v>
      </c>
      <c r="E2423" t="s">
        <v>2</v>
      </c>
      <c r="F2423" t="s">
        <v>5</v>
      </c>
      <c r="G2423" t="s">
        <v>1543</v>
      </c>
      <c r="H2423">
        <v>49</v>
      </c>
      <c r="I2423">
        <f t="shared" si="39"/>
        <v>61</v>
      </c>
    </row>
    <row r="2424" spans="1:9">
      <c r="A2424" s="1">
        <v>42622.440972222219</v>
      </c>
      <c r="B2424" s="19">
        <v>42594</v>
      </c>
      <c r="C2424" s="21">
        <v>0.33263888888888887</v>
      </c>
      <c r="D2424" s="20" t="s">
        <v>3033</v>
      </c>
      <c r="E2424" t="s">
        <v>6</v>
      </c>
      <c r="F2424" t="s">
        <v>26</v>
      </c>
      <c r="G2424" t="s">
        <v>1544</v>
      </c>
      <c r="H2424">
        <v>3</v>
      </c>
      <c r="I2424">
        <f t="shared" si="39"/>
        <v>4</v>
      </c>
    </row>
    <row r="2425" spans="1:9">
      <c r="A2425" s="1">
        <v>42621.838888888888</v>
      </c>
      <c r="B2425" s="19">
        <v>42594</v>
      </c>
      <c r="C2425" s="21">
        <v>0.30555555555555558</v>
      </c>
      <c r="D2425" s="20" t="s">
        <v>3033</v>
      </c>
      <c r="E2425" t="s">
        <v>6</v>
      </c>
      <c r="F2425" t="s">
        <v>12</v>
      </c>
      <c r="G2425" t="s">
        <v>1542</v>
      </c>
      <c r="H2425">
        <v>3</v>
      </c>
      <c r="I2425">
        <f t="shared" si="39"/>
        <v>4</v>
      </c>
    </row>
    <row r="2426" spans="1:9">
      <c r="A2426" s="1">
        <v>42621.614583333336</v>
      </c>
      <c r="B2426" s="19">
        <v>42594</v>
      </c>
      <c r="C2426" s="21">
        <v>0.2673611111111111</v>
      </c>
      <c r="D2426" s="20" t="s">
        <v>3031</v>
      </c>
      <c r="E2426" t="s">
        <v>6</v>
      </c>
      <c r="F2426" t="s">
        <v>12</v>
      </c>
      <c r="G2426" t="s">
        <v>1546</v>
      </c>
      <c r="H2426">
        <v>7</v>
      </c>
      <c r="I2426">
        <f t="shared" si="39"/>
        <v>9</v>
      </c>
    </row>
    <row r="2427" spans="1:9">
      <c r="A2427" s="1">
        <v>42621.609722222223</v>
      </c>
      <c r="B2427" s="19">
        <v>42594</v>
      </c>
      <c r="C2427" s="21">
        <v>0.21527777777777779</v>
      </c>
      <c r="D2427" s="20" t="s">
        <v>3055</v>
      </c>
      <c r="E2427" t="s">
        <v>6</v>
      </c>
      <c r="F2427" t="s">
        <v>12</v>
      </c>
      <c r="G2427" t="s">
        <v>1382</v>
      </c>
      <c r="H2427">
        <v>3</v>
      </c>
      <c r="I2427">
        <f t="shared" si="39"/>
        <v>4</v>
      </c>
    </row>
    <row r="2428" spans="1:9">
      <c r="A2428" s="1">
        <v>42621.584027777775</v>
      </c>
      <c r="B2428" s="19">
        <v>42594</v>
      </c>
      <c r="C2428" s="21">
        <v>0.20972222222222223</v>
      </c>
      <c r="D2428" s="20" t="s">
        <v>3055</v>
      </c>
      <c r="E2428" t="s">
        <v>6</v>
      </c>
      <c r="F2428" t="s">
        <v>12</v>
      </c>
      <c r="G2428" t="s">
        <v>1549</v>
      </c>
      <c r="H2428">
        <v>0</v>
      </c>
      <c r="I2428">
        <f t="shared" si="39"/>
        <v>0</v>
      </c>
    </row>
    <row r="2429" spans="1:9">
      <c r="A2429" s="1">
        <v>42621.518055555556</v>
      </c>
      <c r="B2429" s="19">
        <v>42594</v>
      </c>
      <c r="C2429" s="21">
        <v>0.19930555555555557</v>
      </c>
      <c r="D2429" s="20" t="s">
        <v>3054</v>
      </c>
      <c r="E2429" t="s">
        <v>6</v>
      </c>
      <c r="F2429" t="s">
        <v>12</v>
      </c>
      <c r="G2429" t="s">
        <v>1382</v>
      </c>
      <c r="H2429">
        <v>5</v>
      </c>
      <c r="I2429">
        <f t="shared" si="39"/>
        <v>7</v>
      </c>
    </row>
    <row r="2430" spans="1:9">
      <c r="A2430" s="1">
        <v>42621.472222222219</v>
      </c>
      <c r="B2430" s="19">
        <v>42594</v>
      </c>
      <c r="C2430" s="21">
        <v>0.1763888888888889</v>
      </c>
      <c r="D2430" s="20" t="s">
        <v>3054</v>
      </c>
      <c r="E2430" t="s">
        <v>6</v>
      </c>
      <c r="F2430" t="s">
        <v>12</v>
      </c>
      <c r="G2430" t="s">
        <v>1382</v>
      </c>
      <c r="H2430">
        <v>5</v>
      </c>
      <c r="I2430">
        <f t="shared" si="39"/>
        <v>7</v>
      </c>
    </row>
    <row r="2431" spans="1:9">
      <c r="A2431" s="1">
        <v>42621.170138888891</v>
      </c>
      <c r="B2431" s="19">
        <v>42594</v>
      </c>
      <c r="C2431" s="21">
        <v>4.1666666666666664E-2</v>
      </c>
      <c r="D2431" s="20" t="s">
        <v>3051</v>
      </c>
      <c r="E2431" t="s">
        <v>6</v>
      </c>
      <c r="F2431" t="s">
        <v>12</v>
      </c>
      <c r="G2431" t="s">
        <v>1382</v>
      </c>
      <c r="H2431">
        <v>3</v>
      </c>
      <c r="I2431">
        <f t="shared" si="39"/>
        <v>4</v>
      </c>
    </row>
    <row r="2432" spans="1:9">
      <c r="A2432" s="1">
        <v>42621.133333333331</v>
      </c>
      <c r="B2432" s="19">
        <v>42594</v>
      </c>
      <c r="C2432" s="21">
        <v>3.1944444444444442E-2</v>
      </c>
      <c r="D2432" s="20" t="s">
        <v>3050</v>
      </c>
      <c r="E2432" t="s">
        <v>6</v>
      </c>
      <c r="F2432" t="s">
        <v>15</v>
      </c>
      <c r="G2432" t="s">
        <v>1550</v>
      </c>
      <c r="H2432">
        <v>13</v>
      </c>
      <c r="I2432">
        <f t="shared" si="39"/>
        <v>17</v>
      </c>
    </row>
    <row r="2433" spans="1:9">
      <c r="A2433" s="1">
        <v>42621.918055555558</v>
      </c>
      <c r="B2433" s="19">
        <v>42594</v>
      </c>
      <c r="C2433" s="21">
        <v>1.5277777777777777E-2</v>
      </c>
      <c r="D2433" s="20" t="s">
        <v>3050</v>
      </c>
      <c r="E2433" t="s">
        <v>6</v>
      </c>
      <c r="F2433" t="s">
        <v>12</v>
      </c>
      <c r="G2433" t="s">
        <v>1382</v>
      </c>
      <c r="H2433">
        <v>3</v>
      </c>
      <c r="I2433">
        <f t="shared" si="39"/>
        <v>4</v>
      </c>
    </row>
    <row r="2434" spans="1:9">
      <c r="A2434" s="1">
        <v>42621.909722222219</v>
      </c>
      <c r="B2434" s="19">
        <v>42594</v>
      </c>
      <c r="C2434" s="21">
        <v>1.1805555555555555E-2</v>
      </c>
      <c r="D2434" s="20" t="s">
        <v>3050</v>
      </c>
      <c r="E2434" t="s">
        <v>6</v>
      </c>
      <c r="F2434" t="s">
        <v>12</v>
      </c>
      <c r="G2434" t="s">
        <v>1382</v>
      </c>
      <c r="H2434">
        <v>3</v>
      </c>
      <c r="I2434">
        <f t="shared" si="39"/>
        <v>4</v>
      </c>
    </row>
    <row r="2435" spans="1:9">
      <c r="A2435" s="1">
        <v>42621.432638888888</v>
      </c>
      <c r="B2435" s="19">
        <v>42595</v>
      </c>
      <c r="C2435" s="21">
        <v>0.12361111111111112</v>
      </c>
      <c r="D2435" s="20" t="s">
        <v>3052</v>
      </c>
      <c r="E2435" t="s">
        <v>77</v>
      </c>
      <c r="F2435" t="s">
        <v>78</v>
      </c>
      <c r="G2435" t="s">
        <v>662</v>
      </c>
      <c r="H2435">
        <v>2</v>
      </c>
      <c r="I2435">
        <f t="shared" ref="I2435:I2498" si="40">ROUNDUP((H2435*1.24), 0)</f>
        <v>3</v>
      </c>
    </row>
    <row r="2436" spans="1:9">
      <c r="A2436" s="1">
        <v>42621.260416666664</v>
      </c>
      <c r="B2436" s="19">
        <v>42595</v>
      </c>
      <c r="C2436" s="21">
        <v>0.18333333333333332</v>
      </c>
      <c r="D2436" s="20" t="s">
        <v>3054</v>
      </c>
      <c r="E2436" t="s">
        <v>2</v>
      </c>
      <c r="F2436" t="s">
        <v>3</v>
      </c>
      <c r="G2436" t="s">
        <v>1048</v>
      </c>
      <c r="H2436">
        <v>13</v>
      </c>
      <c r="I2436">
        <f t="shared" si="40"/>
        <v>17</v>
      </c>
    </row>
    <row r="2437" spans="1:9">
      <c r="A2437" s="1">
        <v>42621.186111111114</v>
      </c>
      <c r="B2437" s="19">
        <v>42595</v>
      </c>
      <c r="C2437" s="21">
        <v>0.16041666666666668</v>
      </c>
      <c r="D2437" s="20" t="s">
        <v>3053</v>
      </c>
      <c r="E2437" t="s">
        <v>6</v>
      </c>
      <c r="F2437" t="s">
        <v>12</v>
      </c>
      <c r="G2437" t="s">
        <v>1382</v>
      </c>
      <c r="H2437">
        <v>4</v>
      </c>
      <c r="I2437">
        <f t="shared" si="40"/>
        <v>5</v>
      </c>
    </row>
    <row r="2438" spans="1:9">
      <c r="A2438" s="1">
        <v>42620.582638888889</v>
      </c>
      <c r="B2438" s="19">
        <v>42595</v>
      </c>
      <c r="C2438" s="21">
        <v>0.1111111111111111</v>
      </c>
      <c r="D2438" s="20" t="s">
        <v>3052</v>
      </c>
      <c r="E2438" t="s">
        <v>6</v>
      </c>
      <c r="F2438" t="s">
        <v>7</v>
      </c>
      <c r="G2438" t="s">
        <v>65</v>
      </c>
      <c r="H2438">
        <v>5</v>
      </c>
      <c r="I2438">
        <f t="shared" si="40"/>
        <v>7</v>
      </c>
    </row>
    <row r="2439" spans="1:9">
      <c r="A2439" s="1">
        <v>42620.268055555556</v>
      </c>
      <c r="B2439" s="19">
        <v>42595</v>
      </c>
      <c r="C2439" s="21">
        <v>4.9305555555555554E-2</v>
      </c>
      <c r="D2439" s="20" t="s">
        <v>3051</v>
      </c>
      <c r="E2439" t="s">
        <v>6</v>
      </c>
      <c r="F2439" t="s">
        <v>15</v>
      </c>
      <c r="G2439" t="s">
        <v>1538</v>
      </c>
      <c r="H2439">
        <v>13</v>
      </c>
      <c r="I2439">
        <f t="shared" si="40"/>
        <v>17</v>
      </c>
    </row>
    <row r="2440" spans="1:9">
      <c r="A2440" s="1">
        <v>42620.252083333333</v>
      </c>
      <c r="B2440" s="19">
        <v>42595</v>
      </c>
      <c r="C2440" s="21">
        <v>4.0972222222222222E-2</v>
      </c>
      <c r="D2440" s="20" t="s">
        <v>3050</v>
      </c>
      <c r="E2440" t="s">
        <v>6</v>
      </c>
      <c r="F2440" t="s">
        <v>12</v>
      </c>
      <c r="G2440" t="s">
        <v>1382</v>
      </c>
      <c r="H2440">
        <v>4</v>
      </c>
      <c r="I2440">
        <f t="shared" si="40"/>
        <v>5</v>
      </c>
    </row>
    <row r="2441" spans="1:9">
      <c r="A2441" s="1">
        <v>42620.202777777777</v>
      </c>
      <c r="B2441" s="19">
        <v>42595</v>
      </c>
      <c r="C2441" s="21">
        <v>3.3333333333333333E-2</v>
      </c>
      <c r="D2441" s="20" t="s">
        <v>3050</v>
      </c>
      <c r="E2441" t="s">
        <v>6</v>
      </c>
      <c r="F2441" t="s">
        <v>15</v>
      </c>
      <c r="G2441" t="s">
        <v>1538</v>
      </c>
      <c r="H2441">
        <v>13</v>
      </c>
      <c r="I2441">
        <f t="shared" si="40"/>
        <v>17</v>
      </c>
    </row>
    <row r="2442" spans="1:9">
      <c r="A2442" s="1">
        <v>42620.171527777777</v>
      </c>
      <c r="B2442" s="19">
        <v>42598</v>
      </c>
      <c r="C2442" s="21">
        <v>0.91736111111111107</v>
      </c>
      <c r="D2442" s="20" t="s">
        <v>3049</v>
      </c>
      <c r="E2442" t="s">
        <v>0</v>
      </c>
      <c r="F2442" t="s">
        <v>10</v>
      </c>
      <c r="G2442" t="s">
        <v>145</v>
      </c>
      <c r="H2442">
        <v>13</v>
      </c>
      <c r="I2442">
        <f t="shared" si="40"/>
        <v>17</v>
      </c>
    </row>
    <row r="2443" spans="1:9">
      <c r="A2443" s="1">
        <v>42620.149305555555</v>
      </c>
      <c r="B2443" s="19">
        <v>42598</v>
      </c>
      <c r="C2443" s="21">
        <v>0.91736111111111107</v>
      </c>
      <c r="D2443" s="20" t="s">
        <v>3049</v>
      </c>
      <c r="E2443" t="s">
        <v>18</v>
      </c>
      <c r="F2443" t="s">
        <v>100</v>
      </c>
      <c r="G2443" t="s">
        <v>1533</v>
      </c>
      <c r="H2443" t="e">
        <v>#VALUE!</v>
      </c>
      <c r="I2443" t="e">
        <f t="shared" si="40"/>
        <v>#VALUE!</v>
      </c>
    </row>
    <row r="2444" spans="1:9">
      <c r="A2444" s="1">
        <v>42620.056944444441</v>
      </c>
      <c r="B2444" s="19">
        <v>42598</v>
      </c>
      <c r="C2444" s="21">
        <v>0.83125000000000004</v>
      </c>
      <c r="D2444" s="20" t="s">
        <v>3046</v>
      </c>
      <c r="E2444" t="s">
        <v>0</v>
      </c>
      <c r="F2444" t="s">
        <v>10</v>
      </c>
      <c r="G2444" t="s">
        <v>59</v>
      </c>
      <c r="H2444">
        <v>13</v>
      </c>
      <c r="I2444">
        <f t="shared" si="40"/>
        <v>17</v>
      </c>
    </row>
    <row r="2445" spans="1:9">
      <c r="A2445" s="1">
        <v>42620.052083333336</v>
      </c>
      <c r="B2445" s="19">
        <v>42598</v>
      </c>
      <c r="C2445" s="21">
        <v>0.6645833333333333</v>
      </c>
      <c r="D2445" s="20" t="s">
        <v>3042</v>
      </c>
      <c r="E2445" t="s">
        <v>0</v>
      </c>
      <c r="F2445" t="s">
        <v>10</v>
      </c>
      <c r="G2445" t="s">
        <v>59</v>
      </c>
      <c r="H2445">
        <v>13</v>
      </c>
      <c r="I2445">
        <f t="shared" si="40"/>
        <v>17</v>
      </c>
    </row>
    <row r="2446" spans="1:9">
      <c r="A2446" s="1">
        <v>42620.552083333336</v>
      </c>
      <c r="B2446" s="19">
        <v>42598</v>
      </c>
      <c r="C2446" s="21">
        <v>0.42916666666666664</v>
      </c>
      <c r="D2446" s="20" t="s">
        <v>3036</v>
      </c>
      <c r="E2446" t="s">
        <v>18</v>
      </c>
      <c r="F2446" t="s">
        <v>100</v>
      </c>
      <c r="G2446" t="s">
        <v>1535</v>
      </c>
      <c r="H2446">
        <v>19</v>
      </c>
      <c r="I2446">
        <f t="shared" si="40"/>
        <v>24</v>
      </c>
    </row>
    <row r="2447" spans="1:9">
      <c r="A2447" s="1">
        <v>42620.552083333336</v>
      </c>
      <c r="B2447" s="19">
        <v>42598</v>
      </c>
      <c r="C2447" s="21">
        <v>0.41666666666666669</v>
      </c>
      <c r="D2447" s="20" t="s">
        <v>3036</v>
      </c>
      <c r="E2447" t="s">
        <v>0</v>
      </c>
      <c r="G2447" t="s">
        <v>1536</v>
      </c>
      <c r="H2447">
        <v>25</v>
      </c>
      <c r="I2447">
        <f t="shared" si="40"/>
        <v>31</v>
      </c>
    </row>
    <row r="2448" spans="1:9">
      <c r="A2448" s="1">
        <v>42620.552083333336</v>
      </c>
      <c r="B2448" s="19">
        <v>42598</v>
      </c>
      <c r="C2448" s="21">
        <v>0.26666666666666666</v>
      </c>
      <c r="D2448" s="20" t="s">
        <v>3031</v>
      </c>
      <c r="E2448" t="s">
        <v>77</v>
      </c>
      <c r="G2448" t="s">
        <v>1537</v>
      </c>
      <c r="H2448" t="e">
        <v>#VALUE!</v>
      </c>
      <c r="I2448" t="e">
        <f t="shared" si="40"/>
        <v>#VALUE!</v>
      </c>
    </row>
    <row r="2449" spans="1:9">
      <c r="A2449" s="1">
        <v>42619.829861111109</v>
      </c>
      <c r="B2449" s="19">
        <v>42598</v>
      </c>
      <c r="C2449" s="21">
        <v>0.76597222222222228</v>
      </c>
      <c r="D2449" s="20" t="s">
        <v>3045</v>
      </c>
      <c r="E2449" t="s">
        <v>6</v>
      </c>
      <c r="F2449" t="s">
        <v>7</v>
      </c>
      <c r="G2449" t="s">
        <v>1534</v>
      </c>
      <c r="H2449" t="e">
        <v>#VALUE!</v>
      </c>
      <c r="I2449" t="e">
        <f t="shared" si="40"/>
        <v>#VALUE!</v>
      </c>
    </row>
    <row r="2450" spans="1:9">
      <c r="A2450" s="1">
        <v>42619.813194444447</v>
      </c>
      <c r="B2450" s="19">
        <v>42598</v>
      </c>
      <c r="C2450" s="21">
        <v>0.51041666666666663</v>
      </c>
      <c r="D2450" s="20" t="s">
        <v>3038</v>
      </c>
      <c r="E2450" t="s">
        <v>6</v>
      </c>
      <c r="F2450" t="s">
        <v>15</v>
      </c>
      <c r="G2450" t="s">
        <v>103</v>
      </c>
      <c r="H2450">
        <v>13</v>
      </c>
      <c r="I2450">
        <f t="shared" si="40"/>
        <v>17</v>
      </c>
    </row>
    <row r="2451" spans="1:9">
      <c r="A2451" s="1">
        <v>42619.654166666667</v>
      </c>
      <c r="B2451" s="19">
        <v>42599</v>
      </c>
      <c r="C2451" s="21">
        <v>0.91527777777777775</v>
      </c>
      <c r="D2451" s="20" t="s">
        <v>3048</v>
      </c>
      <c r="E2451" t="s">
        <v>18</v>
      </c>
      <c r="F2451" t="s">
        <v>100</v>
      </c>
      <c r="G2451" t="s">
        <v>1526</v>
      </c>
      <c r="H2451" t="e">
        <v>#VALUE!</v>
      </c>
      <c r="I2451" t="e">
        <f t="shared" si="40"/>
        <v>#VALUE!</v>
      </c>
    </row>
    <row r="2452" spans="1:9">
      <c r="A2452" s="1">
        <v>42619.582638888889</v>
      </c>
      <c r="B2452" s="19">
        <v>42599</v>
      </c>
      <c r="C2452" s="21">
        <v>0.83125000000000004</v>
      </c>
      <c r="D2452" s="20" t="s">
        <v>3046</v>
      </c>
      <c r="E2452" t="s">
        <v>0</v>
      </c>
      <c r="F2452" t="s">
        <v>10</v>
      </c>
      <c r="G2452" t="s">
        <v>59</v>
      </c>
      <c r="H2452">
        <v>13</v>
      </c>
      <c r="I2452">
        <f t="shared" si="40"/>
        <v>17</v>
      </c>
    </row>
    <row r="2453" spans="1:9">
      <c r="A2453" s="1">
        <v>42619.364583333336</v>
      </c>
      <c r="B2453" s="19">
        <v>42599</v>
      </c>
      <c r="C2453" s="21">
        <v>0.66527777777777775</v>
      </c>
      <c r="D2453" s="20" t="s">
        <v>3042</v>
      </c>
      <c r="E2453" t="s">
        <v>0</v>
      </c>
      <c r="F2453" t="s">
        <v>10</v>
      </c>
      <c r="G2453" t="s">
        <v>59</v>
      </c>
      <c r="H2453">
        <v>13</v>
      </c>
      <c r="I2453">
        <f t="shared" si="40"/>
        <v>17</v>
      </c>
    </row>
    <row r="2454" spans="1:9">
      <c r="A2454" s="1">
        <v>42619.234722222223</v>
      </c>
      <c r="B2454" s="19">
        <v>42599</v>
      </c>
      <c r="C2454" s="21">
        <v>0.62847222222222221</v>
      </c>
      <c r="D2454" s="20" t="s">
        <v>3042</v>
      </c>
      <c r="E2454" t="s">
        <v>18</v>
      </c>
      <c r="F2454" t="s">
        <v>71</v>
      </c>
      <c r="G2454" t="s">
        <v>585</v>
      </c>
      <c r="H2454">
        <v>19</v>
      </c>
      <c r="I2454">
        <f t="shared" si="40"/>
        <v>24</v>
      </c>
    </row>
    <row r="2455" spans="1:9">
      <c r="A2455" s="1">
        <v>42619.061111111114</v>
      </c>
      <c r="B2455" s="19">
        <v>42599</v>
      </c>
      <c r="C2455" s="21">
        <v>0.52430555555555558</v>
      </c>
      <c r="D2455" s="20" t="s">
        <v>3038</v>
      </c>
      <c r="H2455">
        <v>0</v>
      </c>
      <c r="I2455">
        <f t="shared" si="40"/>
        <v>0</v>
      </c>
    </row>
    <row r="2456" spans="1:9">
      <c r="A2456" s="1">
        <v>42619.84097222222</v>
      </c>
      <c r="B2456" s="19">
        <v>42599</v>
      </c>
      <c r="C2456" s="21">
        <v>0.5</v>
      </c>
      <c r="D2456" s="20" t="s">
        <v>3038</v>
      </c>
      <c r="E2456" t="s">
        <v>0</v>
      </c>
      <c r="F2456" t="s">
        <v>10</v>
      </c>
      <c r="G2456" t="s">
        <v>1529</v>
      </c>
      <c r="H2456">
        <v>13</v>
      </c>
      <c r="I2456">
        <f t="shared" si="40"/>
        <v>17</v>
      </c>
    </row>
    <row r="2457" spans="1:9">
      <c r="A2457" s="1">
        <v>42619.251388888886</v>
      </c>
      <c r="B2457" s="19">
        <v>42599</v>
      </c>
      <c r="C2457" s="21">
        <v>0.93125000000000002</v>
      </c>
      <c r="D2457" s="20" t="s">
        <v>3049</v>
      </c>
      <c r="E2457" t="s">
        <v>6</v>
      </c>
      <c r="F2457" t="s">
        <v>12</v>
      </c>
      <c r="G2457" t="s">
        <v>1525</v>
      </c>
      <c r="H2457">
        <v>3</v>
      </c>
      <c r="I2457">
        <f t="shared" si="40"/>
        <v>4</v>
      </c>
    </row>
    <row r="2458" spans="1:9">
      <c r="A2458" s="1">
        <v>42618.913888888892</v>
      </c>
      <c r="B2458" s="19">
        <v>42599</v>
      </c>
      <c r="C2458" s="21">
        <v>0.65486111111111112</v>
      </c>
      <c r="D2458" s="20" t="s">
        <v>3042</v>
      </c>
      <c r="E2458" t="s">
        <v>6</v>
      </c>
      <c r="F2458" t="s">
        <v>15</v>
      </c>
      <c r="G2458" t="s">
        <v>1527</v>
      </c>
      <c r="H2458" t="e">
        <v>#VALUE!</v>
      </c>
      <c r="I2458" t="e">
        <f t="shared" si="40"/>
        <v>#VALUE!</v>
      </c>
    </row>
    <row r="2459" spans="1:9">
      <c r="A2459" s="1">
        <v>42618.876388888886</v>
      </c>
      <c r="B2459" s="19">
        <v>42599</v>
      </c>
      <c r="C2459" s="21">
        <v>0.58888888888888891</v>
      </c>
      <c r="D2459" s="20" t="s">
        <v>3040</v>
      </c>
      <c r="E2459" t="s">
        <v>6</v>
      </c>
      <c r="F2459" t="s">
        <v>15</v>
      </c>
      <c r="G2459" t="s">
        <v>1528</v>
      </c>
      <c r="H2459">
        <v>44</v>
      </c>
      <c r="I2459">
        <f t="shared" si="40"/>
        <v>55</v>
      </c>
    </row>
    <row r="2460" spans="1:9">
      <c r="A2460" s="1">
        <v>42618.522916666669</v>
      </c>
      <c r="B2460" s="19">
        <v>42599</v>
      </c>
      <c r="C2460" s="21">
        <v>0.57430555555555551</v>
      </c>
      <c r="D2460" s="20" t="s">
        <v>3039</v>
      </c>
      <c r="E2460" t="s">
        <v>6</v>
      </c>
      <c r="F2460" t="s">
        <v>26</v>
      </c>
      <c r="G2460" t="s">
        <v>1111</v>
      </c>
      <c r="H2460">
        <v>13</v>
      </c>
      <c r="I2460">
        <f t="shared" si="40"/>
        <v>17</v>
      </c>
    </row>
    <row r="2461" spans="1:9">
      <c r="A2461" s="1">
        <v>42618.909722222219</v>
      </c>
      <c r="B2461" s="19">
        <v>42599</v>
      </c>
      <c r="C2461" s="21">
        <v>0.51041666666666663</v>
      </c>
      <c r="D2461" s="20" t="s">
        <v>3038</v>
      </c>
      <c r="E2461" t="s">
        <v>6</v>
      </c>
      <c r="F2461" t="s">
        <v>26</v>
      </c>
      <c r="G2461" t="s">
        <v>1111</v>
      </c>
      <c r="H2461">
        <v>9</v>
      </c>
      <c r="I2461">
        <f t="shared" si="40"/>
        <v>12</v>
      </c>
    </row>
    <row r="2462" spans="1:9">
      <c r="A2462" s="1">
        <v>42618.699305555558</v>
      </c>
      <c r="B2462" s="19">
        <v>42599</v>
      </c>
      <c r="C2462" s="21">
        <v>0.24930555555555556</v>
      </c>
      <c r="D2462" s="20" t="s">
        <v>3055</v>
      </c>
      <c r="E2462" t="s">
        <v>6</v>
      </c>
      <c r="F2462" t="s">
        <v>26</v>
      </c>
      <c r="G2462" t="s">
        <v>1530</v>
      </c>
      <c r="H2462" t="e">
        <v>#VALUE!</v>
      </c>
      <c r="I2462" t="e">
        <f t="shared" si="40"/>
        <v>#VALUE!</v>
      </c>
    </row>
    <row r="2463" spans="1:9">
      <c r="A2463" s="1">
        <v>42618.517361111109</v>
      </c>
      <c r="B2463" s="19">
        <v>42599</v>
      </c>
      <c r="C2463" s="21">
        <v>0.1125</v>
      </c>
      <c r="D2463" s="20" t="s">
        <v>3052</v>
      </c>
      <c r="E2463" t="s">
        <v>6</v>
      </c>
      <c r="F2463" t="s">
        <v>26</v>
      </c>
      <c r="G2463" t="s">
        <v>1531</v>
      </c>
      <c r="H2463" t="e">
        <v>#VALUE!</v>
      </c>
      <c r="I2463" t="e">
        <f t="shared" si="40"/>
        <v>#VALUE!</v>
      </c>
    </row>
    <row r="2464" spans="1:9">
      <c r="A2464" s="1">
        <v>42618.331944444442</v>
      </c>
      <c r="B2464" s="19">
        <v>42599</v>
      </c>
      <c r="C2464" s="21">
        <v>5.486111111111111E-2</v>
      </c>
      <c r="D2464" s="20" t="s">
        <v>3051</v>
      </c>
      <c r="E2464" t="s">
        <v>6</v>
      </c>
      <c r="F2464" t="s">
        <v>12</v>
      </c>
      <c r="G2464" t="s">
        <v>1532</v>
      </c>
      <c r="H2464">
        <v>3</v>
      </c>
      <c r="I2464">
        <f t="shared" si="40"/>
        <v>4</v>
      </c>
    </row>
    <row r="2465" spans="1:9">
      <c r="A2465" s="1">
        <v>42618.268055555556</v>
      </c>
      <c r="B2465" s="19">
        <v>42599</v>
      </c>
      <c r="C2465" s="21">
        <v>4.3749999999999997E-2</v>
      </c>
      <c r="D2465" s="20" t="s">
        <v>3051</v>
      </c>
      <c r="E2465" t="s">
        <v>6</v>
      </c>
      <c r="F2465" t="s">
        <v>12</v>
      </c>
      <c r="G2465" t="s">
        <v>1532</v>
      </c>
      <c r="H2465">
        <v>3</v>
      </c>
      <c r="I2465">
        <f t="shared" si="40"/>
        <v>4</v>
      </c>
    </row>
    <row r="2466" spans="1:9">
      <c r="A2466" s="1">
        <v>42615.682638888888</v>
      </c>
      <c r="B2466" s="19">
        <v>42600</v>
      </c>
      <c r="C2466" s="21">
        <v>0.99791666666666667</v>
      </c>
      <c r="D2466" s="20" t="s">
        <v>3063</v>
      </c>
      <c r="E2466" t="s">
        <v>0</v>
      </c>
      <c r="F2466" t="s">
        <v>10</v>
      </c>
      <c r="G2466" t="s">
        <v>64</v>
      </c>
      <c r="H2466">
        <v>13</v>
      </c>
      <c r="I2466">
        <f t="shared" si="40"/>
        <v>17</v>
      </c>
    </row>
    <row r="2467" spans="1:9">
      <c r="A2467" s="1">
        <v>42615.664583333331</v>
      </c>
      <c r="B2467" s="19">
        <v>42600</v>
      </c>
      <c r="C2467" s="21">
        <v>0.95277777777777772</v>
      </c>
      <c r="D2467" s="20" t="s">
        <v>3049</v>
      </c>
      <c r="E2467" t="s">
        <v>0</v>
      </c>
      <c r="F2467" t="s">
        <v>75</v>
      </c>
      <c r="G2467" t="s">
        <v>1515</v>
      </c>
      <c r="H2467">
        <v>2</v>
      </c>
      <c r="I2467">
        <f t="shared" si="40"/>
        <v>3</v>
      </c>
    </row>
    <row r="2468" spans="1:9">
      <c r="A2468" s="1">
        <v>42615.506249999999</v>
      </c>
      <c r="B2468" s="19">
        <v>42600</v>
      </c>
      <c r="C2468" s="21">
        <v>0.92569444444444449</v>
      </c>
      <c r="D2468" s="20" t="s">
        <v>3049</v>
      </c>
      <c r="E2468" t="s">
        <v>18</v>
      </c>
      <c r="F2468" t="s">
        <v>100</v>
      </c>
      <c r="H2468" t="e">
        <v>#VALUE!</v>
      </c>
      <c r="I2468" t="e">
        <f t="shared" si="40"/>
        <v>#VALUE!</v>
      </c>
    </row>
    <row r="2469" spans="1:9">
      <c r="A2469" s="1">
        <v>42615.417361111111</v>
      </c>
      <c r="B2469" s="19">
        <v>42600</v>
      </c>
      <c r="C2469" s="21">
        <v>0.84236111111111112</v>
      </c>
      <c r="D2469" s="20" t="s">
        <v>3047</v>
      </c>
      <c r="E2469" t="s">
        <v>0</v>
      </c>
      <c r="F2469" t="s">
        <v>10</v>
      </c>
      <c r="G2469" t="s">
        <v>59</v>
      </c>
      <c r="H2469">
        <v>13</v>
      </c>
      <c r="I2469">
        <f t="shared" si="40"/>
        <v>17</v>
      </c>
    </row>
    <row r="2470" spans="1:9">
      <c r="A2470" s="1">
        <v>42615.386111111111</v>
      </c>
      <c r="B2470" s="19">
        <v>42600</v>
      </c>
      <c r="C2470" s="21">
        <v>0.67361111111111116</v>
      </c>
      <c r="D2470" s="20" t="s">
        <v>3043</v>
      </c>
      <c r="E2470" t="s">
        <v>0</v>
      </c>
      <c r="F2470" t="s">
        <v>10</v>
      </c>
      <c r="G2470" t="s">
        <v>59</v>
      </c>
      <c r="H2470">
        <v>13</v>
      </c>
      <c r="I2470">
        <f t="shared" si="40"/>
        <v>17</v>
      </c>
    </row>
    <row r="2471" spans="1:9">
      <c r="A2471" s="1">
        <v>42615.715277777781</v>
      </c>
      <c r="B2471" s="19">
        <v>42600</v>
      </c>
      <c r="C2471" s="21">
        <v>0.49930555555555556</v>
      </c>
      <c r="D2471" s="20" t="s">
        <v>3037</v>
      </c>
      <c r="E2471" t="s">
        <v>0</v>
      </c>
      <c r="F2471" t="s">
        <v>10</v>
      </c>
      <c r="H2471">
        <v>13</v>
      </c>
      <c r="I2471">
        <f t="shared" si="40"/>
        <v>17</v>
      </c>
    </row>
    <row r="2472" spans="1:9">
      <c r="A2472" s="1">
        <v>42615.584027777775</v>
      </c>
      <c r="B2472" s="19">
        <v>42600</v>
      </c>
      <c r="C2472" s="21">
        <v>0.25277777777777777</v>
      </c>
      <c r="D2472" s="20" t="s">
        <v>3031</v>
      </c>
      <c r="E2472" t="s">
        <v>0</v>
      </c>
      <c r="F2472" t="s">
        <v>10</v>
      </c>
      <c r="G2472" t="s">
        <v>255</v>
      </c>
      <c r="H2472">
        <v>13</v>
      </c>
      <c r="I2472">
        <f t="shared" si="40"/>
        <v>17</v>
      </c>
    </row>
    <row r="2473" spans="1:9">
      <c r="A2473" s="1">
        <v>42615.009722222225</v>
      </c>
      <c r="B2473" s="19">
        <v>42600</v>
      </c>
      <c r="C2473" s="21">
        <v>0.89930555555555558</v>
      </c>
      <c r="D2473" s="20" t="s">
        <v>3048</v>
      </c>
      <c r="E2473" t="s">
        <v>6</v>
      </c>
      <c r="F2473" t="s">
        <v>12</v>
      </c>
      <c r="G2473" t="s">
        <v>1382</v>
      </c>
      <c r="H2473">
        <v>3</v>
      </c>
      <c r="I2473">
        <f t="shared" si="40"/>
        <v>4</v>
      </c>
    </row>
    <row r="2474" spans="1:9">
      <c r="A2474" s="1">
        <v>42614.973611111112</v>
      </c>
      <c r="B2474" s="19">
        <v>42600</v>
      </c>
      <c r="C2474" s="21">
        <v>0.86875000000000002</v>
      </c>
      <c r="D2474" s="20" t="s">
        <v>3047</v>
      </c>
      <c r="E2474" t="s">
        <v>6</v>
      </c>
      <c r="F2474" t="s">
        <v>12</v>
      </c>
      <c r="G2474" t="s">
        <v>1382</v>
      </c>
      <c r="H2474">
        <v>3</v>
      </c>
      <c r="I2474">
        <f t="shared" si="40"/>
        <v>4</v>
      </c>
    </row>
    <row r="2475" spans="1:9">
      <c r="A2475" s="1">
        <v>42614.900694444441</v>
      </c>
      <c r="B2475" s="19">
        <v>42600</v>
      </c>
      <c r="C2475" s="21">
        <v>0.85416666666666663</v>
      </c>
      <c r="D2475" s="20" t="s">
        <v>3047</v>
      </c>
      <c r="E2475" t="s">
        <v>6</v>
      </c>
      <c r="F2475" t="s">
        <v>12</v>
      </c>
      <c r="G2475" t="s">
        <v>1516</v>
      </c>
      <c r="H2475">
        <v>5</v>
      </c>
      <c r="I2475">
        <f t="shared" si="40"/>
        <v>7</v>
      </c>
    </row>
    <row r="2476" spans="1:9">
      <c r="A2476" s="1">
        <v>42614.900694444441</v>
      </c>
      <c r="B2476" s="19">
        <v>42600</v>
      </c>
      <c r="C2476" s="21">
        <v>0.80277777777777781</v>
      </c>
      <c r="D2476" s="20" t="s">
        <v>3046</v>
      </c>
      <c r="E2476" t="s">
        <v>6</v>
      </c>
      <c r="F2476" t="s">
        <v>15</v>
      </c>
      <c r="G2476" t="s">
        <v>1517</v>
      </c>
      <c r="H2476">
        <v>19</v>
      </c>
      <c r="I2476">
        <f t="shared" si="40"/>
        <v>24</v>
      </c>
    </row>
    <row r="2477" spans="1:9">
      <c r="A2477" s="1">
        <v>42614.897222222222</v>
      </c>
      <c r="B2477" s="19">
        <v>42600</v>
      </c>
      <c r="C2477" s="21">
        <v>0.75416666666666665</v>
      </c>
      <c r="D2477" s="20" t="s">
        <v>3045</v>
      </c>
      <c r="E2477" t="s">
        <v>2</v>
      </c>
      <c r="F2477" t="s">
        <v>56</v>
      </c>
      <c r="G2477" t="s">
        <v>1518</v>
      </c>
      <c r="H2477">
        <v>69</v>
      </c>
      <c r="I2477">
        <f t="shared" si="40"/>
        <v>86</v>
      </c>
    </row>
    <row r="2478" spans="1:9">
      <c r="A2478" s="1">
        <v>42614.897222222222</v>
      </c>
      <c r="B2478" s="19">
        <v>42600</v>
      </c>
      <c r="C2478" s="21">
        <v>0.68402777777777779</v>
      </c>
      <c r="D2478" s="20" t="s">
        <v>3043</v>
      </c>
      <c r="E2478" t="s">
        <v>6</v>
      </c>
      <c r="F2478" t="s">
        <v>26</v>
      </c>
      <c r="G2478" t="s">
        <v>1519</v>
      </c>
      <c r="H2478">
        <v>44</v>
      </c>
      <c r="I2478">
        <f t="shared" si="40"/>
        <v>55</v>
      </c>
    </row>
    <row r="2479" spans="1:9">
      <c r="A2479" s="1">
        <v>42614.652777777781</v>
      </c>
      <c r="B2479" s="19">
        <v>42600</v>
      </c>
      <c r="C2479" s="21">
        <v>0.60069444444444442</v>
      </c>
      <c r="D2479" s="20" t="s">
        <v>3040</v>
      </c>
      <c r="E2479" t="s">
        <v>6</v>
      </c>
      <c r="F2479" t="s">
        <v>15</v>
      </c>
      <c r="G2479" t="s">
        <v>1520</v>
      </c>
      <c r="H2479" t="e">
        <v>#VALUE!</v>
      </c>
      <c r="I2479" t="e">
        <f t="shared" si="40"/>
        <v>#VALUE!</v>
      </c>
    </row>
    <row r="2480" spans="1:9">
      <c r="A2480" s="1">
        <v>42614.652777777781</v>
      </c>
      <c r="B2480" s="19">
        <v>42600</v>
      </c>
      <c r="C2480" s="21">
        <v>0.59375</v>
      </c>
      <c r="D2480" s="20" t="s">
        <v>3040</v>
      </c>
      <c r="E2480" t="s">
        <v>6</v>
      </c>
      <c r="F2480" t="s">
        <v>15</v>
      </c>
      <c r="G2480" t="s">
        <v>1521</v>
      </c>
      <c r="H2480">
        <v>13</v>
      </c>
      <c r="I2480">
        <f t="shared" si="40"/>
        <v>17</v>
      </c>
    </row>
    <row r="2481" spans="1:9">
      <c r="A2481" s="1">
        <v>42614.582638888889</v>
      </c>
      <c r="B2481" s="19">
        <v>42600</v>
      </c>
      <c r="C2481" s="21">
        <v>0.58333333333333337</v>
      </c>
      <c r="D2481" s="20" t="s">
        <v>3040</v>
      </c>
      <c r="E2481" t="s">
        <v>6</v>
      </c>
      <c r="F2481" t="s">
        <v>15</v>
      </c>
      <c r="G2481" t="s">
        <v>1522</v>
      </c>
      <c r="H2481">
        <v>13</v>
      </c>
      <c r="I2481">
        <f t="shared" si="40"/>
        <v>17</v>
      </c>
    </row>
    <row r="2482" spans="1:9">
      <c r="A2482" s="1">
        <v>42614.582638888889</v>
      </c>
      <c r="B2482" s="19">
        <v>42600</v>
      </c>
      <c r="C2482" s="21">
        <v>0.57986111111111116</v>
      </c>
      <c r="D2482" s="20" t="s">
        <v>3039</v>
      </c>
      <c r="E2482" t="s">
        <v>6</v>
      </c>
      <c r="F2482" t="s">
        <v>26</v>
      </c>
      <c r="G2482" t="s">
        <v>103</v>
      </c>
      <c r="H2482">
        <v>9</v>
      </c>
      <c r="I2482">
        <f t="shared" si="40"/>
        <v>12</v>
      </c>
    </row>
    <row r="2483" spans="1:9">
      <c r="A2483" s="1">
        <v>42614.486111111109</v>
      </c>
      <c r="B2483" s="19">
        <v>42600</v>
      </c>
      <c r="C2483" s="21">
        <v>0.49027777777777776</v>
      </c>
      <c r="D2483" s="20" t="s">
        <v>3037</v>
      </c>
      <c r="E2483" t="s">
        <v>6</v>
      </c>
      <c r="F2483" t="s">
        <v>12</v>
      </c>
      <c r="G2483" t="s">
        <v>1523</v>
      </c>
      <c r="H2483">
        <v>8</v>
      </c>
      <c r="I2483">
        <f t="shared" si="40"/>
        <v>10</v>
      </c>
    </row>
    <row r="2484" spans="1:9">
      <c r="A2484" s="1">
        <v>42614.369444444441</v>
      </c>
      <c r="B2484" s="19">
        <v>42600</v>
      </c>
      <c r="C2484" s="21">
        <v>0.46180555555555558</v>
      </c>
      <c r="D2484" s="20" t="s">
        <v>3037</v>
      </c>
      <c r="E2484" t="s">
        <v>6</v>
      </c>
      <c r="F2484" t="s">
        <v>12</v>
      </c>
      <c r="G2484" t="s">
        <v>1524</v>
      </c>
      <c r="H2484">
        <v>13</v>
      </c>
      <c r="I2484">
        <f t="shared" si="40"/>
        <v>17</v>
      </c>
    </row>
    <row r="2485" spans="1:9">
      <c r="A2485" s="1">
        <v>42614.334027777775</v>
      </c>
      <c r="B2485" s="19">
        <v>42601</v>
      </c>
      <c r="C2485" s="21">
        <v>0.91597222222222219</v>
      </c>
      <c r="D2485" s="20" t="s">
        <v>3048</v>
      </c>
      <c r="E2485" t="s">
        <v>18</v>
      </c>
      <c r="F2485" t="s">
        <v>100</v>
      </c>
      <c r="H2485" t="e">
        <v>#VALUE!</v>
      </c>
      <c r="I2485" t="e">
        <f t="shared" si="40"/>
        <v>#VALUE!</v>
      </c>
    </row>
    <row r="2486" spans="1:9">
      <c r="A2486" s="1">
        <v>42614.620138888888</v>
      </c>
      <c r="B2486" s="19">
        <v>42601</v>
      </c>
      <c r="C2486" s="21">
        <v>0.84236111111111112</v>
      </c>
      <c r="D2486" s="20" t="s">
        <v>3047</v>
      </c>
      <c r="E2486" t="s">
        <v>0</v>
      </c>
      <c r="F2486" t="s">
        <v>10</v>
      </c>
      <c r="G2486" t="s">
        <v>59</v>
      </c>
      <c r="H2486">
        <v>13</v>
      </c>
      <c r="I2486">
        <f t="shared" si="40"/>
        <v>17</v>
      </c>
    </row>
    <row r="2487" spans="1:9">
      <c r="A2487" s="1">
        <v>42614.620138888888</v>
      </c>
      <c r="B2487" s="19">
        <v>42601</v>
      </c>
      <c r="C2487" s="21">
        <v>0.61805555555555558</v>
      </c>
      <c r="D2487" s="20" t="s">
        <v>3040</v>
      </c>
      <c r="E2487" t="s">
        <v>0</v>
      </c>
      <c r="G2487" t="s">
        <v>1497</v>
      </c>
      <c r="H2487" t="e">
        <v>#VALUE!</v>
      </c>
      <c r="I2487" t="e">
        <f t="shared" si="40"/>
        <v>#VALUE!</v>
      </c>
    </row>
    <row r="2488" spans="1:9">
      <c r="A2488" s="1">
        <v>42614.529861111114</v>
      </c>
      <c r="B2488" s="19">
        <v>42601</v>
      </c>
      <c r="C2488" s="21">
        <v>0.59791666666666665</v>
      </c>
      <c r="D2488" s="20" t="s">
        <v>3040</v>
      </c>
      <c r="E2488" t="s">
        <v>0</v>
      </c>
      <c r="G2488" t="s">
        <v>1498</v>
      </c>
      <c r="H2488" t="e">
        <v>#VALUE!</v>
      </c>
      <c r="I2488" t="e">
        <f t="shared" si="40"/>
        <v>#VALUE!</v>
      </c>
    </row>
    <row r="2489" spans="1:9">
      <c r="A2489" s="1">
        <v>42613.655555555553</v>
      </c>
      <c r="B2489" s="19">
        <v>42601</v>
      </c>
      <c r="C2489" s="21">
        <v>0.49930555555555556</v>
      </c>
      <c r="D2489" s="20" t="s">
        <v>3037</v>
      </c>
      <c r="E2489" t="s">
        <v>0</v>
      </c>
      <c r="F2489" t="s">
        <v>10</v>
      </c>
      <c r="G2489" t="s">
        <v>64</v>
      </c>
      <c r="H2489">
        <v>13</v>
      </c>
      <c r="I2489">
        <f t="shared" si="40"/>
        <v>17</v>
      </c>
    </row>
    <row r="2490" spans="1:9">
      <c r="A2490" s="1">
        <v>42613.626388888886</v>
      </c>
      <c r="B2490" s="19">
        <v>42601</v>
      </c>
      <c r="C2490" s="21">
        <v>0.4826388888888889</v>
      </c>
      <c r="D2490" s="20" t="s">
        <v>3037</v>
      </c>
      <c r="E2490" t="s">
        <v>0</v>
      </c>
      <c r="G2490" t="s">
        <v>1504</v>
      </c>
      <c r="H2490">
        <v>0</v>
      </c>
      <c r="I2490">
        <f t="shared" si="40"/>
        <v>0</v>
      </c>
    </row>
    <row r="2491" spans="1:9">
      <c r="A2491" s="1">
        <v>42613.581250000003</v>
      </c>
      <c r="B2491" s="19">
        <v>42601</v>
      </c>
      <c r="C2491" s="21">
        <v>0.91597222222222219</v>
      </c>
      <c r="D2491" s="20" t="s">
        <v>3048</v>
      </c>
      <c r="E2491" t="s">
        <v>6</v>
      </c>
      <c r="F2491" t="s">
        <v>15</v>
      </c>
      <c r="G2491" t="s">
        <v>1496</v>
      </c>
      <c r="H2491" t="e">
        <v>#VALUE!</v>
      </c>
      <c r="I2491" t="e">
        <f t="shared" si="40"/>
        <v>#VALUE!</v>
      </c>
    </row>
    <row r="2492" spans="1:9">
      <c r="A2492" s="1">
        <v>42613.332638888889</v>
      </c>
      <c r="B2492" s="19">
        <v>42601</v>
      </c>
      <c r="C2492" s="21">
        <v>0.8569444444444444</v>
      </c>
      <c r="D2492" s="20" t="s">
        <v>3047</v>
      </c>
      <c r="E2492" t="s">
        <v>6</v>
      </c>
      <c r="F2492" t="s">
        <v>12</v>
      </c>
      <c r="G2492" t="s">
        <v>1382</v>
      </c>
      <c r="H2492">
        <v>4</v>
      </c>
      <c r="I2492">
        <f t="shared" si="40"/>
        <v>5</v>
      </c>
    </row>
    <row r="2493" spans="1:9">
      <c r="A2493" s="1">
        <v>42613.325694444444</v>
      </c>
      <c r="B2493" s="19">
        <v>42601</v>
      </c>
      <c r="C2493" s="21">
        <v>0.6118055555555556</v>
      </c>
      <c r="D2493" s="20" t="s">
        <v>3040</v>
      </c>
      <c r="E2493" t="s">
        <v>6</v>
      </c>
      <c r="F2493" t="s">
        <v>12</v>
      </c>
      <c r="G2493" t="s">
        <v>1382</v>
      </c>
      <c r="H2493">
        <v>4</v>
      </c>
      <c r="I2493">
        <f t="shared" si="40"/>
        <v>5</v>
      </c>
    </row>
    <row r="2494" spans="1:9">
      <c r="A2494" s="1">
        <v>42613.249305555553</v>
      </c>
      <c r="B2494" s="19">
        <v>42601</v>
      </c>
      <c r="C2494" s="21">
        <v>0.58680555555555558</v>
      </c>
      <c r="D2494" s="20" t="s">
        <v>3040</v>
      </c>
      <c r="E2494" t="s">
        <v>2</v>
      </c>
      <c r="F2494" t="s">
        <v>48</v>
      </c>
      <c r="G2494" t="s">
        <v>1499</v>
      </c>
      <c r="H2494">
        <v>20</v>
      </c>
      <c r="I2494">
        <f t="shared" si="40"/>
        <v>25</v>
      </c>
    </row>
    <row r="2495" spans="1:9">
      <c r="A2495" s="1">
        <v>42613.05972222222</v>
      </c>
      <c r="B2495" s="19">
        <v>42601</v>
      </c>
      <c r="C2495" s="21">
        <v>0.5708333333333333</v>
      </c>
      <c r="D2495" s="20" t="s">
        <v>3039</v>
      </c>
      <c r="E2495" t="s">
        <v>2</v>
      </c>
      <c r="F2495" t="s">
        <v>48</v>
      </c>
      <c r="G2495" t="s">
        <v>1500</v>
      </c>
      <c r="H2495">
        <v>25</v>
      </c>
      <c r="I2495">
        <f t="shared" si="40"/>
        <v>31</v>
      </c>
    </row>
    <row r="2496" spans="1:9">
      <c r="A2496" s="1">
        <v>42613.791666666664</v>
      </c>
      <c r="B2496" s="19">
        <v>42601</v>
      </c>
      <c r="C2496" s="21">
        <v>0.55277777777777781</v>
      </c>
      <c r="D2496" s="20" t="s">
        <v>3039</v>
      </c>
      <c r="E2496" t="s">
        <v>6</v>
      </c>
      <c r="F2496" t="s">
        <v>46</v>
      </c>
      <c r="G2496" t="s">
        <v>1501</v>
      </c>
      <c r="H2496">
        <v>22</v>
      </c>
      <c r="I2496">
        <f t="shared" si="40"/>
        <v>28</v>
      </c>
    </row>
    <row r="2497" spans="1:9">
      <c r="A2497" s="1">
        <v>42613.708333333336</v>
      </c>
      <c r="B2497" s="19">
        <v>42601</v>
      </c>
      <c r="C2497" s="21">
        <v>0.52152777777777781</v>
      </c>
      <c r="D2497" s="20" t="s">
        <v>3038</v>
      </c>
      <c r="E2497" t="s">
        <v>6</v>
      </c>
      <c r="F2497" t="s">
        <v>7</v>
      </c>
      <c r="G2497" t="s">
        <v>1502</v>
      </c>
      <c r="H2497">
        <v>62</v>
      </c>
      <c r="I2497">
        <f t="shared" si="40"/>
        <v>77</v>
      </c>
    </row>
    <row r="2498" spans="1:9">
      <c r="A2498" s="1">
        <v>42613.584027777775</v>
      </c>
      <c r="B2498" s="19">
        <v>42601</v>
      </c>
      <c r="C2498" s="21">
        <v>0.51527777777777772</v>
      </c>
      <c r="D2498" s="20" t="s">
        <v>3038</v>
      </c>
      <c r="E2498" t="s">
        <v>2</v>
      </c>
      <c r="F2498" t="s">
        <v>48</v>
      </c>
      <c r="G2498" t="s">
        <v>1503</v>
      </c>
      <c r="H2498">
        <v>18</v>
      </c>
      <c r="I2498">
        <f t="shared" si="40"/>
        <v>23</v>
      </c>
    </row>
    <row r="2499" spans="1:9">
      <c r="A2499" s="1">
        <v>42613.063194444447</v>
      </c>
      <c r="B2499" s="19">
        <v>42601</v>
      </c>
      <c r="C2499" s="21">
        <v>0.44305555555555554</v>
      </c>
      <c r="D2499" s="20" t="s">
        <v>3036</v>
      </c>
      <c r="E2499" t="s">
        <v>6</v>
      </c>
      <c r="F2499" t="s">
        <v>26</v>
      </c>
      <c r="G2499" t="s">
        <v>1505</v>
      </c>
      <c r="H2499">
        <v>75</v>
      </c>
      <c r="I2499">
        <f t="shared" ref="I2499:I2562" si="41">ROUNDUP((H2499*1.24), 0)</f>
        <v>93</v>
      </c>
    </row>
    <row r="2500" spans="1:9">
      <c r="A2500" s="1">
        <v>42612.609722222223</v>
      </c>
      <c r="B2500" s="19">
        <v>42601</v>
      </c>
      <c r="C2500" s="21">
        <v>0.39027777777777778</v>
      </c>
      <c r="D2500" s="20" t="s">
        <v>3035</v>
      </c>
      <c r="E2500" t="s">
        <v>6</v>
      </c>
      <c r="F2500" t="s">
        <v>15</v>
      </c>
      <c r="G2500" t="s">
        <v>1506</v>
      </c>
      <c r="H2500" t="e">
        <v>#VALUE!</v>
      </c>
      <c r="I2500" t="e">
        <f t="shared" si="41"/>
        <v>#VALUE!</v>
      </c>
    </row>
    <row r="2501" spans="1:9">
      <c r="A2501" s="1">
        <v>42612.306250000001</v>
      </c>
      <c r="B2501" s="19">
        <v>42601</v>
      </c>
      <c r="C2501" s="21">
        <v>0.32500000000000001</v>
      </c>
      <c r="D2501" s="20" t="s">
        <v>3033</v>
      </c>
      <c r="E2501" t="s">
        <v>2</v>
      </c>
      <c r="F2501" t="s">
        <v>48</v>
      </c>
      <c r="G2501" t="s">
        <v>1507</v>
      </c>
      <c r="H2501" t="e">
        <v>#VALUE!</v>
      </c>
      <c r="I2501" t="e">
        <f t="shared" si="41"/>
        <v>#VALUE!</v>
      </c>
    </row>
    <row r="2502" spans="1:9">
      <c r="A2502" s="1">
        <v>42612.915972222225</v>
      </c>
      <c r="B2502" s="19">
        <v>42601</v>
      </c>
      <c r="C2502" s="21">
        <v>0.26805555555555555</v>
      </c>
      <c r="D2502" s="20" t="s">
        <v>3031</v>
      </c>
      <c r="E2502" t="s">
        <v>6</v>
      </c>
      <c r="F2502" t="s">
        <v>15</v>
      </c>
      <c r="G2502" t="s">
        <v>1508</v>
      </c>
      <c r="H2502" t="e">
        <v>#VALUE!</v>
      </c>
      <c r="I2502" t="e">
        <f t="shared" si="41"/>
        <v>#VALUE!</v>
      </c>
    </row>
    <row r="2503" spans="1:9" ht="57.6">
      <c r="A2503" s="1">
        <v>42612.614583333336</v>
      </c>
      <c r="B2503" s="19">
        <v>42601</v>
      </c>
      <c r="C2503" s="21">
        <v>0.25277777777777777</v>
      </c>
      <c r="D2503" s="20" t="s">
        <v>3031</v>
      </c>
      <c r="E2503" t="s">
        <v>6</v>
      </c>
      <c r="F2503" t="s">
        <v>21</v>
      </c>
      <c r="G2503" s="2" t="s">
        <v>1509</v>
      </c>
      <c r="H2503">
        <v>38</v>
      </c>
      <c r="I2503">
        <f t="shared" si="41"/>
        <v>48</v>
      </c>
    </row>
    <row r="2504" spans="1:9">
      <c r="A2504" s="1">
        <v>42612.609722222223</v>
      </c>
      <c r="B2504" s="19">
        <v>42601</v>
      </c>
      <c r="C2504" s="21">
        <v>0.12152777777777778</v>
      </c>
      <c r="D2504" s="20" t="s">
        <v>3052</v>
      </c>
      <c r="E2504" t="s">
        <v>6</v>
      </c>
      <c r="F2504" t="s">
        <v>21</v>
      </c>
      <c r="G2504" t="s">
        <v>1510</v>
      </c>
      <c r="H2504" t="e">
        <v>#VALUE!</v>
      </c>
      <c r="I2504" t="e">
        <f t="shared" si="41"/>
        <v>#VALUE!</v>
      </c>
    </row>
    <row r="2505" spans="1:9">
      <c r="A2505" s="1">
        <v>42612.609027777777</v>
      </c>
      <c r="B2505" s="19">
        <v>42601</v>
      </c>
      <c r="C2505" s="21">
        <v>0.11874999999999999</v>
      </c>
      <c r="D2505" s="20" t="s">
        <v>3052</v>
      </c>
      <c r="E2505" t="s">
        <v>6</v>
      </c>
      <c r="F2505" t="s">
        <v>15</v>
      </c>
      <c r="G2505" t="s">
        <v>1511</v>
      </c>
      <c r="H2505">
        <v>39</v>
      </c>
      <c r="I2505">
        <f t="shared" si="41"/>
        <v>49</v>
      </c>
    </row>
    <row r="2506" spans="1:9">
      <c r="A2506" s="1">
        <v>42612.60833333333</v>
      </c>
      <c r="B2506" s="19">
        <v>42601</v>
      </c>
      <c r="C2506" s="21">
        <v>0.10069444444444445</v>
      </c>
      <c r="D2506" s="20" t="s">
        <v>3052</v>
      </c>
      <c r="E2506" t="s">
        <v>2</v>
      </c>
      <c r="F2506" t="s">
        <v>5</v>
      </c>
      <c r="G2506" t="s">
        <v>1512</v>
      </c>
      <c r="H2506">
        <v>18</v>
      </c>
      <c r="I2506">
        <f t="shared" si="41"/>
        <v>23</v>
      </c>
    </row>
    <row r="2507" spans="1:9">
      <c r="A2507" s="1">
        <v>42612.584027777775</v>
      </c>
      <c r="B2507" s="19">
        <v>42601</v>
      </c>
      <c r="C2507" s="21">
        <v>8.819444444444445E-2</v>
      </c>
      <c r="D2507" s="20" t="s">
        <v>3052</v>
      </c>
      <c r="E2507" t="s">
        <v>6</v>
      </c>
      <c r="F2507" t="s">
        <v>15</v>
      </c>
      <c r="G2507" t="s">
        <v>1513</v>
      </c>
      <c r="H2507">
        <v>13</v>
      </c>
      <c r="I2507">
        <f t="shared" si="41"/>
        <v>17</v>
      </c>
    </row>
    <row r="2508" spans="1:9">
      <c r="A2508" s="1">
        <v>42612.423611111109</v>
      </c>
      <c r="B2508" s="19">
        <v>42601</v>
      </c>
      <c r="C2508" s="21">
        <v>2.5694444444444443E-2</v>
      </c>
      <c r="D2508" s="20" t="s">
        <v>3050</v>
      </c>
      <c r="E2508" t="s">
        <v>2</v>
      </c>
      <c r="F2508" t="s">
        <v>3</v>
      </c>
      <c r="G2508" t="s">
        <v>1514</v>
      </c>
      <c r="H2508">
        <v>25</v>
      </c>
      <c r="I2508">
        <f t="shared" si="41"/>
        <v>31</v>
      </c>
    </row>
    <row r="2509" spans="1:9">
      <c r="A2509" s="1">
        <v>42612.347916666666</v>
      </c>
      <c r="B2509" s="19">
        <v>42602</v>
      </c>
      <c r="C2509" s="21">
        <v>0.17708333333333334</v>
      </c>
      <c r="D2509" s="20" t="s">
        <v>3054</v>
      </c>
      <c r="E2509" t="s">
        <v>2</v>
      </c>
      <c r="F2509" t="s">
        <v>5</v>
      </c>
      <c r="G2509" t="s">
        <v>1494</v>
      </c>
      <c r="H2509">
        <v>13</v>
      </c>
      <c r="I2509">
        <f t="shared" si="41"/>
        <v>17</v>
      </c>
    </row>
    <row r="2510" spans="1:9">
      <c r="A2510" s="1">
        <v>42612.345138888886</v>
      </c>
      <c r="B2510" s="19">
        <v>42602</v>
      </c>
      <c r="C2510" s="21">
        <v>0.16319444444444445</v>
      </c>
      <c r="D2510" s="20" t="s">
        <v>3053</v>
      </c>
      <c r="E2510" t="s">
        <v>6</v>
      </c>
      <c r="F2510" t="s">
        <v>26</v>
      </c>
      <c r="G2510" t="s">
        <v>1495</v>
      </c>
      <c r="H2510">
        <v>25</v>
      </c>
      <c r="I2510">
        <f t="shared" si="41"/>
        <v>31</v>
      </c>
    </row>
    <row r="2511" spans="1:9">
      <c r="A2511" s="1">
        <v>42612.336805555555</v>
      </c>
      <c r="B2511" s="19">
        <v>42604</v>
      </c>
      <c r="C2511" s="21">
        <v>0.63958333333333328</v>
      </c>
      <c r="D2511" s="20" t="s">
        <v>3042</v>
      </c>
      <c r="E2511" t="s">
        <v>33</v>
      </c>
      <c r="F2511" t="s">
        <v>34</v>
      </c>
      <c r="G2511" t="s">
        <v>1486</v>
      </c>
      <c r="H2511">
        <v>38</v>
      </c>
      <c r="I2511">
        <f t="shared" si="41"/>
        <v>48</v>
      </c>
    </row>
    <row r="2512" spans="1:9">
      <c r="A2512" s="1">
        <v>42612.314583333333</v>
      </c>
      <c r="B2512" s="19">
        <v>42604</v>
      </c>
      <c r="C2512" s="21">
        <v>0.62777777777777777</v>
      </c>
      <c r="D2512" s="20" t="s">
        <v>3042</v>
      </c>
      <c r="E2512" t="s">
        <v>33</v>
      </c>
      <c r="F2512" t="s">
        <v>155</v>
      </c>
      <c r="G2512" t="s">
        <v>1487</v>
      </c>
      <c r="H2512">
        <v>13</v>
      </c>
      <c r="I2512">
        <f t="shared" si="41"/>
        <v>17</v>
      </c>
    </row>
    <row r="2513" spans="1:9">
      <c r="A2513" s="1">
        <v>42612.290972222225</v>
      </c>
      <c r="B2513" s="19">
        <v>42604</v>
      </c>
      <c r="C2513" s="21">
        <v>0.61875000000000002</v>
      </c>
      <c r="D2513" s="20" t="s">
        <v>3040</v>
      </c>
      <c r="E2513" t="s">
        <v>18</v>
      </c>
      <c r="F2513" t="s">
        <v>100</v>
      </c>
      <c r="H2513" t="e">
        <v>#VALUE!</v>
      </c>
      <c r="I2513" t="e">
        <f t="shared" si="41"/>
        <v>#VALUE!</v>
      </c>
    </row>
    <row r="2514" spans="1:9">
      <c r="A2514" s="1">
        <v>42612.263194444444</v>
      </c>
      <c r="B2514" s="19">
        <v>42604</v>
      </c>
      <c r="C2514" s="21">
        <v>0.59930555555555554</v>
      </c>
      <c r="D2514" s="20" t="s">
        <v>3040</v>
      </c>
      <c r="E2514" t="s">
        <v>0</v>
      </c>
      <c r="G2514" t="s">
        <v>1489</v>
      </c>
      <c r="H2514">
        <v>25</v>
      </c>
      <c r="I2514">
        <f t="shared" si="41"/>
        <v>31</v>
      </c>
    </row>
    <row r="2515" spans="1:9">
      <c r="A2515" s="1">
        <v>42612.25277777778</v>
      </c>
      <c r="B2515" s="19">
        <v>42604</v>
      </c>
      <c r="C2515" s="21">
        <v>0.38750000000000001</v>
      </c>
      <c r="D2515" s="20" t="s">
        <v>3035</v>
      </c>
      <c r="E2515" t="s">
        <v>77</v>
      </c>
      <c r="F2515" t="s">
        <v>78</v>
      </c>
      <c r="G2515" t="s">
        <v>1493</v>
      </c>
      <c r="H2515">
        <v>5</v>
      </c>
      <c r="I2515">
        <f t="shared" si="41"/>
        <v>7</v>
      </c>
    </row>
    <row r="2516" spans="1:9">
      <c r="A2516" s="1">
        <v>42612.250694444447</v>
      </c>
      <c r="B2516" s="19">
        <v>42604</v>
      </c>
      <c r="C2516" s="21">
        <v>0.25694444444444442</v>
      </c>
      <c r="D2516" s="20" t="s">
        <v>3031</v>
      </c>
      <c r="E2516" t="s">
        <v>0</v>
      </c>
      <c r="F2516" t="s">
        <v>15</v>
      </c>
      <c r="G2516" t="s">
        <v>104</v>
      </c>
      <c r="H2516" t="e">
        <v>#VALUE!</v>
      </c>
      <c r="I2516" t="e">
        <f t="shared" si="41"/>
        <v>#VALUE!</v>
      </c>
    </row>
    <row r="2517" spans="1:9">
      <c r="A2517" s="1">
        <v>42612.223611111112</v>
      </c>
      <c r="B2517" s="19">
        <v>42604</v>
      </c>
      <c r="C2517" s="21">
        <v>0.93611111111111112</v>
      </c>
      <c r="D2517" s="20" t="s">
        <v>3049</v>
      </c>
      <c r="E2517" t="s">
        <v>6</v>
      </c>
      <c r="F2517" t="s">
        <v>15</v>
      </c>
      <c r="H2517">
        <v>10</v>
      </c>
      <c r="I2517">
        <f t="shared" si="41"/>
        <v>13</v>
      </c>
    </row>
    <row r="2518" spans="1:9">
      <c r="A2518" s="1">
        <v>42612.220833333333</v>
      </c>
      <c r="B2518" s="19">
        <v>42604</v>
      </c>
      <c r="C2518" s="21">
        <v>0.91805555555555551</v>
      </c>
      <c r="D2518" s="20" t="s">
        <v>3049</v>
      </c>
      <c r="E2518" t="s">
        <v>6</v>
      </c>
      <c r="F2518" t="s">
        <v>26</v>
      </c>
      <c r="G2518" t="s">
        <v>417</v>
      </c>
      <c r="H2518">
        <v>8</v>
      </c>
      <c r="I2518">
        <f t="shared" si="41"/>
        <v>10</v>
      </c>
    </row>
    <row r="2519" spans="1:9">
      <c r="A2519" s="1">
        <v>42612.200694444444</v>
      </c>
      <c r="B2519" s="19">
        <v>42604</v>
      </c>
      <c r="C2519" s="21">
        <v>0.63055555555555554</v>
      </c>
      <c r="D2519" s="20" t="s">
        <v>3042</v>
      </c>
      <c r="E2519" t="s">
        <v>2</v>
      </c>
      <c r="F2519" t="s">
        <v>48</v>
      </c>
      <c r="H2519">
        <v>7</v>
      </c>
      <c r="I2519">
        <f t="shared" si="41"/>
        <v>9</v>
      </c>
    </row>
    <row r="2520" spans="1:9">
      <c r="A2520" s="1">
        <v>42612.121527777781</v>
      </c>
      <c r="B2520" s="19">
        <v>42604</v>
      </c>
      <c r="C2520" s="21">
        <v>0.60486111111111107</v>
      </c>
      <c r="D2520" s="20" t="s">
        <v>3040</v>
      </c>
      <c r="E2520" t="s">
        <v>6</v>
      </c>
      <c r="F2520" t="s">
        <v>15</v>
      </c>
      <c r="G2520" t="s">
        <v>1488</v>
      </c>
      <c r="H2520" t="e">
        <v>#VALUE!</v>
      </c>
      <c r="I2520" t="e">
        <f t="shared" si="41"/>
        <v>#VALUE!</v>
      </c>
    </row>
    <row r="2521" spans="1:9">
      <c r="A2521" s="1">
        <v>42612.118055555555</v>
      </c>
      <c r="B2521" s="19">
        <v>42604</v>
      </c>
      <c r="C2521" s="21">
        <v>0.6</v>
      </c>
      <c r="D2521" s="20" t="s">
        <v>3040</v>
      </c>
      <c r="E2521" t="s">
        <v>2</v>
      </c>
      <c r="F2521" t="s">
        <v>48</v>
      </c>
      <c r="H2521">
        <v>9</v>
      </c>
      <c r="I2521">
        <f t="shared" si="41"/>
        <v>12</v>
      </c>
    </row>
    <row r="2522" spans="1:9">
      <c r="A2522" s="1">
        <v>42612.111111111109</v>
      </c>
      <c r="B2522" s="19">
        <v>42604</v>
      </c>
      <c r="C2522" s="21">
        <v>0.55694444444444446</v>
      </c>
      <c r="D2522" s="20" t="s">
        <v>3039</v>
      </c>
      <c r="E2522" t="s">
        <v>2</v>
      </c>
      <c r="F2522" t="s">
        <v>48</v>
      </c>
      <c r="G2522" t="s">
        <v>1490</v>
      </c>
      <c r="H2522">
        <v>13</v>
      </c>
      <c r="I2522">
        <f t="shared" si="41"/>
        <v>17</v>
      </c>
    </row>
    <row r="2523" spans="1:9">
      <c r="A2523" s="1">
        <v>42612.023611111108</v>
      </c>
      <c r="B2523" s="19">
        <v>42604</v>
      </c>
      <c r="C2523" s="21">
        <v>0.54097222222222219</v>
      </c>
      <c r="D2523" s="20" t="s">
        <v>3038</v>
      </c>
      <c r="E2523" t="s">
        <v>6</v>
      </c>
      <c r="F2523" t="s">
        <v>26</v>
      </c>
      <c r="G2523" t="s">
        <v>1491</v>
      </c>
      <c r="H2523">
        <v>13</v>
      </c>
      <c r="I2523">
        <f t="shared" si="41"/>
        <v>17</v>
      </c>
    </row>
    <row r="2524" spans="1:9">
      <c r="A2524" s="1">
        <v>42611.59097222222</v>
      </c>
      <c r="B2524" s="19">
        <v>42604</v>
      </c>
      <c r="C2524" s="21">
        <v>0.38750000000000001</v>
      </c>
      <c r="D2524" s="20" t="s">
        <v>3035</v>
      </c>
      <c r="E2524" t="s">
        <v>2</v>
      </c>
      <c r="F2524" t="s">
        <v>48</v>
      </c>
      <c r="G2524" t="s">
        <v>1492</v>
      </c>
      <c r="H2524" t="e">
        <v>#VALUE!</v>
      </c>
      <c r="I2524" t="e">
        <f t="shared" si="41"/>
        <v>#VALUE!</v>
      </c>
    </row>
    <row r="2525" spans="1:9">
      <c r="A2525" s="1">
        <v>42611.37222222222</v>
      </c>
      <c r="B2525" s="19">
        <v>42605</v>
      </c>
      <c r="C2525" s="21">
        <v>0.58263888888888893</v>
      </c>
      <c r="D2525" s="20" t="s">
        <v>3039</v>
      </c>
      <c r="E2525" t="s">
        <v>18</v>
      </c>
      <c r="F2525" t="s">
        <v>100</v>
      </c>
      <c r="H2525" t="e">
        <v>#VALUE!</v>
      </c>
      <c r="I2525" t="e">
        <f t="shared" si="41"/>
        <v>#VALUE!</v>
      </c>
    </row>
    <row r="2526" spans="1:9">
      <c r="A2526" s="1">
        <v>42611.27847222222</v>
      </c>
      <c r="B2526" s="19">
        <v>42605</v>
      </c>
      <c r="C2526" s="21">
        <v>0.55625000000000002</v>
      </c>
      <c r="D2526" s="20" t="s">
        <v>3039</v>
      </c>
      <c r="E2526" t="s">
        <v>77</v>
      </c>
      <c r="G2526" t="s">
        <v>1478</v>
      </c>
      <c r="H2526">
        <v>5</v>
      </c>
      <c r="I2526">
        <f t="shared" si="41"/>
        <v>7</v>
      </c>
    </row>
    <row r="2527" spans="1:9">
      <c r="A2527" s="1">
        <v>42611.972916666666</v>
      </c>
      <c r="B2527" s="19">
        <v>42605</v>
      </c>
      <c r="C2527" s="21">
        <v>0.54652777777777772</v>
      </c>
      <c r="D2527" s="20" t="s">
        <v>3039</v>
      </c>
      <c r="E2527" t="s">
        <v>0</v>
      </c>
      <c r="G2527" t="s">
        <v>1479</v>
      </c>
      <c r="H2527">
        <v>9</v>
      </c>
      <c r="I2527">
        <f t="shared" si="41"/>
        <v>12</v>
      </c>
    </row>
    <row r="2528" spans="1:9">
      <c r="A2528" s="1">
        <v>42611.967361111114</v>
      </c>
      <c r="B2528" s="19">
        <v>42605</v>
      </c>
      <c r="C2528" s="21">
        <v>0.49236111111111114</v>
      </c>
      <c r="D2528" s="20" t="s">
        <v>3037</v>
      </c>
      <c r="E2528" t="s">
        <v>77</v>
      </c>
      <c r="F2528" t="s">
        <v>159</v>
      </c>
      <c r="G2528" t="s">
        <v>1481</v>
      </c>
      <c r="H2528" t="e">
        <v>#VALUE!</v>
      </c>
      <c r="I2528" t="e">
        <f t="shared" si="41"/>
        <v>#VALUE!</v>
      </c>
    </row>
    <row r="2529" spans="1:9">
      <c r="A2529" s="1">
        <v>42611.917361111111</v>
      </c>
      <c r="B2529" s="19">
        <v>42605</v>
      </c>
      <c r="C2529" s="21">
        <v>0.29722222222222222</v>
      </c>
      <c r="D2529" s="20" t="s">
        <v>3033</v>
      </c>
      <c r="E2529" t="s">
        <v>0</v>
      </c>
      <c r="G2529" t="s">
        <v>1482</v>
      </c>
      <c r="H2529" t="e">
        <v>#VALUE!</v>
      </c>
      <c r="I2529" t="e">
        <f t="shared" si="41"/>
        <v>#VALUE!</v>
      </c>
    </row>
    <row r="2530" spans="1:9">
      <c r="A2530" s="1">
        <v>42611.651388888888</v>
      </c>
      <c r="B2530" s="19">
        <v>42605</v>
      </c>
      <c r="C2530" s="21">
        <v>0.25694444444444442</v>
      </c>
      <c r="D2530" s="20" t="s">
        <v>3031</v>
      </c>
      <c r="E2530" t="s">
        <v>0</v>
      </c>
      <c r="G2530" t="s">
        <v>264</v>
      </c>
      <c r="H2530" t="e">
        <v>#VALUE!</v>
      </c>
      <c r="I2530" t="e">
        <f t="shared" si="41"/>
        <v>#VALUE!</v>
      </c>
    </row>
    <row r="2531" spans="1:9">
      <c r="A2531" s="1">
        <v>42611.632638888892</v>
      </c>
      <c r="B2531" s="19">
        <v>42605</v>
      </c>
      <c r="C2531" s="21">
        <v>0.23958333333333334</v>
      </c>
      <c r="D2531" s="20" t="s">
        <v>3055</v>
      </c>
      <c r="E2531" t="s">
        <v>0</v>
      </c>
      <c r="G2531" t="s">
        <v>1483</v>
      </c>
      <c r="H2531" t="e">
        <v>#VALUE!</v>
      </c>
      <c r="I2531" t="e">
        <f t="shared" si="41"/>
        <v>#VALUE!</v>
      </c>
    </row>
    <row r="2532" spans="1:9">
      <c r="A2532" s="1">
        <v>42611.522222222222</v>
      </c>
      <c r="B2532" s="19">
        <v>42605</v>
      </c>
      <c r="C2532" s="21">
        <v>0.92291666666666672</v>
      </c>
      <c r="D2532" s="20" t="s">
        <v>3049</v>
      </c>
      <c r="E2532" t="s">
        <v>6</v>
      </c>
      <c r="F2532" t="s">
        <v>15</v>
      </c>
      <c r="G2532" t="s">
        <v>1474</v>
      </c>
      <c r="H2532" t="e">
        <v>#VALUE!</v>
      </c>
      <c r="I2532" t="e">
        <f t="shared" si="41"/>
        <v>#VALUE!</v>
      </c>
    </row>
    <row r="2533" spans="1:9">
      <c r="A2533" s="1">
        <v>42611.322916666664</v>
      </c>
      <c r="B2533" s="19">
        <v>42605</v>
      </c>
      <c r="C2533" s="21">
        <v>0.58333333333333337</v>
      </c>
      <c r="D2533" s="20" t="s">
        <v>3040</v>
      </c>
      <c r="E2533" t="s">
        <v>6</v>
      </c>
      <c r="F2533" t="s">
        <v>89</v>
      </c>
      <c r="G2533" t="s">
        <v>1475</v>
      </c>
      <c r="H2533">
        <v>44</v>
      </c>
      <c r="I2533">
        <f t="shared" si="41"/>
        <v>55</v>
      </c>
    </row>
    <row r="2534" spans="1:9">
      <c r="A2534" s="1">
        <v>42611.246527777781</v>
      </c>
      <c r="B2534" s="19">
        <v>42605</v>
      </c>
      <c r="C2534" s="21">
        <v>0.58263888888888893</v>
      </c>
      <c r="D2534" s="20" t="s">
        <v>3039</v>
      </c>
      <c r="E2534" t="s">
        <v>6</v>
      </c>
      <c r="F2534" t="s">
        <v>15</v>
      </c>
      <c r="G2534" t="s">
        <v>104</v>
      </c>
      <c r="H2534" t="e">
        <v>#VALUE!</v>
      </c>
      <c r="I2534" t="e">
        <f t="shared" si="41"/>
        <v>#VALUE!</v>
      </c>
    </row>
    <row r="2535" spans="1:9">
      <c r="A2535" s="1">
        <v>42611.239583333336</v>
      </c>
      <c r="B2535" s="19">
        <v>42605</v>
      </c>
      <c r="C2535" s="21">
        <v>0.56736111111111109</v>
      </c>
      <c r="D2535" s="20" t="s">
        <v>3039</v>
      </c>
      <c r="E2535" t="s">
        <v>6</v>
      </c>
      <c r="G2535" t="s">
        <v>1476</v>
      </c>
      <c r="H2535">
        <v>29</v>
      </c>
      <c r="I2535">
        <f t="shared" si="41"/>
        <v>36</v>
      </c>
    </row>
    <row r="2536" spans="1:9">
      <c r="A2536" s="1">
        <v>42611.238888888889</v>
      </c>
      <c r="B2536" s="19">
        <v>42605</v>
      </c>
      <c r="C2536" s="21">
        <v>0.56319444444444444</v>
      </c>
      <c r="D2536" s="20" t="s">
        <v>3039</v>
      </c>
      <c r="E2536" t="s">
        <v>6</v>
      </c>
      <c r="G2536" t="s">
        <v>1477</v>
      </c>
      <c r="H2536">
        <v>5</v>
      </c>
      <c r="I2536">
        <f t="shared" si="41"/>
        <v>7</v>
      </c>
    </row>
    <row r="2537" spans="1:9">
      <c r="A2537" s="1">
        <v>42608.586111111108</v>
      </c>
      <c r="B2537" s="19">
        <v>42605</v>
      </c>
      <c r="C2537" s="21">
        <v>0.54583333333333328</v>
      </c>
      <c r="D2537" s="20" t="s">
        <v>3039</v>
      </c>
      <c r="E2537" t="s">
        <v>6</v>
      </c>
      <c r="F2537" t="s">
        <v>7</v>
      </c>
      <c r="G2537" t="s">
        <v>1480</v>
      </c>
      <c r="H2537">
        <v>25</v>
      </c>
      <c r="I2537">
        <f t="shared" si="41"/>
        <v>31</v>
      </c>
    </row>
    <row r="2538" spans="1:9">
      <c r="A2538" s="1">
        <v>42608.586111111108</v>
      </c>
      <c r="B2538" s="19">
        <v>42605</v>
      </c>
      <c r="C2538" s="21">
        <v>0.35347222222222224</v>
      </c>
      <c r="D2538" s="20" t="s">
        <v>3034</v>
      </c>
      <c r="E2538" t="s">
        <v>6</v>
      </c>
      <c r="F2538" t="s">
        <v>12</v>
      </c>
      <c r="G2538" t="s">
        <v>1382</v>
      </c>
      <c r="H2538">
        <v>3</v>
      </c>
      <c r="I2538">
        <f t="shared" si="41"/>
        <v>4</v>
      </c>
    </row>
    <row r="2539" spans="1:9">
      <c r="A2539" s="1">
        <v>42608.25277777778</v>
      </c>
      <c r="B2539" s="19">
        <v>42605</v>
      </c>
      <c r="C2539" s="21">
        <v>0.21041666666666667</v>
      </c>
      <c r="D2539" s="20" t="s">
        <v>3055</v>
      </c>
      <c r="E2539" t="s">
        <v>6</v>
      </c>
      <c r="F2539" t="s">
        <v>12</v>
      </c>
      <c r="G2539" t="s">
        <v>65</v>
      </c>
      <c r="H2539">
        <v>7</v>
      </c>
      <c r="I2539">
        <f t="shared" si="41"/>
        <v>9</v>
      </c>
    </row>
    <row r="2540" spans="1:9">
      <c r="A2540" s="1">
        <v>42608.214583333334</v>
      </c>
      <c r="B2540" s="19">
        <v>42605</v>
      </c>
      <c r="C2540" s="21">
        <v>0.2013888888888889</v>
      </c>
      <c r="D2540" s="20" t="s">
        <v>3054</v>
      </c>
      <c r="E2540" t="s">
        <v>6</v>
      </c>
      <c r="F2540" t="s">
        <v>21</v>
      </c>
      <c r="G2540" t="s">
        <v>1484</v>
      </c>
      <c r="H2540">
        <v>8</v>
      </c>
      <c r="I2540">
        <f t="shared" si="41"/>
        <v>10</v>
      </c>
    </row>
    <row r="2541" spans="1:9">
      <c r="A2541" s="1">
        <v>42608.000694444447</v>
      </c>
      <c r="B2541" s="19">
        <v>42605</v>
      </c>
      <c r="C2541" s="21">
        <v>0.15625</v>
      </c>
      <c r="D2541" s="20" t="s">
        <v>3053</v>
      </c>
      <c r="E2541" t="s">
        <v>6</v>
      </c>
      <c r="F2541" t="s">
        <v>21</v>
      </c>
      <c r="G2541" t="s">
        <v>1485</v>
      </c>
      <c r="H2541">
        <v>25</v>
      </c>
      <c r="I2541">
        <f t="shared" si="41"/>
        <v>31</v>
      </c>
    </row>
    <row r="2542" spans="1:9">
      <c r="A2542" s="1">
        <v>42607.670138888891</v>
      </c>
      <c r="B2542" s="19">
        <v>42606</v>
      </c>
      <c r="C2542" s="21">
        <v>0.91527777777777775</v>
      </c>
      <c r="D2542" s="20" t="s">
        <v>3048</v>
      </c>
      <c r="E2542" t="s">
        <v>6</v>
      </c>
      <c r="F2542" t="s">
        <v>7</v>
      </c>
      <c r="G2542" t="s">
        <v>1470</v>
      </c>
      <c r="H2542" t="e">
        <v>#VALUE!</v>
      </c>
      <c r="I2542" t="e">
        <f t="shared" si="41"/>
        <v>#VALUE!</v>
      </c>
    </row>
    <row r="2543" spans="1:9">
      <c r="A2543" s="1">
        <v>42607.925000000003</v>
      </c>
      <c r="B2543" s="19">
        <v>42606</v>
      </c>
      <c r="C2543" s="21">
        <v>0.58958333333333335</v>
      </c>
      <c r="D2543" s="20" t="s">
        <v>3040</v>
      </c>
      <c r="E2543" t="s">
        <v>2</v>
      </c>
      <c r="F2543" t="s">
        <v>5</v>
      </c>
      <c r="H2543" t="e">
        <v>#VALUE!</v>
      </c>
      <c r="I2543" t="e">
        <f t="shared" si="41"/>
        <v>#VALUE!</v>
      </c>
    </row>
    <row r="2544" spans="1:9">
      <c r="A2544" s="1">
        <v>42607.790972222225</v>
      </c>
      <c r="B2544" s="19">
        <v>42606</v>
      </c>
      <c r="C2544" s="21">
        <v>0.5854166666666667</v>
      </c>
      <c r="D2544" s="20" t="s">
        <v>3040</v>
      </c>
      <c r="E2544" t="s">
        <v>6</v>
      </c>
      <c r="F2544" t="s">
        <v>7</v>
      </c>
      <c r="G2544" t="s">
        <v>249</v>
      </c>
      <c r="H2544" t="e">
        <v>#VALUE!</v>
      </c>
      <c r="I2544" t="e">
        <f t="shared" si="41"/>
        <v>#VALUE!</v>
      </c>
    </row>
    <row r="2545" spans="1:9">
      <c r="A2545" s="1">
        <v>42607.585416666669</v>
      </c>
      <c r="B2545" s="19">
        <v>42606</v>
      </c>
      <c r="C2545" s="21">
        <v>0.46388888888888891</v>
      </c>
      <c r="D2545" s="20" t="s">
        <v>3037</v>
      </c>
      <c r="E2545" t="s">
        <v>6</v>
      </c>
      <c r="F2545" t="s">
        <v>26</v>
      </c>
      <c r="G2545" t="s">
        <v>1471</v>
      </c>
      <c r="H2545">
        <v>13</v>
      </c>
      <c r="I2545">
        <f t="shared" si="41"/>
        <v>17</v>
      </c>
    </row>
    <row r="2546" spans="1:9">
      <c r="A2546" s="1">
        <v>42607.252083333333</v>
      </c>
      <c r="B2546" s="19">
        <v>42606</v>
      </c>
      <c r="C2546" s="21">
        <v>0.46041666666666664</v>
      </c>
      <c r="D2546" s="20" t="s">
        <v>3037</v>
      </c>
      <c r="E2546" t="s">
        <v>2</v>
      </c>
      <c r="F2546" t="s">
        <v>56</v>
      </c>
      <c r="G2546" t="s">
        <v>513</v>
      </c>
      <c r="H2546">
        <v>50</v>
      </c>
      <c r="I2546">
        <f t="shared" si="41"/>
        <v>62</v>
      </c>
    </row>
    <row r="2547" spans="1:9">
      <c r="A2547" s="1">
        <v>42607.208333333336</v>
      </c>
      <c r="B2547" s="19">
        <v>42606</v>
      </c>
      <c r="C2547" s="21">
        <v>0.2590277777777778</v>
      </c>
      <c r="D2547" s="20" t="s">
        <v>3031</v>
      </c>
      <c r="E2547" t="s">
        <v>6</v>
      </c>
      <c r="F2547" t="s">
        <v>7</v>
      </c>
      <c r="G2547" t="s">
        <v>1472</v>
      </c>
      <c r="H2547" t="e">
        <v>#VALUE!</v>
      </c>
      <c r="I2547" t="e">
        <f t="shared" si="41"/>
        <v>#VALUE!</v>
      </c>
    </row>
    <row r="2548" spans="1:9">
      <c r="A2548" s="1">
        <v>42606.915277777778</v>
      </c>
      <c r="B2548" s="19">
        <v>42606</v>
      </c>
      <c r="C2548" s="21">
        <v>4.8611111111111112E-3</v>
      </c>
      <c r="D2548" s="20" t="s">
        <v>3050</v>
      </c>
      <c r="E2548" t="s">
        <v>6</v>
      </c>
      <c r="F2548" t="s">
        <v>7</v>
      </c>
      <c r="G2548" t="s">
        <v>1473</v>
      </c>
      <c r="H2548" t="e">
        <v>#VALUE!</v>
      </c>
      <c r="I2548" t="e">
        <f t="shared" si="41"/>
        <v>#VALUE!</v>
      </c>
    </row>
    <row r="2549" spans="1:9">
      <c r="A2549" s="1">
        <v>42606.589583333334</v>
      </c>
      <c r="B2549" s="19">
        <v>42607</v>
      </c>
      <c r="C2549" s="21">
        <v>0.67013888888888884</v>
      </c>
      <c r="D2549" s="20" t="s">
        <v>3043</v>
      </c>
      <c r="E2549" t="s">
        <v>0</v>
      </c>
      <c r="F2549" t="s">
        <v>1</v>
      </c>
      <c r="H2549">
        <v>13</v>
      </c>
      <c r="I2549">
        <f t="shared" si="41"/>
        <v>17</v>
      </c>
    </row>
    <row r="2550" spans="1:9">
      <c r="A2550" s="1">
        <v>42606.585416666669</v>
      </c>
      <c r="B2550" s="19">
        <v>42607</v>
      </c>
      <c r="C2550" s="21">
        <v>0.92500000000000004</v>
      </c>
      <c r="D2550" s="20" t="s">
        <v>3049</v>
      </c>
      <c r="E2550" t="s">
        <v>6</v>
      </c>
      <c r="F2550" t="s">
        <v>15</v>
      </c>
      <c r="G2550" t="s">
        <v>1456</v>
      </c>
      <c r="H2550" t="e">
        <v>#VALUE!</v>
      </c>
      <c r="I2550" t="e">
        <f t="shared" si="41"/>
        <v>#VALUE!</v>
      </c>
    </row>
    <row r="2551" spans="1:9">
      <c r="A2551" s="1">
        <v>42606.463888888888</v>
      </c>
      <c r="B2551" s="19">
        <v>42607</v>
      </c>
      <c r="C2551" s="21">
        <v>0.79097222222222219</v>
      </c>
      <c r="D2551" s="20" t="s">
        <v>3045</v>
      </c>
      <c r="E2551" t="s">
        <v>6</v>
      </c>
      <c r="F2551" t="s">
        <v>15</v>
      </c>
      <c r="G2551" t="s">
        <v>1467</v>
      </c>
      <c r="H2551" t="e">
        <v>#VALUE!</v>
      </c>
      <c r="I2551" t="e">
        <f t="shared" si="41"/>
        <v>#VALUE!</v>
      </c>
    </row>
    <row r="2552" spans="1:9">
      <c r="A2552" s="1">
        <v>42606.460416666669</v>
      </c>
      <c r="B2552" s="19">
        <v>42607</v>
      </c>
      <c r="C2552" s="21">
        <v>0.5854166666666667</v>
      </c>
      <c r="D2552" s="20" t="s">
        <v>3040</v>
      </c>
      <c r="E2552" t="s">
        <v>6</v>
      </c>
      <c r="F2552" t="s">
        <v>7</v>
      </c>
      <c r="G2552" t="s">
        <v>1468</v>
      </c>
      <c r="H2552" t="e">
        <v>#VALUE!</v>
      </c>
      <c r="I2552" t="e">
        <f t="shared" si="41"/>
        <v>#VALUE!</v>
      </c>
    </row>
    <row r="2553" spans="1:9">
      <c r="A2553" s="1">
        <v>42606.259027777778</v>
      </c>
      <c r="B2553" s="19">
        <v>42607</v>
      </c>
      <c r="C2553" s="21">
        <v>0.25208333333333333</v>
      </c>
      <c r="D2553" s="20" t="s">
        <v>3031</v>
      </c>
      <c r="E2553" t="s">
        <v>6</v>
      </c>
      <c r="F2553" t="s">
        <v>7</v>
      </c>
      <c r="G2553" t="s">
        <v>1469</v>
      </c>
      <c r="H2553" t="e">
        <v>#VALUE!</v>
      </c>
      <c r="I2553" t="e">
        <f t="shared" si="41"/>
        <v>#VALUE!</v>
      </c>
    </row>
    <row r="2554" spans="1:9">
      <c r="A2554" s="1">
        <v>42606.004861111112</v>
      </c>
      <c r="B2554" s="19">
        <v>42607</v>
      </c>
      <c r="C2554" s="21">
        <v>0.20833333333333334</v>
      </c>
      <c r="D2554" s="20" t="s">
        <v>3055</v>
      </c>
      <c r="E2554" t="s">
        <v>6</v>
      </c>
      <c r="F2554" t="s">
        <v>7</v>
      </c>
      <c r="H2554" t="e">
        <v>#VALUE!</v>
      </c>
      <c r="I2554" t="e">
        <f t="shared" si="41"/>
        <v>#VALUE!</v>
      </c>
    </row>
    <row r="2555" spans="1:9">
      <c r="A2555" s="1">
        <v>42605.582638888889</v>
      </c>
      <c r="B2555" s="19">
        <v>42608</v>
      </c>
      <c r="C2555" s="21">
        <v>0.58611111111111114</v>
      </c>
      <c r="D2555" s="20" t="s">
        <v>3040</v>
      </c>
      <c r="E2555" t="s">
        <v>2</v>
      </c>
      <c r="F2555" t="s">
        <v>5</v>
      </c>
      <c r="G2555" t="s">
        <v>1462</v>
      </c>
      <c r="H2555" t="e">
        <v>#VALUE!</v>
      </c>
      <c r="I2555" t="e">
        <f t="shared" si="41"/>
        <v>#VALUE!</v>
      </c>
    </row>
    <row r="2556" spans="1:9">
      <c r="A2556" s="1">
        <v>42605.556250000001</v>
      </c>
      <c r="B2556" s="19">
        <v>42608</v>
      </c>
      <c r="C2556" s="21">
        <v>0.58611111111111114</v>
      </c>
      <c r="D2556" s="20" t="s">
        <v>3040</v>
      </c>
      <c r="E2556" t="s">
        <v>6</v>
      </c>
      <c r="G2556" t="s">
        <v>1463</v>
      </c>
      <c r="H2556" t="e">
        <v>#VALUE!</v>
      </c>
      <c r="I2556" t="e">
        <f t="shared" si="41"/>
        <v>#VALUE!</v>
      </c>
    </row>
    <row r="2557" spans="1:9">
      <c r="A2557" s="1">
        <v>42605.546527777777</v>
      </c>
      <c r="B2557" s="19">
        <v>42608</v>
      </c>
      <c r="C2557" s="21">
        <v>0.25277777777777777</v>
      </c>
      <c r="D2557" s="20" t="s">
        <v>3031</v>
      </c>
      <c r="E2557" t="s">
        <v>6</v>
      </c>
      <c r="F2557" t="s">
        <v>7</v>
      </c>
      <c r="G2557" t="s">
        <v>1464</v>
      </c>
      <c r="H2557" t="e">
        <v>#VALUE!</v>
      </c>
      <c r="I2557" t="e">
        <f t="shared" si="41"/>
        <v>#VALUE!</v>
      </c>
    </row>
    <row r="2558" spans="1:9">
      <c r="A2558" s="1">
        <v>42605.492361111108</v>
      </c>
      <c r="B2558" s="19">
        <v>42608</v>
      </c>
      <c r="C2558" s="21">
        <v>0.21458333333333332</v>
      </c>
      <c r="D2558" s="20" t="s">
        <v>3055</v>
      </c>
      <c r="E2558" t="s">
        <v>6</v>
      </c>
      <c r="F2558" t="s">
        <v>7</v>
      </c>
      <c r="G2558" t="s">
        <v>1465</v>
      </c>
      <c r="H2558">
        <v>62</v>
      </c>
      <c r="I2558">
        <f t="shared" si="41"/>
        <v>77</v>
      </c>
    </row>
    <row r="2559" spans="1:9">
      <c r="A2559" s="1">
        <v>42605.297222222223</v>
      </c>
      <c r="B2559" s="19">
        <v>42608</v>
      </c>
      <c r="C2559" s="21">
        <v>6.9444444444444447E-4</v>
      </c>
      <c r="D2559" s="20" t="s">
        <v>3050</v>
      </c>
      <c r="E2559" t="s">
        <v>6</v>
      </c>
      <c r="F2559" t="s">
        <v>21</v>
      </c>
      <c r="G2559" t="s">
        <v>1466</v>
      </c>
      <c r="H2559">
        <v>10</v>
      </c>
      <c r="I2559">
        <f t="shared" si="41"/>
        <v>13</v>
      </c>
    </row>
    <row r="2560" spans="1:9">
      <c r="A2560" s="1">
        <v>42605.256944444445</v>
      </c>
      <c r="B2560" s="19">
        <v>42611</v>
      </c>
      <c r="C2560" s="21">
        <v>0.59097222222222223</v>
      </c>
      <c r="D2560" s="20" t="s">
        <v>3040</v>
      </c>
      <c r="E2560" t="s">
        <v>0</v>
      </c>
      <c r="G2560" t="s">
        <v>1456</v>
      </c>
      <c r="H2560" t="e">
        <v>#VALUE!</v>
      </c>
      <c r="I2560" t="e">
        <f t="shared" si="41"/>
        <v>#VALUE!</v>
      </c>
    </row>
    <row r="2561" spans="1:9">
      <c r="A2561" s="1">
        <v>42605.239583333336</v>
      </c>
      <c r="B2561" s="19">
        <v>42611</v>
      </c>
      <c r="C2561" s="21">
        <v>0.37222222222222223</v>
      </c>
      <c r="D2561" s="20" t="s">
        <v>3034</v>
      </c>
      <c r="E2561" t="s">
        <v>18</v>
      </c>
      <c r="F2561" t="s">
        <v>100</v>
      </c>
      <c r="G2561" t="s">
        <v>1457</v>
      </c>
      <c r="H2561" t="e">
        <v>#VALUE!</v>
      </c>
      <c r="I2561" t="e">
        <f t="shared" si="41"/>
        <v>#VALUE!</v>
      </c>
    </row>
    <row r="2562" spans="1:9">
      <c r="A2562" s="1">
        <v>42605.92291666667</v>
      </c>
      <c r="B2562" s="19">
        <v>42611</v>
      </c>
      <c r="C2562" s="21">
        <v>0.27847222222222223</v>
      </c>
      <c r="D2562" s="20" t="s">
        <v>3031</v>
      </c>
      <c r="E2562" t="s">
        <v>0</v>
      </c>
      <c r="G2562" t="s">
        <v>1459</v>
      </c>
      <c r="H2562" t="e">
        <v>#VALUE!</v>
      </c>
      <c r="I2562" t="e">
        <f t="shared" si="41"/>
        <v>#VALUE!</v>
      </c>
    </row>
    <row r="2563" spans="1:9">
      <c r="A2563" s="1">
        <v>42605.583333333336</v>
      </c>
      <c r="B2563" s="19">
        <v>42611</v>
      </c>
      <c r="C2563" s="21">
        <v>0.97291666666666665</v>
      </c>
      <c r="D2563" s="20" t="s">
        <v>3063</v>
      </c>
      <c r="E2563" t="s">
        <v>2</v>
      </c>
      <c r="F2563" t="s">
        <v>5</v>
      </c>
      <c r="G2563" t="s">
        <v>1453</v>
      </c>
      <c r="H2563">
        <v>12</v>
      </c>
      <c r="I2563">
        <f t="shared" ref="I2563:I2626" si="42">ROUNDUP((H2563*1.24), 0)</f>
        <v>15</v>
      </c>
    </row>
    <row r="2564" spans="1:9">
      <c r="A2564" s="1">
        <v>42605.582638888889</v>
      </c>
      <c r="B2564" s="19">
        <v>42611</v>
      </c>
      <c r="C2564" s="21">
        <v>0.96736111111111112</v>
      </c>
      <c r="D2564" s="20" t="s">
        <v>3063</v>
      </c>
      <c r="E2564" t="s">
        <v>6</v>
      </c>
      <c r="F2564" t="s">
        <v>21</v>
      </c>
      <c r="G2564" t="s">
        <v>1454</v>
      </c>
      <c r="H2564">
        <v>10</v>
      </c>
      <c r="I2564">
        <f t="shared" si="42"/>
        <v>13</v>
      </c>
    </row>
    <row r="2565" spans="1:9">
      <c r="A2565" s="1">
        <v>42605.567361111112</v>
      </c>
      <c r="B2565" s="19">
        <v>42611</v>
      </c>
      <c r="C2565" s="21">
        <v>0.91736111111111107</v>
      </c>
      <c r="D2565" s="20" t="s">
        <v>3049</v>
      </c>
      <c r="E2565" t="s">
        <v>6</v>
      </c>
      <c r="F2565" t="s">
        <v>15</v>
      </c>
      <c r="G2565" t="s">
        <v>1440</v>
      </c>
      <c r="H2565" t="e">
        <v>#VALUE!</v>
      </c>
      <c r="I2565" t="e">
        <f t="shared" si="42"/>
        <v>#VALUE!</v>
      </c>
    </row>
    <row r="2566" spans="1:9">
      <c r="A2566" s="1">
        <v>42605.563194444447</v>
      </c>
      <c r="B2566" s="19">
        <v>42611</v>
      </c>
      <c r="C2566" s="21">
        <v>0.65138888888888891</v>
      </c>
      <c r="D2566" s="20" t="s">
        <v>3042</v>
      </c>
      <c r="E2566" t="s">
        <v>6</v>
      </c>
      <c r="F2566" t="s">
        <v>21</v>
      </c>
      <c r="G2566" t="s">
        <v>1455</v>
      </c>
      <c r="H2566">
        <v>12</v>
      </c>
      <c r="I2566">
        <f t="shared" si="42"/>
        <v>15</v>
      </c>
    </row>
    <row r="2567" spans="1:9">
      <c r="A2567" s="1">
        <v>42605.54583333333</v>
      </c>
      <c r="B2567" s="19">
        <v>42611</v>
      </c>
      <c r="C2567" s="21">
        <v>0.63263888888888886</v>
      </c>
      <c r="D2567" s="20" t="s">
        <v>3042</v>
      </c>
      <c r="E2567" t="s">
        <v>6</v>
      </c>
      <c r="F2567" t="s">
        <v>21</v>
      </c>
      <c r="G2567" t="s">
        <v>83</v>
      </c>
      <c r="H2567">
        <v>7</v>
      </c>
      <c r="I2567">
        <f t="shared" si="42"/>
        <v>9</v>
      </c>
    </row>
    <row r="2568" spans="1:9">
      <c r="A2568" s="1">
        <v>42605.353472222225</v>
      </c>
      <c r="B2568" s="19">
        <v>42611</v>
      </c>
      <c r="C2568" s="21">
        <v>0.52222222222222225</v>
      </c>
      <c r="D2568" s="20" t="s">
        <v>3038</v>
      </c>
      <c r="E2568" t="s">
        <v>6</v>
      </c>
      <c r="F2568" t="s">
        <v>21</v>
      </c>
      <c r="G2568" t="s">
        <v>1172</v>
      </c>
      <c r="H2568" t="e">
        <v>#VALUE!</v>
      </c>
      <c r="I2568" t="e">
        <f t="shared" si="42"/>
        <v>#VALUE!</v>
      </c>
    </row>
    <row r="2569" spans="1:9">
      <c r="A2569" s="1">
        <v>42605.210416666669</v>
      </c>
      <c r="B2569" s="19">
        <v>42611</v>
      </c>
      <c r="C2569" s="21">
        <v>0.32291666666666669</v>
      </c>
      <c r="D2569" s="20" t="s">
        <v>3033</v>
      </c>
      <c r="E2569" t="s">
        <v>2</v>
      </c>
      <c r="F2569" t="s">
        <v>5</v>
      </c>
      <c r="G2569" t="s">
        <v>1458</v>
      </c>
      <c r="H2569" t="e">
        <v>#VALUE!</v>
      </c>
      <c r="I2569" t="e">
        <f t="shared" si="42"/>
        <v>#VALUE!</v>
      </c>
    </row>
    <row r="2570" spans="1:9">
      <c r="A2570" s="1">
        <v>42605.201388888891</v>
      </c>
      <c r="B2570" s="19">
        <v>42611</v>
      </c>
      <c r="C2570" s="21">
        <v>0.24652777777777779</v>
      </c>
      <c r="D2570" s="20" t="s">
        <v>3055</v>
      </c>
      <c r="E2570" t="s">
        <v>6</v>
      </c>
      <c r="F2570" t="s">
        <v>21</v>
      </c>
      <c r="G2570" t="s">
        <v>103</v>
      </c>
      <c r="H2570">
        <v>13</v>
      </c>
      <c r="I2570">
        <f t="shared" si="42"/>
        <v>17</v>
      </c>
    </row>
    <row r="2571" spans="1:9">
      <c r="A2571" s="1">
        <v>42605.15625</v>
      </c>
      <c r="B2571" s="19">
        <v>42611</v>
      </c>
      <c r="C2571" s="21">
        <v>0.23958333333333334</v>
      </c>
      <c r="D2571" s="20" t="s">
        <v>3055</v>
      </c>
      <c r="E2571" t="s">
        <v>6</v>
      </c>
      <c r="F2571" t="s">
        <v>15</v>
      </c>
      <c r="G2571" t="s">
        <v>1460</v>
      </c>
      <c r="H2571" t="e">
        <v>#VALUE!</v>
      </c>
      <c r="I2571" t="e">
        <f t="shared" si="42"/>
        <v>#VALUE!</v>
      </c>
    </row>
    <row r="2572" spans="1:9">
      <c r="A2572" s="1">
        <v>42604.63958333333</v>
      </c>
      <c r="B2572" s="19">
        <v>42611</v>
      </c>
      <c r="C2572" s="21">
        <v>0.2388888888888889</v>
      </c>
      <c r="D2572" s="20" t="s">
        <v>3055</v>
      </c>
      <c r="E2572" t="s">
        <v>6</v>
      </c>
      <c r="F2572" t="s">
        <v>7</v>
      </c>
      <c r="G2572" t="s">
        <v>1461</v>
      </c>
      <c r="H2572" t="e">
        <v>#VALUE!</v>
      </c>
      <c r="I2572" t="e">
        <f t="shared" si="42"/>
        <v>#VALUE!</v>
      </c>
    </row>
    <row r="2573" spans="1:9">
      <c r="A2573" s="1">
        <v>42604.62777777778</v>
      </c>
      <c r="B2573" s="19">
        <v>42612</v>
      </c>
      <c r="C2573" s="21">
        <v>0.60972222222222228</v>
      </c>
      <c r="D2573" s="20" t="s">
        <v>3040</v>
      </c>
      <c r="E2573" t="s">
        <v>18</v>
      </c>
      <c r="F2573" t="s">
        <v>100</v>
      </c>
      <c r="G2573" t="s">
        <v>1441</v>
      </c>
      <c r="H2573">
        <v>10</v>
      </c>
      <c r="I2573">
        <f t="shared" si="42"/>
        <v>13</v>
      </c>
    </row>
    <row r="2574" spans="1:9">
      <c r="A2574" s="1">
        <v>42604.618750000001</v>
      </c>
      <c r="B2574" s="19">
        <v>42612</v>
      </c>
      <c r="C2574" s="21">
        <v>0.30625000000000002</v>
      </c>
      <c r="D2574" s="20" t="s">
        <v>3033</v>
      </c>
      <c r="E2574" t="s">
        <v>33</v>
      </c>
      <c r="F2574" t="s">
        <v>155</v>
      </c>
      <c r="G2574" t="s">
        <v>1447</v>
      </c>
      <c r="H2574">
        <v>3</v>
      </c>
      <c r="I2574">
        <f t="shared" si="42"/>
        <v>4</v>
      </c>
    </row>
    <row r="2575" spans="1:9">
      <c r="A2575" s="1">
        <v>42604.599305555559</v>
      </c>
      <c r="B2575" s="19">
        <v>42612</v>
      </c>
      <c r="C2575" s="21">
        <v>0.91597222222222219</v>
      </c>
      <c r="D2575" s="20" t="s">
        <v>3048</v>
      </c>
      <c r="E2575" t="s">
        <v>6</v>
      </c>
      <c r="F2575" t="s">
        <v>15</v>
      </c>
      <c r="G2575" t="s">
        <v>1440</v>
      </c>
      <c r="H2575" t="e">
        <v>#VALUE!</v>
      </c>
      <c r="I2575" t="e">
        <f t="shared" si="42"/>
        <v>#VALUE!</v>
      </c>
    </row>
    <row r="2576" spans="1:9">
      <c r="A2576" s="1">
        <v>42604.387499999997</v>
      </c>
      <c r="B2576" s="19">
        <v>42612</v>
      </c>
      <c r="C2576" s="21">
        <v>0.61458333333333337</v>
      </c>
      <c r="D2576" s="20" t="s">
        <v>3040</v>
      </c>
      <c r="E2576" t="s">
        <v>6</v>
      </c>
      <c r="F2576" t="s">
        <v>15</v>
      </c>
      <c r="G2576" t="s">
        <v>1441</v>
      </c>
      <c r="H2576">
        <v>10</v>
      </c>
      <c r="I2576">
        <f t="shared" si="42"/>
        <v>13</v>
      </c>
    </row>
    <row r="2577" spans="1:9">
      <c r="A2577" s="1">
        <v>42604.256944444445</v>
      </c>
      <c r="B2577" s="19">
        <v>42612</v>
      </c>
      <c r="C2577" s="21">
        <v>0.60972222222222228</v>
      </c>
      <c r="D2577" s="20" t="s">
        <v>3040</v>
      </c>
      <c r="E2577" t="s">
        <v>6</v>
      </c>
      <c r="F2577" t="s">
        <v>46</v>
      </c>
      <c r="G2577" t="s">
        <v>1442</v>
      </c>
      <c r="H2577">
        <v>5</v>
      </c>
      <c r="I2577">
        <f t="shared" si="42"/>
        <v>7</v>
      </c>
    </row>
    <row r="2578" spans="1:9">
      <c r="A2578" s="1">
        <v>42604.936111111114</v>
      </c>
      <c r="B2578" s="19">
        <v>42612</v>
      </c>
      <c r="C2578" s="21">
        <v>0.60902777777777772</v>
      </c>
      <c r="D2578" s="20" t="s">
        <v>3040</v>
      </c>
      <c r="E2578" t="s">
        <v>6</v>
      </c>
      <c r="F2578" t="s">
        <v>7</v>
      </c>
      <c r="G2578" t="s">
        <v>1442</v>
      </c>
      <c r="H2578">
        <v>5</v>
      </c>
      <c r="I2578">
        <f t="shared" si="42"/>
        <v>7</v>
      </c>
    </row>
    <row r="2579" spans="1:9">
      <c r="A2579" s="1">
        <v>42604.918055555558</v>
      </c>
      <c r="B2579" s="19">
        <v>42612</v>
      </c>
      <c r="C2579" s="21">
        <v>0.60833333333333328</v>
      </c>
      <c r="D2579" s="20" t="s">
        <v>3040</v>
      </c>
      <c r="E2579" t="s">
        <v>6</v>
      </c>
      <c r="F2579" t="s">
        <v>76</v>
      </c>
      <c r="G2579" t="s">
        <v>1442</v>
      </c>
      <c r="H2579">
        <v>4</v>
      </c>
      <c r="I2579">
        <f t="shared" si="42"/>
        <v>5</v>
      </c>
    </row>
    <row r="2580" spans="1:9">
      <c r="A2580" s="1">
        <v>42604.630555555559</v>
      </c>
      <c r="B2580" s="19">
        <v>42612</v>
      </c>
      <c r="C2580" s="21">
        <v>0.58402777777777781</v>
      </c>
      <c r="D2580" s="20" t="s">
        <v>3040</v>
      </c>
      <c r="E2580" t="s">
        <v>2</v>
      </c>
      <c r="F2580" t="s">
        <v>48</v>
      </c>
      <c r="H2580">
        <v>7</v>
      </c>
      <c r="I2580">
        <f t="shared" si="42"/>
        <v>9</v>
      </c>
    </row>
    <row r="2581" spans="1:9">
      <c r="A2581" s="1">
        <v>42604.604861111111</v>
      </c>
      <c r="B2581" s="19">
        <v>42612</v>
      </c>
      <c r="C2581" s="21">
        <v>0.4236111111111111</v>
      </c>
      <c r="D2581" s="20" t="s">
        <v>3036</v>
      </c>
      <c r="E2581" t="s">
        <v>2</v>
      </c>
      <c r="F2581" t="s">
        <v>48</v>
      </c>
      <c r="G2581" t="s">
        <v>1443</v>
      </c>
      <c r="H2581" t="e">
        <v>#VALUE!</v>
      </c>
      <c r="I2581" t="e">
        <f t="shared" si="42"/>
        <v>#VALUE!</v>
      </c>
    </row>
    <row r="2582" spans="1:9">
      <c r="A2582" s="1">
        <v>42604.6</v>
      </c>
      <c r="B2582" s="19">
        <v>42612</v>
      </c>
      <c r="C2582" s="21">
        <v>0.34791666666666665</v>
      </c>
      <c r="D2582" s="20" t="s">
        <v>3034</v>
      </c>
      <c r="E2582" t="s">
        <v>2</v>
      </c>
      <c r="F2582" t="s">
        <v>48</v>
      </c>
      <c r="G2582" t="s">
        <v>1444</v>
      </c>
      <c r="H2582">
        <v>10</v>
      </c>
      <c r="I2582">
        <f t="shared" si="42"/>
        <v>13</v>
      </c>
    </row>
    <row r="2583" spans="1:9">
      <c r="A2583" s="1">
        <v>42604.556944444441</v>
      </c>
      <c r="B2583" s="19">
        <v>42612</v>
      </c>
      <c r="C2583" s="21">
        <v>0.34513888888888888</v>
      </c>
      <c r="D2583" s="20" t="s">
        <v>3034</v>
      </c>
      <c r="E2583" t="s">
        <v>6</v>
      </c>
      <c r="F2583" t="s">
        <v>21</v>
      </c>
      <c r="G2583" t="s">
        <v>1445</v>
      </c>
      <c r="H2583">
        <v>5</v>
      </c>
      <c r="I2583">
        <f t="shared" si="42"/>
        <v>7</v>
      </c>
    </row>
    <row r="2584" spans="1:9">
      <c r="A2584" s="1">
        <v>42604.540972222225</v>
      </c>
      <c r="B2584" s="19">
        <v>42612</v>
      </c>
      <c r="C2584" s="21">
        <v>0.33680555555555558</v>
      </c>
      <c r="D2584" s="20" t="s">
        <v>3034</v>
      </c>
      <c r="E2584" t="s">
        <v>2</v>
      </c>
      <c r="F2584" t="s">
        <v>48</v>
      </c>
      <c r="G2584" t="s">
        <v>307</v>
      </c>
      <c r="H2584">
        <v>13</v>
      </c>
      <c r="I2584">
        <f t="shared" si="42"/>
        <v>17</v>
      </c>
    </row>
    <row r="2585" spans="1:9">
      <c r="A2585" s="1">
        <v>42604.387499999997</v>
      </c>
      <c r="B2585" s="19">
        <v>42612</v>
      </c>
      <c r="C2585" s="21">
        <v>0.31458333333333333</v>
      </c>
      <c r="D2585" s="20" t="s">
        <v>3033</v>
      </c>
      <c r="E2585" t="s">
        <v>6</v>
      </c>
      <c r="F2585" t="s">
        <v>21</v>
      </c>
      <c r="G2585" t="s">
        <v>1446</v>
      </c>
      <c r="H2585">
        <v>34</v>
      </c>
      <c r="I2585">
        <f t="shared" si="42"/>
        <v>43</v>
      </c>
    </row>
    <row r="2586" spans="1:9">
      <c r="A2586" s="1">
        <v>42602.177083333336</v>
      </c>
      <c r="B2586" s="19">
        <v>42612</v>
      </c>
      <c r="C2586" s="21">
        <v>0.29097222222222224</v>
      </c>
      <c r="D2586" s="20" t="s">
        <v>3031</v>
      </c>
      <c r="E2586" t="s">
        <v>2</v>
      </c>
      <c r="F2586" t="s">
        <v>5</v>
      </c>
      <c r="H2586">
        <v>14</v>
      </c>
      <c r="I2586">
        <f t="shared" si="42"/>
        <v>18</v>
      </c>
    </row>
    <row r="2587" spans="1:9">
      <c r="A2587" s="1">
        <v>42602.163194444445</v>
      </c>
      <c r="B2587" s="19">
        <v>42612</v>
      </c>
      <c r="C2587" s="21">
        <v>0.26319444444444445</v>
      </c>
      <c r="D2587" s="20" t="s">
        <v>3031</v>
      </c>
      <c r="E2587" t="s">
        <v>6</v>
      </c>
      <c r="F2587" t="s">
        <v>21</v>
      </c>
      <c r="G2587" t="s">
        <v>1410</v>
      </c>
      <c r="H2587">
        <v>35</v>
      </c>
      <c r="I2587">
        <f t="shared" si="42"/>
        <v>44</v>
      </c>
    </row>
    <row r="2588" spans="1:9">
      <c r="A2588" s="1">
        <v>42601.915972222225</v>
      </c>
      <c r="B2588" s="19">
        <v>42612</v>
      </c>
      <c r="C2588" s="21">
        <v>0.25277777777777777</v>
      </c>
      <c r="D2588" s="20" t="s">
        <v>3031</v>
      </c>
      <c r="E2588" t="s">
        <v>6</v>
      </c>
      <c r="F2588" t="s">
        <v>21</v>
      </c>
      <c r="G2588" t="s">
        <v>1445</v>
      </c>
      <c r="H2588">
        <v>13</v>
      </c>
      <c r="I2588">
        <f t="shared" si="42"/>
        <v>17</v>
      </c>
    </row>
    <row r="2589" spans="1:9">
      <c r="A2589" s="1">
        <v>42601.842361111114</v>
      </c>
      <c r="B2589" s="19">
        <v>42612</v>
      </c>
      <c r="C2589" s="21">
        <v>0.25069444444444444</v>
      </c>
      <c r="D2589" s="20" t="s">
        <v>3031</v>
      </c>
      <c r="E2589" t="s">
        <v>6</v>
      </c>
      <c r="F2589" t="s">
        <v>15</v>
      </c>
      <c r="G2589" t="s">
        <v>1448</v>
      </c>
      <c r="H2589" t="e">
        <v>#VALUE!</v>
      </c>
      <c r="I2589" t="e">
        <f t="shared" si="42"/>
        <v>#VALUE!</v>
      </c>
    </row>
    <row r="2590" spans="1:9">
      <c r="A2590" s="1">
        <v>42601.618055555555</v>
      </c>
      <c r="B2590" s="19">
        <v>42612</v>
      </c>
      <c r="C2590" s="21">
        <v>0.22361111111111112</v>
      </c>
      <c r="D2590" s="20" t="s">
        <v>3055</v>
      </c>
      <c r="E2590" t="s">
        <v>2</v>
      </c>
      <c r="F2590" t="s">
        <v>5</v>
      </c>
      <c r="H2590">
        <v>4</v>
      </c>
      <c r="I2590">
        <f t="shared" si="42"/>
        <v>5</v>
      </c>
    </row>
    <row r="2591" spans="1:9">
      <c r="A2591" s="1">
        <v>42601.597916666666</v>
      </c>
      <c r="B2591" s="19">
        <v>42612</v>
      </c>
      <c r="C2591" s="21">
        <v>0.22083333333333333</v>
      </c>
      <c r="D2591" s="20" t="s">
        <v>3055</v>
      </c>
      <c r="E2591" t="s">
        <v>6</v>
      </c>
      <c r="F2591" t="s">
        <v>46</v>
      </c>
      <c r="G2591" t="s">
        <v>1449</v>
      </c>
      <c r="H2591">
        <v>5</v>
      </c>
      <c r="I2591">
        <f t="shared" si="42"/>
        <v>7</v>
      </c>
    </row>
    <row r="2592" spans="1:9">
      <c r="A2592" s="1">
        <v>42601.499305555553</v>
      </c>
      <c r="B2592" s="19">
        <v>42612</v>
      </c>
      <c r="C2592" s="21">
        <v>0.20069444444444445</v>
      </c>
      <c r="D2592" s="20" t="s">
        <v>3054</v>
      </c>
      <c r="E2592" t="s">
        <v>6</v>
      </c>
      <c r="F2592" t="s">
        <v>12</v>
      </c>
      <c r="G2592" t="s">
        <v>1450</v>
      </c>
      <c r="H2592">
        <v>3</v>
      </c>
      <c r="I2592">
        <f t="shared" si="42"/>
        <v>4</v>
      </c>
    </row>
    <row r="2593" spans="1:9">
      <c r="A2593" s="1">
        <v>42601.482638888891</v>
      </c>
      <c r="B2593" s="19">
        <v>42612</v>
      </c>
      <c r="C2593" s="21">
        <v>0.12152777777777778</v>
      </c>
      <c r="D2593" s="20" t="s">
        <v>3052</v>
      </c>
      <c r="E2593" t="s">
        <v>2</v>
      </c>
      <c r="F2593" t="s">
        <v>5</v>
      </c>
      <c r="H2593">
        <v>23</v>
      </c>
      <c r="I2593">
        <f t="shared" si="42"/>
        <v>29</v>
      </c>
    </row>
    <row r="2594" spans="1:9">
      <c r="A2594" s="1">
        <v>42601.915972222225</v>
      </c>
      <c r="B2594" s="19">
        <v>42612</v>
      </c>
      <c r="C2594" s="21">
        <v>0.11805555555555555</v>
      </c>
      <c r="D2594" s="20" t="s">
        <v>3052</v>
      </c>
      <c r="E2594" t="s">
        <v>6</v>
      </c>
      <c r="F2594" t="s">
        <v>21</v>
      </c>
      <c r="G2594" t="s">
        <v>1451</v>
      </c>
      <c r="H2594">
        <v>7</v>
      </c>
      <c r="I2594">
        <f t="shared" si="42"/>
        <v>9</v>
      </c>
    </row>
    <row r="2595" spans="1:9">
      <c r="A2595" s="1">
        <v>42601.856944444444</v>
      </c>
      <c r="B2595" s="19">
        <v>42612</v>
      </c>
      <c r="C2595" s="21">
        <v>0.1111111111111111</v>
      </c>
      <c r="D2595" s="20" t="s">
        <v>3052</v>
      </c>
      <c r="E2595" t="s">
        <v>2</v>
      </c>
      <c r="F2595" t="s">
        <v>5</v>
      </c>
      <c r="H2595">
        <v>13</v>
      </c>
      <c r="I2595">
        <f t="shared" si="42"/>
        <v>17</v>
      </c>
    </row>
    <row r="2596" spans="1:9">
      <c r="A2596" s="1">
        <v>42601.611805555556</v>
      </c>
      <c r="B2596" s="19">
        <v>42612</v>
      </c>
      <c r="C2596" s="21">
        <v>2.361111111111111E-2</v>
      </c>
      <c r="D2596" s="20" t="s">
        <v>3050</v>
      </c>
      <c r="E2596" t="s">
        <v>6</v>
      </c>
      <c r="F2596" t="s">
        <v>754</v>
      </c>
      <c r="G2596" t="s">
        <v>1452</v>
      </c>
      <c r="H2596" t="e">
        <v>#VALUE!</v>
      </c>
      <c r="I2596" t="e">
        <f t="shared" si="42"/>
        <v>#VALUE!</v>
      </c>
    </row>
    <row r="2597" spans="1:9">
      <c r="A2597" s="1">
        <v>42601.586805555555</v>
      </c>
      <c r="B2597" s="19">
        <v>42613</v>
      </c>
      <c r="C2597" s="21">
        <v>0.65555555555555556</v>
      </c>
      <c r="D2597" s="20" t="s">
        <v>3042</v>
      </c>
      <c r="E2597" t="s">
        <v>6</v>
      </c>
      <c r="F2597" t="s">
        <v>12</v>
      </c>
      <c r="G2597" t="s">
        <v>1434</v>
      </c>
      <c r="H2597">
        <v>3</v>
      </c>
      <c r="I2597">
        <f t="shared" si="42"/>
        <v>4</v>
      </c>
    </row>
    <row r="2598" spans="1:9">
      <c r="A2598" s="1">
        <v>42601.570833333331</v>
      </c>
      <c r="B2598" s="19">
        <v>42613</v>
      </c>
      <c r="C2598" s="21">
        <v>0.62638888888888888</v>
      </c>
      <c r="D2598" s="20" t="s">
        <v>3042</v>
      </c>
      <c r="E2598" t="s">
        <v>6</v>
      </c>
      <c r="F2598" t="s">
        <v>12</v>
      </c>
      <c r="G2598" t="s">
        <v>1434</v>
      </c>
      <c r="H2598">
        <v>13</v>
      </c>
      <c r="I2598">
        <f t="shared" si="42"/>
        <v>17</v>
      </c>
    </row>
    <row r="2599" spans="1:9">
      <c r="A2599" s="1">
        <v>42601.552777777775</v>
      </c>
      <c r="B2599" s="19">
        <v>42613</v>
      </c>
      <c r="C2599" s="21">
        <v>0.58125000000000004</v>
      </c>
      <c r="D2599" s="20" t="s">
        <v>3039</v>
      </c>
      <c r="E2599" t="s">
        <v>6</v>
      </c>
      <c r="F2599" t="s">
        <v>15</v>
      </c>
      <c r="G2599" t="s">
        <v>1436</v>
      </c>
      <c r="H2599">
        <v>62</v>
      </c>
      <c r="I2599">
        <f t="shared" si="42"/>
        <v>77</v>
      </c>
    </row>
    <row r="2600" spans="1:9">
      <c r="A2600" s="1">
        <v>42601.521527777775</v>
      </c>
      <c r="B2600" s="19">
        <v>42613</v>
      </c>
      <c r="C2600" s="21">
        <v>0.33263888888888887</v>
      </c>
      <c r="D2600" s="20" t="s">
        <v>3033</v>
      </c>
      <c r="E2600" t="s">
        <v>2</v>
      </c>
      <c r="F2600" t="s">
        <v>48</v>
      </c>
      <c r="G2600" t="s">
        <v>1437</v>
      </c>
      <c r="H2600" t="e">
        <v>#VALUE!</v>
      </c>
      <c r="I2600" t="e">
        <f t="shared" si="42"/>
        <v>#VALUE!</v>
      </c>
    </row>
    <row r="2601" spans="1:9">
      <c r="A2601" s="1">
        <v>42601.515277777777</v>
      </c>
      <c r="B2601" s="19">
        <v>42613</v>
      </c>
      <c r="C2601" s="21">
        <v>0.32569444444444445</v>
      </c>
      <c r="D2601" s="20" t="s">
        <v>3033</v>
      </c>
      <c r="E2601" t="s">
        <v>6</v>
      </c>
      <c r="F2601" t="s">
        <v>46</v>
      </c>
      <c r="G2601" t="s">
        <v>65</v>
      </c>
      <c r="H2601">
        <v>13</v>
      </c>
      <c r="I2601">
        <f t="shared" si="42"/>
        <v>17</v>
      </c>
    </row>
    <row r="2602" spans="1:9">
      <c r="A2602" s="1">
        <v>42601.443055555559</v>
      </c>
      <c r="B2602" s="19">
        <v>42613</v>
      </c>
      <c r="C2602" s="21">
        <v>0.24930555555555556</v>
      </c>
      <c r="D2602" s="20" t="s">
        <v>3055</v>
      </c>
      <c r="E2602" t="s">
        <v>6</v>
      </c>
      <c r="F2602" t="s">
        <v>15</v>
      </c>
      <c r="G2602" t="s">
        <v>1438</v>
      </c>
      <c r="H2602" t="e">
        <v>#VALUE!</v>
      </c>
      <c r="I2602" t="e">
        <f t="shared" si="42"/>
        <v>#VALUE!</v>
      </c>
    </row>
    <row r="2603" spans="1:9">
      <c r="A2603" s="1">
        <v>42601.390277777777</v>
      </c>
      <c r="B2603" s="19">
        <v>42613</v>
      </c>
      <c r="C2603" s="21">
        <v>5.9722222222222225E-2</v>
      </c>
      <c r="D2603" s="20" t="s">
        <v>3051</v>
      </c>
      <c r="E2603" t="s">
        <v>6</v>
      </c>
      <c r="F2603" t="s">
        <v>12</v>
      </c>
      <c r="G2603" t="s">
        <v>1439</v>
      </c>
      <c r="H2603">
        <v>3</v>
      </c>
      <c r="I2603">
        <f t="shared" si="42"/>
        <v>4</v>
      </c>
    </row>
    <row r="2604" spans="1:9">
      <c r="A2604" s="1">
        <v>42601.324999999997</v>
      </c>
      <c r="B2604" s="19">
        <v>42613</v>
      </c>
      <c r="C2604" s="21">
        <v>0.79166666666666663</v>
      </c>
      <c r="D2604" s="20" t="s">
        <v>3046</v>
      </c>
      <c r="E2604" t="s">
        <v>33</v>
      </c>
      <c r="F2604" t="s">
        <v>44</v>
      </c>
      <c r="G2604" t="s">
        <v>670</v>
      </c>
      <c r="H2604">
        <v>4</v>
      </c>
      <c r="I2604">
        <f t="shared" si="42"/>
        <v>5</v>
      </c>
    </row>
    <row r="2605" spans="1:9">
      <c r="A2605" s="1">
        <v>42601.268055555556</v>
      </c>
      <c r="B2605" s="19">
        <v>42613</v>
      </c>
      <c r="C2605" s="21">
        <v>0.70833333333333337</v>
      </c>
      <c r="D2605" s="20" t="s">
        <v>3044</v>
      </c>
      <c r="E2605" t="s">
        <v>33</v>
      </c>
      <c r="F2605" t="s">
        <v>44</v>
      </c>
      <c r="G2605" t="s">
        <v>1433</v>
      </c>
      <c r="H2605">
        <v>13</v>
      </c>
      <c r="I2605">
        <f t="shared" si="42"/>
        <v>17</v>
      </c>
    </row>
    <row r="2606" spans="1:9">
      <c r="A2606" s="1">
        <v>42601.25277777778</v>
      </c>
      <c r="B2606" s="19">
        <v>42613</v>
      </c>
      <c r="C2606" s="21">
        <v>0.58402777777777781</v>
      </c>
      <c r="D2606" s="20" t="s">
        <v>3040</v>
      </c>
      <c r="E2606" t="s">
        <v>18</v>
      </c>
      <c r="F2606" t="s">
        <v>100</v>
      </c>
      <c r="G2606" t="s">
        <v>1435</v>
      </c>
      <c r="H2606">
        <v>10</v>
      </c>
      <c r="I2606">
        <f t="shared" si="42"/>
        <v>13</v>
      </c>
    </row>
    <row r="2607" spans="1:9">
      <c r="A2607" s="1">
        <v>42601.121527777781</v>
      </c>
      <c r="B2607" s="19">
        <v>42613</v>
      </c>
      <c r="C2607" s="21">
        <v>6.3194444444444442E-2</v>
      </c>
      <c r="D2607" s="20" t="s">
        <v>3051</v>
      </c>
      <c r="E2607" t="s">
        <v>0</v>
      </c>
      <c r="G2607" t="s">
        <v>335</v>
      </c>
      <c r="H2607">
        <v>4</v>
      </c>
      <c r="I2607">
        <f t="shared" si="42"/>
        <v>5</v>
      </c>
    </row>
    <row r="2608" spans="1:9">
      <c r="A2608" s="1">
        <v>42601.118750000001</v>
      </c>
      <c r="B2608" s="19">
        <v>42614</v>
      </c>
      <c r="C2608" s="21">
        <v>0.97361111111111109</v>
      </c>
      <c r="D2608" s="20" t="s">
        <v>3063</v>
      </c>
      <c r="E2608" t="s">
        <v>2</v>
      </c>
      <c r="F2608" t="s">
        <v>56</v>
      </c>
      <c r="G2608" t="s">
        <v>1427</v>
      </c>
      <c r="H2608">
        <v>59</v>
      </c>
      <c r="I2608">
        <f t="shared" si="42"/>
        <v>74</v>
      </c>
    </row>
    <row r="2609" spans="1:9">
      <c r="A2609" s="1">
        <v>42601.100694444445</v>
      </c>
      <c r="B2609" s="19">
        <v>42614</v>
      </c>
      <c r="C2609" s="21">
        <v>0.90069444444444446</v>
      </c>
      <c r="D2609" s="20" t="s">
        <v>3048</v>
      </c>
      <c r="E2609" t="s">
        <v>6</v>
      </c>
      <c r="F2609" t="s">
        <v>12</v>
      </c>
      <c r="G2609" t="s">
        <v>1428</v>
      </c>
      <c r="H2609">
        <v>13</v>
      </c>
      <c r="I2609">
        <f t="shared" si="42"/>
        <v>17</v>
      </c>
    </row>
    <row r="2610" spans="1:9">
      <c r="A2610" s="1">
        <v>42601.088194444441</v>
      </c>
      <c r="B2610" s="19">
        <v>42614</v>
      </c>
      <c r="C2610" s="21">
        <v>0.90069444444444446</v>
      </c>
      <c r="D2610" s="20" t="s">
        <v>3048</v>
      </c>
      <c r="E2610" t="s">
        <v>6</v>
      </c>
      <c r="F2610" t="s">
        <v>12</v>
      </c>
      <c r="G2610" t="s">
        <v>1428</v>
      </c>
      <c r="H2610">
        <v>13</v>
      </c>
      <c r="I2610">
        <f t="shared" si="42"/>
        <v>17</v>
      </c>
    </row>
    <row r="2611" spans="1:9">
      <c r="A2611" s="1">
        <v>42601.025694444441</v>
      </c>
      <c r="B2611" s="19">
        <v>42614</v>
      </c>
      <c r="C2611" s="21">
        <v>0.89722222222222225</v>
      </c>
      <c r="D2611" s="20" t="s">
        <v>3048</v>
      </c>
      <c r="E2611" t="s">
        <v>6</v>
      </c>
      <c r="F2611" t="s">
        <v>26</v>
      </c>
      <c r="G2611" t="s">
        <v>1111</v>
      </c>
      <c r="H2611">
        <v>4</v>
      </c>
      <c r="I2611">
        <f t="shared" si="42"/>
        <v>5</v>
      </c>
    </row>
    <row r="2612" spans="1:9">
      <c r="A2612" s="1">
        <v>42600.997916666667</v>
      </c>
      <c r="B2612" s="19">
        <v>42614</v>
      </c>
      <c r="C2612" s="21">
        <v>0.89722222222222225</v>
      </c>
      <c r="D2612" s="20" t="s">
        <v>3048</v>
      </c>
      <c r="E2612" t="s">
        <v>6</v>
      </c>
      <c r="F2612" t="s">
        <v>26</v>
      </c>
      <c r="G2612" t="s">
        <v>1111</v>
      </c>
      <c r="H2612">
        <v>4</v>
      </c>
      <c r="I2612">
        <f t="shared" si="42"/>
        <v>5</v>
      </c>
    </row>
    <row r="2613" spans="1:9">
      <c r="A2613" s="1">
        <v>42600.952777777777</v>
      </c>
      <c r="B2613" s="19">
        <v>42614</v>
      </c>
      <c r="C2613" s="21">
        <v>0.65277777777777779</v>
      </c>
      <c r="D2613" s="20" t="s">
        <v>3042</v>
      </c>
      <c r="E2613" t="s">
        <v>6</v>
      </c>
      <c r="F2613" t="s">
        <v>26</v>
      </c>
      <c r="G2613" t="s">
        <v>1111</v>
      </c>
      <c r="H2613">
        <v>10</v>
      </c>
      <c r="I2613">
        <f t="shared" si="42"/>
        <v>13</v>
      </c>
    </row>
    <row r="2614" spans="1:9">
      <c r="A2614" s="1">
        <v>42600.925694444442</v>
      </c>
      <c r="B2614" s="19">
        <v>42614</v>
      </c>
      <c r="C2614" s="21">
        <v>0.65277777777777779</v>
      </c>
      <c r="D2614" s="20" t="s">
        <v>3042</v>
      </c>
      <c r="E2614" t="s">
        <v>6</v>
      </c>
      <c r="F2614" t="s">
        <v>26</v>
      </c>
      <c r="G2614" t="s">
        <v>1111</v>
      </c>
      <c r="H2614">
        <v>10</v>
      </c>
      <c r="I2614">
        <f t="shared" si="42"/>
        <v>13</v>
      </c>
    </row>
    <row r="2615" spans="1:9">
      <c r="A2615" s="1">
        <v>42600.842361111114</v>
      </c>
      <c r="B2615" s="19">
        <v>42614</v>
      </c>
      <c r="C2615" s="21">
        <v>0.58263888888888893</v>
      </c>
      <c r="D2615" s="20" t="s">
        <v>3039</v>
      </c>
      <c r="E2615" t="s">
        <v>2</v>
      </c>
      <c r="F2615" t="s">
        <v>48</v>
      </c>
      <c r="G2615" t="s">
        <v>502</v>
      </c>
      <c r="H2615">
        <v>33</v>
      </c>
      <c r="I2615">
        <f t="shared" si="42"/>
        <v>41</v>
      </c>
    </row>
    <row r="2616" spans="1:9">
      <c r="A2616" s="1">
        <v>42600.673611111109</v>
      </c>
      <c r="B2616" s="19">
        <v>42614</v>
      </c>
      <c r="C2616" s="21">
        <v>0.58263888888888893</v>
      </c>
      <c r="D2616" s="20" t="s">
        <v>3039</v>
      </c>
      <c r="E2616" t="s">
        <v>2</v>
      </c>
      <c r="F2616" t="s">
        <v>48</v>
      </c>
      <c r="G2616" t="s">
        <v>502</v>
      </c>
      <c r="H2616">
        <v>33</v>
      </c>
      <c r="I2616">
        <f t="shared" si="42"/>
        <v>41</v>
      </c>
    </row>
    <row r="2617" spans="1:9">
      <c r="A2617" s="1">
        <v>42600.499305555553</v>
      </c>
      <c r="B2617" s="19">
        <v>42614</v>
      </c>
      <c r="C2617" s="21">
        <v>0.4861111111111111</v>
      </c>
      <c r="D2617" s="20" t="s">
        <v>3037</v>
      </c>
      <c r="E2617" t="s">
        <v>6</v>
      </c>
      <c r="F2617" t="s">
        <v>26</v>
      </c>
      <c r="G2617" t="s">
        <v>1430</v>
      </c>
      <c r="H2617">
        <v>13</v>
      </c>
      <c r="I2617">
        <f t="shared" si="42"/>
        <v>17</v>
      </c>
    </row>
    <row r="2618" spans="1:9">
      <c r="A2618" s="1">
        <v>42600.25277777778</v>
      </c>
      <c r="B2618" s="19">
        <v>42614</v>
      </c>
      <c r="C2618" s="21">
        <v>0.36944444444444446</v>
      </c>
      <c r="D2618" s="20" t="s">
        <v>3034</v>
      </c>
      <c r="E2618" t="s">
        <v>2</v>
      </c>
      <c r="F2618" t="s">
        <v>5</v>
      </c>
      <c r="G2618" t="s">
        <v>1431</v>
      </c>
      <c r="H2618">
        <v>10</v>
      </c>
      <c r="I2618">
        <f t="shared" si="42"/>
        <v>13</v>
      </c>
    </row>
    <row r="2619" spans="1:9">
      <c r="A2619" s="1">
        <v>42600.899305555555</v>
      </c>
      <c r="B2619" s="19">
        <v>42614</v>
      </c>
      <c r="C2619" s="21">
        <v>0.33402777777777776</v>
      </c>
      <c r="D2619" s="20" t="s">
        <v>3034</v>
      </c>
      <c r="E2619" t="s">
        <v>6</v>
      </c>
      <c r="F2619" t="s">
        <v>12</v>
      </c>
      <c r="G2619" t="s">
        <v>1432</v>
      </c>
      <c r="H2619">
        <v>3</v>
      </c>
      <c r="I2619">
        <f t="shared" si="42"/>
        <v>4</v>
      </c>
    </row>
    <row r="2620" spans="1:9">
      <c r="A2620" s="1">
        <v>42600.868750000001</v>
      </c>
      <c r="B2620" s="19">
        <v>42614</v>
      </c>
      <c r="C2620" s="21">
        <v>0.62013888888888891</v>
      </c>
      <c r="D2620" s="20" t="s">
        <v>3040</v>
      </c>
      <c r="E2620" t="s">
        <v>18</v>
      </c>
      <c r="F2620" t="s">
        <v>100</v>
      </c>
      <c r="G2620" t="s">
        <v>1429</v>
      </c>
      <c r="H2620">
        <v>10</v>
      </c>
      <c r="I2620">
        <f t="shared" si="42"/>
        <v>13</v>
      </c>
    </row>
    <row r="2621" spans="1:9">
      <c r="A2621" s="1">
        <v>42600.854166666664</v>
      </c>
      <c r="B2621" s="19">
        <v>42614</v>
      </c>
      <c r="C2621" s="21">
        <v>0.62013888888888891</v>
      </c>
      <c r="D2621" s="20" t="s">
        <v>3040</v>
      </c>
      <c r="E2621" t="s">
        <v>18</v>
      </c>
      <c r="F2621" t="s">
        <v>100</v>
      </c>
      <c r="G2621" t="s">
        <v>1429</v>
      </c>
      <c r="H2621">
        <v>10</v>
      </c>
      <c r="I2621">
        <f t="shared" si="42"/>
        <v>13</v>
      </c>
    </row>
    <row r="2622" spans="1:9">
      <c r="A2622" s="1">
        <v>42600.802777777775</v>
      </c>
      <c r="B2622" s="19">
        <v>42614</v>
      </c>
      <c r="C2622" s="21">
        <v>0.52986111111111112</v>
      </c>
      <c r="D2622" s="20" t="s">
        <v>3038</v>
      </c>
      <c r="H2622">
        <v>0</v>
      </c>
      <c r="I2622">
        <f t="shared" si="42"/>
        <v>0</v>
      </c>
    </row>
    <row r="2623" spans="1:9">
      <c r="A2623" s="1">
        <v>42600.754166666666</v>
      </c>
      <c r="B2623" s="19">
        <v>42615</v>
      </c>
      <c r="C2623" s="21">
        <v>0.68263888888888891</v>
      </c>
      <c r="D2623" s="20" t="s">
        <v>3043</v>
      </c>
      <c r="E2623" t="s">
        <v>2</v>
      </c>
      <c r="F2623" t="s">
        <v>3</v>
      </c>
      <c r="G2623" t="s">
        <v>1423</v>
      </c>
      <c r="H2623">
        <v>19</v>
      </c>
      <c r="I2623">
        <f t="shared" si="42"/>
        <v>24</v>
      </c>
    </row>
    <row r="2624" spans="1:9">
      <c r="A2624" s="1">
        <v>42600.684027777781</v>
      </c>
      <c r="B2624" s="19">
        <v>42615</v>
      </c>
      <c r="C2624" s="21">
        <v>0.6645833333333333</v>
      </c>
      <c r="D2624" s="20" t="s">
        <v>3042</v>
      </c>
      <c r="E2624" t="s">
        <v>2</v>
      </c>
      <c r="F2624" t="s">
        <v>48</v>
      </c>
      <c r="H2624">
        <v>10</v>
      </c>
      <c r="I2624">
        <f t="shared" si="42"/>
        <v>13</v>
      </c>
    </row>
    <row r="2625" spans="1:9">
      <c r="A2625" s="1">
        <v>42600.600694444445</v>
      </c>
      <c r="B2625" s="19">
        <v>42615</v>
      </c>
      <c r="C2625" s="21">
        <v>0.50624999999999998</v>
      </c>
      <c r="D2625" s="20" t="s">
        <v>3038</v>
      </c>
      <c r="E2625" t="s">
        <v>2</v>
      </c>
      <c r="F2625" t="s">
        <v>48</v>
      </c>
      <c r="G2625" t="s">
        <v>1424</v>
      </c>
      <c r="H2625" t="e">
        <v>#VALUE!</v>
      </c>
      <c r="I2625" t="e">
        <f t="shared" si="42"/>
        <v>#VALUE!</v>
      </c>
    </row>
    <row r="2626" spans="1:9">
      <c r="A2626" s="1">
        <v>42600.59375</v>
      </c>
      <c r="B2626" s="19">
        <v>42615</v>
      </c>
      <c r="C2626" s="21">
        <v>0.41736111111111113</v>
      </c>
      <c r="D2626" s="20" t="s">
        <v>3036</v>
      </c>
      <c r="E2626" t="s">
        <v>6</v>
      </c>
      <c r="F2626" t="s">
        <v>15</v>
      </c>
      <c r="G2626" t="s">
        <v>1425</v>
      </c>
      <c r="H2626" t="e">
        <v>#VALUE!</v>
      </c>
      <c r="I2626" t="e">
        <f t="shared" si="42"/>
        <v>#VALUE!</v>
      </c>
    </row>
    <row r="2627" spans="1:9">
      <c r="A2627" s="1">
        <v>42600.583333333336</v>
      </c>
      <c r="B2627" s="19">
        <v>42615</v>
      </c>
      <c r="C2627" s="21">
        <v>0.38611111111111113</v>
      </c>
      <c r="D2627" s="20" t="s">
        <v>3035</v>
      </c>
      <c r="E2627" t="s">
        <v>6</v>
      </c>
      <c r="F2627" t="s">
        <v>12</v>
      </c>
      <c r="G2627" t="s">
        <v>1426</v>
      </c>
      <c r="H2627" t="e">
        <v>#VALUE!</v>
      </c>
      <c r="I2627" t="e">
        <f t="shared" ref="I2627:I2690" si="43">ROUNDUP((H2627*1.24), 0)</f>
        <v>#VALUE!</v>
      </c>
    </row>
    <row r="2628" spans="1:9">
      <c r="A2628" s="1">
        <v>42600.579861111109</v>
      </c>
      <c r="B2628" s="19">
        <v>42615</v>
      </c>
      <c r="C2628" s="21">
        <v>0.71527777777777779</v>
      </c>
      <c r="D2628" s="20" t="s">
        <v>3044</v>
      </c>
      <c r="H2628">
        <v>0</v>
      </c>
      <c r="I2628">
        <f t="shared" si="43"/>
        <v>0</v>
      </c>
    </row>
    <row r="2629" spans="1:9">
      <c r="A2629" s="1">
        <v>42600.490277777775</v>
      </c>
      <c r="B2629" s="19">
        <v>42615</v>
      </c>
      <c r="C2629" s="21">
        <v>0.58402777777777781</v>
      </c>
      <c r="D2629" s="20" t="s">
        <v>3040</v>
      </c>
      <c r="E2629" t="s">
        <v>18</v>
      </c>
      <c r="F2629" t="s">
        <v>100</v>
      </c>
      <c r="G2629" t="s">
        <v>444</v>
      </c>
      <c r="H2629" t="e">
        <v>#VALUE!</v>
      </c>
      <c r="I2629" t="e">
        <f t="shared" si="43"/>
        <v>#VALUE!</v>
      </c>
    </row>
    <row r="2630" spans="1:9">
      <c r="A2630" s="1">
        <v>42600.461805555555</v>
      </c>
      <c r="B2630" s="19">
        <v>42615</v>
      </c>
      <c r="C2630" s="21">
        <v>9.7222222222222224E-3</v>
      </c>
      <c r="D2630" s="20" t="s">
        <v>3050</v>
      </c>
      <c r="E2630" t="s">
        <v>0</v>
      </c>
      <c r="G2630" t="s">
        <v>879</v>
      </c>
      <c r="H2630">
        <v>3</v>
      </c>
      <c r="I2630">
        <f t="shared" si="43"/>
        <v>4</v>
      </c>
    </row>
    <row r="2631" spans="1:9">
      <c r="A2631" s="1">
        <v>42599.915277777778</v>
      </c>
      <c r="B2631" s="19">
        <v>42618</v>
      </c>
      <c r="C2631" s="21">
        <v>0.91388888888888886</v>
      </c>
      <c r="D2631" s="20" t="s">
        <v>3048</v>
      </c>
      <c r="E2631" t="s">
        <v>6</v>
      </c>
      <c r="F2631" t="s">
        <v>15</v>
      </c>
      <c r="G2631" t="s">
        <v>1418</v>
      </c>
      <c r="H2631" t="e">
        <v>#VALUE!</v>
      </c>
      <c r="I2631" t="e">
        <f t="shared" si="43"/>
        <v>#VALUE!</v>
      </c>
    </row>
    <row r="2632" spans="1:9">
      <c r="A2632" s="1">
        <v>42599.831250000003</v>
      </c>
      <c r="B2632" s="19">
        <v>42618</v>
      </c>
      <c r="C2632" s="21">
        <v>0.87638888888888888</v>
      </c>
      <c r="D2632" s="20" t="s">
        <v>3048</v>
      </c>
      <c r="E2632" t="s">
        <v>6</v>
      </c>
      <c r="F2632" t="s">
        <v>15</v>
      </c>
      <c r="G2632" t="s">
        <v>1419</v>
      </c>
      <c r="H2632">
        <v>75</v>
      </c>
      <c r="I2632">
        <f t="shared" si="43"/>
        <v>93</v>
      </c>
    </row>
    <row r="2633" spans="1:9">
      <c r="A2633" s="1">
        <v>42599.665277777778</v>
      </c>
      <c r="B2633" s="19">
        <v>42618</v>
      </c>
      <c r="C2633" s="21">
        <v>0.5229166666666667</v>
      </c>
      <c r="D2633" s="20" t="s">
        <v>3038</v>
      </c>
      <c r="E2633" t="s">
        <v>6</v>
      </c>
      <c r="F2633" t="s">
        <v>12</v>
      </c>
      <c r="G2633" t="s">
        <v>1420</v>
      </c>
      <c r="H2633">
        <v>7</v>
      </c>
      <c r="I2633">
        <f t="shared" si="43"/>
        <v>9</v>
      </c>
    </row>
    <row r="2634" spans="1:9">
      <c r="A2634" s="1">
        <v>42599.628472222219</v>
      </c>
      <c r="B2634" s="19">
        <v>42618</v>
      </c>
      <c r="C2634" s="21">
        <v>0.90972222222222221</v>
      </c>
      <c r="D2634" s="20" t="s">
        <v>3048</v>
      </c>
      <c r="E2634" t="s">
        <v>0</v>
      </c>
      <c r="F2634" t="s">
        <v>10</v>
      </c>
      <c r="G2634" t="s">
        <v>145</v>
      </c>
      <c r="H2634">
        <v>13</v>
      </c>
      <c r="I2634">
        <f t="shared" si="43"/>
        <v>17</v>
      </c>
    </row>
    <row r="2635" spans="1:9">
      <c r="A2635" s="1">
        <v>42599.524305555555</v>
      </c>
      <c r="B2635" s="19">
        <v>42618</v>
      </c>
      <c r="C2635" s="21">
        <v>0.69930555555555551</v>
      </c>
      <c r="D2635" s="20" t="s">
        <v>3043</v>
      </c>
      <c r="E2635" t="s">
        <v>0</v>
      </c>
      <c r="G2635" t="s">
        <v>453</v>
      </c>
      <c r="H2635">
        <v>5</v>
      </c>
      <c r="I2635">
        <f t="shared" si="43"/>
        <v>7</v>
      </c>
    </row>
    <row r="2636" spans="1:9">
      <c r="A2636" s="1">
        <v>42599.5</v>
      </c>
      <c r="B2636" s="19">
        <v>42618</v>
      </c>
      <c r="C2636" s="21">
        <v>0.51736111111111116</v>
      </c>
      <c r="D2636" s="20" t="s">
        <v>3038</v>
      </c>
      <c r="E2636" t="s">
        <v>33</v>
      </c>
      <c r="G2636" t="s">
        <v>446</v>
      </c>
      <c r="H2636">
        <v>8</v>
      </c>
      <c r="I2636">
        <f t="shared" si="43"/>
        <v>10</v>
      </c>
    </row>
    <row r="2637" spans="1:9">
      <c r="A2637" s="1">
        <v>42599.931250000001</v>
      </c>
      <c r="B2637" s="19">
        <v>42618</v>
      </c>
      <c r="C2637" s="21">
        <v>0.33194444444444443</v>
      </c>
      <c r="D2637" s="20" t="s">
        <v>3033</v>
      </c>
      <c r="E2637" t="s">
        <v>0</v>
      </c>
      <c r="F2637" t="s">
        <v>1</v>
      </c>
      <c r="G2637" t="s">
        <v>1421</v>
      </c>
      <c r="H2637">
        <v>8</v>
      </c>
      <c r="I2637">
        <f t="shared" si="43"/>
        <v>10</v>
      </c>
    </row>
    <row r="2638" spans="1:9">
      <c r="A2638" s="1">
        <v>42599.654861111114</v>
      </c>
      <c r="B2638" s="19">
        <v>42618</v>
      </c>
      <c r="C2638" s="21">
        <v>0.26805555555555555</v>
      </c>
      <c r="D2638" s="20" t="s">
        <v>3031</v>
      </c>
      <c r="E2638" t="s">
        <v>0</v>
      </c>
      <c r="G2638" t="s">
        <v>1422</v>
      </c>
      <c r="H2638">
        <v>31</v>
      </c>
      <c r="I2638">
        <f t="shared" si="43"/>
        <v>39</v>
      </c>
    </row>
    <row r="2639" spans="1:9">
      <c r="A2639" s="1">
        <v>42599.588888888888</v>
      </c>
      <c r="B2639" s="19">
        <v>42619</v>
      </c>
      <c r="C2639" s="21">
        <v>0.82986111111111116</v>
      </c>
      <c r="D2639" s="20" t="s">
        <v>3046</v>
      </c>
      <c r="E2639" t="s">
        <v>2</v>
      </c>
      <c r="F2639" t="s">
        <v>5</v>
      </c>
      <c r="H2639">
        <v>20</v>
      </c>
      <c r="I2639">
        <f t="shared" si="43"/>
        <v>25</v>
      </c>
    </row>
    <row r="2640" spans="1:9">
      <c r="A2640" s="1">
        <v>42599.574305555558</v>
      </c>
      <c r="B2640" s="19">
        <v>42619</v>
      </c>
      <c r="C2640" s="21">
        <v>0.81319444444444444</v>
      </c>
      <c r="D2640" s="20" t="s">
        <v>3046</v>
      </c>
      <c r="E2640" t="s">
        <v>6</v>
      </c>
      <c r="F2640" t="s">
        <v>26</v>
      </c>
      <c r="G2640" t="s">
        <v>1412</v>
      </c>
      <c r="H2640">
        <v>30</v>
      </c>
      <c r="I2640">
        <f t="shared" si="43"/>
        <v>38</v>
      </c>
    </row>
    <row r="2641" spans="1:9">
      <c r="A2641" s="1">
        <v>42599.510416666664</v>
      </c>
      <c r="B2641" s="19">
        <v>42619</v>
      </c>
      <c r="C2641" s="21">
        <v>0.65416666666666667</v>
      </c>
      <c r="D2641" s="20" t="s">
        <v>3042</v>
      </c>
      <c r="E2641" t="s">
        <v>2</v>
      </c>
      <c r="F2641" t="s">
        <v>3</v>
      </c>
      <c r="G2641" t="s">
        <v>1413</v>
      </c>
      <c r="H2641">
        <v>4</v>
      </c>
      <c r="I2641">
        <f t="shared" si="43"/>
        <v>5</v>
      </c>
    </row>
    <row r="2642" spans="1:9">
      <c r="A2642" s="1">
        <v>42599.249305555553</v>
      </c>
      <c r="B2642" s="19">
        <v>42619</v>
      </c>
      <c r="C2642" s="21">
        <v>0.58263888888888893</v>
      </c>
      <c r="D2642" s="20" t="s">
        <v>3039</v>
      </c>
      <c r="E2642" t="s">
        <v>2</v>
      </c>
      <c r="F2642" t="s">
        <v>56</v>
      </c>
      <c r="G2642" t="s">
        <v>1414</v>
      </c>
      <c r="H2642">
        <v>53</v>
      </c>
      <c r="I2642">
        <f t="shared" si="43"/>
        <v>66</v>
      </c>
    </row>
    <row r="2643" spans="1:9">
      <c r="A2643" s="1">
        <v>42599.112500000003</v>
      </c>
      <c r="B2643" s="19">
        <v>42619</v>
      </c>
      <c r="C2643" s="21">
        <v>0.36458333333333331</v>
      </c>
      <c r="D2643" s="20" t="s">
        <v>3034</v>
      </c>
      <c r="E2643" t="s">
        <v>2</v>
      </c>
      <c r="G2643" t="s">
        <v>1415</v>
      </c>
      <c r="H2643">
        <v>4</v>
      </c>
      <c r="I2643">
        <f t="shared" si="43"/>
        <v>5</v>
      </c>
    </row>
    <row r="2644" spans="1:9">
      <c r="A2644" s="1">
        <v>42599.054861111108</v>
      </c>
      <c r="B2644" s="19">
        <v>42619</v>
      </c>
      <c r="C2644" s="21">
        <v>0.23472222222222222</v>
      </c>
      <c r="D2644" s="20" t="s">
        <v>3055</v>
      </c>
      <c r="E2644" t="s">
        <v>6</v>
      </c>
      <c r="F2644" t="s">
        <v>26</v>
      </c>
      <c r="G2644" t="s">
        <v>1416</v>
      </c>
      <c r="H2644">
        <v>7</v>
      </c>
      <c r="I2644">
        <f t="shared" si="43"/>
        <v>9</v>
      </c>
    </row>
    <row r="2645" spans="1:9">
      <c r="A2645" s="1">
        <v>42599.043749999997</v>
      </c>
      <c r="B2645" s="19">
        <v>42619</v>
      </c>
      <c r="C2645" s="21">
        <v>6.1111111111111109E-2</v>
      </c>
      <c r="D2645" s="20" t="s">
        <v>3051</v>
      </c>
      <c r="E2645" t="s">
        <v>2</v>
      </c>
      <c r="F2645" t="s">
        <v>3</v>
      </c>
      <c r="G2645" t="s">
        <v>1417</v>
      </c>
      <c r="H2645">
        <v>15</v>
      </c>
      <c r="I2645">
        <f t="shared" si="43"/>
        <v>19</v>
      </c>
    </row>
    <row r="2646" spans="1:9">
      <c r="A2646" s="1">
        <v>42598.917361111111</v>
      </c>
      <c r="B2646" s="19">
        <v>42619</v>
      </c>
      <c r="C2646" s="21">
        <v>0.84097222222222223</v>
      </c>
      <c r="D2646" s="20" t="s">
        <v>3047</v>
      </c>
      <c r="E2646" t="s">
        <v>0</v>
      </c>
      <c r="G2646" t="s">
        <v>1411</v>
      </c>
      <c r="H2646">
        <v>4</v>
      </c>
      <c r="I2646">
        <f t="shared" si="43"/>
        <v>5</v>
      </c>
    </row>
    <row r="2647" spans="1:9">
      <c r="A2647" s="1">
        <v>42598.917361111111</v>
      </c>
      <c r="B2647" s="19">
        <v>42619</v>
      </c>
      <c r="C2647" s="21">
        <v>0.25138888888888888</v>
      </c>
      <c r="D2647" s="20" t="s">
        <v>3031</v>
      </c>
      <c r="E2647" t="s">
        <v>18</v>
      </c>
      <c r="F2647" t="s">
        <v>100</v>
      </c>
      <c r="H2647" t="e">
        <v>#VALUE!</v>
      </c>
      <c r="I2647" t="e">
        <f t="shared" si="43"/>
        <v>#VALUE!</v>
      </c>
    </row>
    <row r="2648" spans="1:9">
      <c r="A2648" s="1">
        <v>42598.831250000003</v>
      </c>
      <c r="B2648" s="19">
        <v>42620</v>
      </c>
      <c r="C2648" s="21">
        <v>0.58263888888888893</v>
      </c>
      <c r="D2648" s="20" t="s">
        <v>3039</v>
      </c>
      <c r="E2648" t="s">
        <v>6</v>
      </c>
      <c r="F2648" t="s">
        <v>21</v>
      </c>
      <c r="G2648" t="s">
        <v>1377</v>
      </c>
      <c r="H2648" t="e">
        <v>#VALUE!</v>
      </c>
      <c r="I2648" t="e">
        <f t="shared" si="43"/>
        <v>#VALUE!</v>
      </c>
    </row>
    <row r="2649" spans="1:9">
      <c r="A2649" s="1">
        <v>42598.664583333331</v>
      </c>
      <c r="B2649" s="19">
        <v>42620</v>
      </c>
      <c r="C2649" s="21">
        <v>0.26805555555555555</v>
      </c>
      <c r="D2649" s="20" t="s">
        <v>3031</v>
      </c>
      <c r="E2649" t="s">
        <v>2</v>
      </c>
      <c r="F2649" t="s">
        <v>5</v>
      </c>
      <c r="G2649" t="s">
        <v>1404</v>
      </c>
      <c r="H2649" t="e">
        <v>#VALUE!</v>
      </c>
      <c r="I2649" t="e">
        <f t="shared" si="43"/>
        <v>#VALUE!</v>
      </c>
    </row>
    <row r="2650" spans="1:9">
      <c r="A2650" s="1">
        <v>42598.429166666669</v>
      </c>
      <c r="B2650" s="19">
        <v>42620</v>
      </c>
      <c r="C2650" s="21">
        <v>0.25208333333333333</v>
      </c>
      <c r="D2650" s="20" t="s">
        <v>3031</v>
      </c>
      <c r="E2650" t="s">
        <v>6</v>
      </c>
      <c r="F2650" t="s">
        <v>21</v>
      </c>
      <c r="G2650" t="s">
        <v>1405</v>
      </c>
      <c r="H2650">
        <v>25</v>
      </c>
      <c r="I2650">
        <f t="shared" si="43"/>
        <v>31</v>
      </c>
    </row>
    <row r="2651" spans="1:9">
      <c r="A2651" s="1">
        <v>42598.416666666664</v>
      </c>
      <c r="B2651" s="19">
        <v>42620</v>
      </c>
      <c r="C2651" s="21">
        <v>0.20277777777777778</v>
      </c>
      <c r="D2651" s="20" t="s">
        <v>3054</v>
      </c>
      <c r="E2651" t="s">
        <v>2</v>
      </c>
      <c r="F2651" t="s">
        <v>5</v>
      </c>
      <c r="G2651" t="s">
        <v>1406</v>
      </c>
      <c r="H2651">
        <v>48</v>
      </c>
      <c r="I2651">
        <f t="shared" si="43"/>
        <v>60</v>
      </c>
    </row>
    <row r="2652" spans="1:9">
      <c r="A2652" s="1">
        <v>42598.26666666667</v>
      </c>
      <c r="B2652" s="19">
        <v>42620</v>
      </c>
      <c r="C2652" s="21">
        <v>0.17152777777777778</v>
      </c>
      <c r="D2652" s="20" t="s">
        <v>3054</v>
      </c>
      <c r="E2652" t="s">
        <v>2</v>
      </c>
      <c r="F2652" t="s">
        <v>5</v>
      </c>
      <c r="G2652" t="s">
        <v>1407</v>
      </c>
      <c r="H2652">
        <v>13</v>
      </c>
      <c r="I2652">
        <f t="shared" si="43"/>
        <v>17</v>
      </c>
    </row>
    <row r="2653" spans="1:9">
      <c r="A2653" s="1">
        <v>42598.765972222223</v>
      </c>
      <c r="B2653" s="19">
        <v>42620</v>
      </c>
      <c r="C2653" s="21">
        <v>0.14930555555555555</v>
      </c>
      <c r="D2653" s="20" t="s">
        <v>3053</v>
      </c>
      <c r="E2653" t="s">
        <v>6</v>
      </c>
      <c r="F2653" t="s">
        <v>21</v>
      </c>
      <c r="G2653" t="s">
        <v>1408</v>
      </c>
      <c r="H2653">
        <v>13</v>
      </c>
      <c r="I2653">
        <f t="shared" si="43"/>
        <v>17</v>
      </c>
    </row>
    <row r="2654" spans="1:9">
      <c r="A2654" s="1">
        <v>42598.510416666664</v>
      </c>
      <c r="B2654" s="19">
        <v>42620</v>
      </c>
      <c r="C2654" s="21">
        <v>5.6944444444444443E-2</v>
      </c>
      <c r="D2654" s="20" t="s">
        <v>3051</v>
      </c>
      <c r="E2654" t="s">
        <v>2</v>
      </c>
      <c r="F2654" t="s">
        <v>5</v>
      </c>
      <c r="G2654" t="s">
        <v>1409</v>
      </c>
      <c r="H2654">
        <v>23</v>
      </c>
      <c r="I2654">
        <f t="shared" si="43"/>
        <v>29</v>
      </c>
    </row>
    <row r="2655" spans="1:9">
      <c r="A2655" s="1">
        <v>42595.123611111114</v>
      </c>
      <c r="B2655" s="19">
        <v>42620</v>
      </c>
      <c r="C2655" s="21">
        <v>5.2083333333333336E-2</v>
      </c>
      <c r="D2655" s="20" t="s">
        <v>3051</v>
      </c>
      <c r="E2655" t="s">
        <v>6</v>
      </c>
      <c r="F2655" t="s">
        <v>26</v>
      </c>
      <c r="G2655" t="s">
        <v>1410</v>
      </c>
      <c r="H2655">
        <v>9</v>
      </c>
      <c r="I2655">
        <f t="shared" si="43"/>
        <v>12</v>
      </c>
    </row>
    <row r="2656" spans="1:9">
      <c r="A2656" s="1">
        <v>42595.183333333334</v>
      </c>
      <c r="B2656" s="19">
        <v>42620</v>
      </c>
      <c r="C2656" s="21">
        <v>0.55208333333333337</v>
      </c>
      <c r="D2656" s="20" t="s">
        <v>3039</v>
      </c>
      <c r="H2656">
        <v>0</v>
      </c>
      <c r="I2656">
        <f t="shared" si="43"/>
        <v>0</v>
      </c>
    </row>
    <row r="2657" spans="1:9">
      <c r="A2657" s="1">
        <v>42595.160416666666</v>
      </c>
      <c r="B2657" s="19">
        <v>42620</v>
      </c>
      <c r="C2657" s="21">
        <v>0.55208333333333337</v>
      </c>
      <c r="D2657" s="20" t="s">
        <v>3039</v>
      </c>
      <c r="H2657">
        <v>0</v>
      </c>
      <c r="I2657">
        <f t="shared" si="43"/>
        <v>0</v>
      </c>
    </row>
    <row r="2658" spans="1:9">
      <c r="A2658" s="1">
        <v>42595.111111111109</v>
      </c>
      <c r="B2658" s="19">
        <v>42620</v>
      </c>
      <c r="C2658" s="21">
        <v>0.55208333333333337</v>
      </c>
      <c r="D2658" s="20" t="s">
        <v>3039</v>
      </c>
      <c r="H2658">
        <v>0</v>
      </c>
      <c r="I2658">
        <f t="shared" si="43"/>
        <v>0</v>
      </c>
    </row>
    <row r="2659" spans="1:9">
      <c r="A2659" s="1">
        <v>42595.049305555556</v>
      </c>
      <c r="B2659" s="19">
        <v>42621</v>
      </c>
      <c r="C2659" s="21">
        <v>0.83888888888888891</v>
      </c>
      <c r="D2659" s="20" t="s">
        <v>3047</v>
      </c>
      <c r="E2659" t="s">
        <v>6</v>
      </c>
      <c r="F2659" t="s">
        <v>12</v>
      </c>
      <c r="G2659" t="s">
        <v>1321</v>
      </c>
      <c r="H2659">
        <v>7</v>
      </c>
      <c r="I2659">
        <f t="shared" si="43"/>
        <v>9</v>
      </c>
    </row>
    <row r="2660" spans="1:9">
      <c r="A2660" s="1">
        <v>42595.040972222225</v>
      </c>
      <c r="B2660" s="19">
        <v>42621</v>
      </c>
      <c r="C2660" s="21">
        <v>0.61458333333333337</v>
      </c>
      <c r="D2660" s="20" t="s">
        <v>3040</v>
      </c>
      <c r="E2660" t="s">
        <v>6</v>
      </c>
      <c r="F2660" t="s">
        <v>15</v>
      </c>
      <c r="G2660" t="s">
        <v>1396</v>
      </c>
      <c r="H2660">
        <v>84</v>
      </c>
      <c r="I2660">
        <f t="shared" si="43"/>
        <v>105</v>
      </c>
    </row>
    <row r="2661" spans="1:9">
      <c r="A2661" s="1">
        <v>42595.033333333333</v>
      </c>
      <c r="B2661" s="19">
        <v>42621</v>
      </c>
      <c r="C2661" s="21">
        <v>0.60972222222222228</v>
      </c>
      <c r="D2661" s="20" t="s">
        <v>3040</v>
      </c>
      <c r="E2661" t="s">
        <v>2</v>
      </c>
      <c r="F2661" t="s">
        <v>5</v>
      </c>
      <c r="H2661">
        <v>10</v>
      </c>
      <c r="I2661">
        <f t="shared" si="43"/>
        <v>13</v>
      </c>
    </row>
    <row r="2662" spans="1:9">
      <c r="A2662" s="1">
        <v>42594.915277777778</v>
      </c>
      <c r="B2662" s="19">
        <v>42621</v>
      </c>
      <c r="C2662" s="21">
        <v>0.58402777777777781</v>
      </c>
      <c r="D2662" s="20" t="s">
        <v>3040</v>
      </c>
      <c r="E2662" t="s">
        <v>6</v>
      </c>
      <c r="F2662" t="s">
        <v>46</v>
      </c>
      <c r="G2662" t="s">
        <v>1397</v>
      </c>
      <c r="H2662">
        <v>46</v>
      </c>
      <c r="I2662">
        <f t="shared" si="43"/>
        <v>58</v>
      </c>
    </row>
    <row r="2663" spans="1:9">
      <c r="A2663" s="1">
        <v>42594.833333333336</v>
      </c>
      <c r="B2663" s="19">
        <v>42621</v>
      </c>
      <c r="C2663" s="21">
        <v>0.5180555555555556</v>
      </c>
      <c r="D2663" s="20" t="s">
        <v>3038</v>
      </c>
      <c r="E2663" t="s">
        <v>6</v>
      </c>
      <c r="F2663" t="s">
        <v>46</v>
      </c>
      <c r="G2663" t="s">
        <v>1398</v>
      </c>
      <c r="H2663" t="e">
        <v>#VALUE!</v>
      </c>
      <c r="I2663" t="e">
        <f t="shared" si="43"/>
        <v>#VALUE!</v>
      </c>
    </row>
    <row r="2664" spans="1:9">
      <c r="A2664" s="1">
        <v>42594.667361111111</v>
      </c>
      <c r="B2664" s="19">
        <v>42621</v>
      </c>
      <c r="C2664" s="21">
        <v>0.47222222222222221</v>
      </c>
      <c r="D2664" s="20" t="s">
        <v>3037</v>
      </c>
      <c r="E2664" t="s">
        <v>6</v>
      </c>
      <c r="F2664" t="s">
        <v>15</v>
      </c>
      <c r="G2664" t="s">
        <v>1399</v>
      </c>
      <c r="H2664">
        <v>75</v>
      </c>
      <c r="I2664">
        <f t="shared" si="43"/>
        <v>93</v>
      </c>
    </row>
    <row r="2665" spans="1:9">
      <c r="A2665" s="1">
        <v>42594.585416666669</v>
      </c>
      <c r="B2665" s="19">
        <v>42621</v>
      </c>
      <c r="C2665" s="21">
        <v>0.1701388888888889</v>
      </c>
      <c r="D2665" s="20" t="s">
        <v>3054</v>
      </c>
      <c r="E2665" t="s">
        <v>2</v>
      </c>
      <c r="F2665" t="s">
        <v>5</v>
      </c>
      <c r="G2665" t="s">
        <v>1402</v>
      </c>
      <c r="H2665">
        <v>10</v>
      </c>
      <c r="I2665">
        <f t="shared" si="43"/>
        <v>13</v>
      </c>
    </row>
    <row r="2666" spans="1:9">
      <c r="A2666" s="1">
        <v>42594.576388888891</v>
      </c>
      <c r="B2666" s="19">
        <v>42621</v>
      </c>
      <c r="C2666" s="21">
        <v>0.13333333333333333</v>
      </c>
      <c r="D2666" s="20" t="s">
        <v>3053</v>
      </c>
      <c r="E2666" t="s">
        <v>6</v>
      </c>
      <c r="F2666" t="s">
        <v>21</v>
      </c>
      <c r="G2666" t="s">
        <v>1403</v>
      </c>
      <c r="H2666" t="e">
        <v>#VALUE!</v>
      </c>
      <c r="I2666" t="e">
        <f t="shared" si="43"/>
        <v>#VALUE!</v>
      </c>
    </row>
    <row r="2667" spans="1:9">
      <c r="A2667" s="1">
        <v>42594.316666666666</v>
      </c>
      <c r="B2667" s="19">
        <v>42621</v>
      </c>
      <c r="C2667" s="21">
        <v>0.91805555555555551</v>
      </c>
      <c r="D2667" s="20" t="s">
        <v>3049</v>
      </c>
      <c r="E2667" t="s">
        <v>0</v>
      </c>
      <c r="F2667" t="s">
        <v>10</v>
      </c>
      <c r="G2667" t="s">
        <v>255</v>
      </c>
      <c r="H2667">
        <v>13</v>
      </c>
      <c r="I2667">
        <f t="shared" si="43"/>
        <v>17</v>
      </c>
    </row>
    <row r="2668" spans="1:9">
      <c r="A2668" s="1">
        <v>42594.248611111114</v>
      </c>
      <c r="B2668" s="19">
        <v>42621</v>
      </c>
      <c r="C2668" s="21">
        <v>0.90972222222222221</v>
      </c>
      <c r="D2668" s="20" t="s">
        <v>3048</v>
      </c>
      <c r="E2668" t="s">
        <v>0</v>
      </c>
      <c r="F2668" t="s">
        <v>10</v>
      </c>
      <c r="G2668" t="s">
        <v>84</v>
      </c>
      <c r="H2668">
        <v>13</v>
      </c>
      <c r="I2668">
        <f t="shared" si="43"/>
        <v>17</v>
      </c>
    </row>
    <row r="2669" spans="1:9">
      <c r="A2669" s="1">
        <v>42594.248611111114</v>
      </c>
      <c r="B2669" s="19">
        <v>42621</v>
      </c>
      <c r="C2669" s="21">
        <v>0.43263888888888891</v>
      </c>
      <c r="D2669" s="20" t="s">
        <v>3036</v>
      </c>
      <c r="E2669" t="s">
        <v>18</v>
      </c>
      <c r="F2669" t="s">
        <v>19</v>
      </c>
      <c r="G2669" t="s">
        <v>1400</v>
      </c>
      <c r="H2669">
        <v>19</v>
      </c>
      <c r="I2669">
        <f t="shared" si="43"/>
        <v>24</v>
      </c>
    </row>
    <row r="2670" spans="1:9">
      <c r="A2670" s="1">
        <v>42594.97152777778</v>
      </c>
      <c r="B2670" s="19">
        <v>42621</v>
      </c>
      <c r="C2670" s="21">
        <v>0.26041666666666669</v>
      </c>
      <c r="D2670" s="20" t="s">
        <v>3031</v>
      </c>
      <c r="E2670" t="s">
        <v>18</v>
      </c>
      <c r="F2670" t="s">
        <v>100</v>
      </c>
      <c r="H2670" t="e">
        <v>#VALUE!</v>
      </c>
      <c r="I2670" t="e">
        <f t="shared" si="43"/>
        <v>#VALUE!</v>
      </c>
    </row>
    <row r="2671" spans="1:9">
      <c r="A2671" s="1">
        <v>42594.801388888889</v>
      </c>
      <c r="B2671" s="19">
        <v>42621</v>
      </c>
      <c r="C2671" s="21">
        <v>0.18611111111111112</v>
      </c>
      <c r="D2671" s="20" t="s">
        <v>3054</v>
      </c>
      <c r="E2671" t="s">
        <v>33</v>
      </c>
      <c r="G2671" t="s">
        <v>1401</v>
      </c>
      <c r="H2671">
        <v>2</v>
      </c>
      <c r="I2671">
        <f t="shared" si="43"/>
        <v>3</v>
      </c>
    </row>
    <row r="2672" spans="1:9">
      <c r="A2672" s="1">
        <v>42594.570833333331</v>
      </c>
      <c r="B2672" s="19">
        <v>42622</v>
      </c>
      <c r="C2672" s="21">
        <v>0.86944444444444446</v>
      </c>
      <c r="D2672" s="20" t="s">
        <v>3047</v>
      </c>
      <c r="E2672" t="s">
        <v>6</v>
      </c>
      <c r="F2672" t="s">
        <v>26</v>
      </c>
      <c r="G2672" t="s">
        <v>453</v>
      </c>
      <c r="H2672">
        <v>3</v>
      </c>
      <c r="I2672">
        <f t="shared" si="43"/>
        <v>4</v>
      </c>
    </row>
    <row r="2673" spans="1:9">
      <c r="A2673" s="1">
        <v>42594.432638888888</v>
      </c>
      <c r="B2673" s="19">
        <v>42622</v>
      </c>
      <c r="C2673" s="21">
        <v>0.82638888888888884</v>
      </c>
      <c r="D2673" s="20" t="s">
        <v>3046</v>
      </c>
      <c r="E2673" t="s">
        <v>6</v>
      </c>
      <c r="F2673" t="s">
        <v>26</v>
      </c>
      <c r="G2673" t="s">
        <v>1391</v>
      </c>
      <c r="H2673">
        <v>10</v>
      </c>
      <c r="I2673">
        <f t="shared" si="43"/>
        <v>13</v>
      </c>
    </row>
    <row r="2674" spans="1:9">
      <c r="A2674" s="1">
        <v>42594.429861111108</v>
      </c>
      <c r="B2674" s="19">
        <v>42622</v>
      </c>
      <c r="C2674" s="21">
        <v>0.69722222222222219</v>
      </c>
      <c r="D2674" s="20" t="s">
        <v>3043</v>
      </c>
      <c r="E2674" t="s">
        <v>2</v>
      </c>
      <c r="F2674" t="s">
        <v>5</v>
      </c>
      <c r="G2674" t="s">
        <v>1392</v>
      </c>
      <c r="H2674">
        <v>9</v>
      </c>
      <c r="I2674">
        <f t="shared" si="43"/>
        <v>12</v>
      </c>
    </row>
    <row r="2675" spans="1:9">
      <c r="A2675" s="1">
        <v>42594.334027777775</v>
      </c>
      <c r="B2675" s="19">
        <v>42622</v>
      </c>
      <c r="C2675" s="21">
        <v>0.65277777777777779</v>
      </c>
      <c r="D2675" s="20" t="s">
        <v>3042</v>
      </c>
      <c r="E2675" t="s">
        <v>6</v>
      </c>
      <c r="F2675" t="s">
        <v>273</v>
      </c>
      <c r="G2675" t="s">
        <v>1393</v>
      </c>
      <c r="H2675">
        <v>80</v>
      </c>
      <c r="I2675">
        <f t="shared" si="43"/>
        <v>100</v>
      </c>
    </row>
    <row r="2676" spans="1:9">
      <c r="A2676" s="1">
        <v>42594.332638888889</v>
      </c>
      <c r="B2676" s="19">
        <v>42622</v>
      </c>
      <c r="C2676" s="21">
        <v>0.58263888888888893</v>
      </c>
      <c r="D2676" s="20" t="s">
        <v>3039</v>
      </c>
      <c r="E2676" t="s">
        <v>6</v>
      </c>
      <c r="F2676" t="s">
        <v>15</v>
      </c>
      <c r="G2676" t="s">
        <v>1377</v>
      </c>
      <c r="H2676">
        <v>41</v>
      </c>
      <c r="I2676">
        <f t="shared" si="43"/>
        <v>51</v>
      </c>
    </row>
    <row r="2677" spans="1:9">
      <c r="A2677" s="1">
        <v>42594.305555555555</v>
      </c>
      <c r="B2677" s="19">
        <v>42622</v>
      </c>
      <c r="C2677" s="21">
        <v>0.47708333333333336</v>
      </c>
      <c r="D2677" s="20" t="s">
        <v>3037</v>
      </c>
      <c r="E2677" t="s">
        <v>2</v>
      </c>
      <c r="F2677" t="s">
        <v>5</v>
      </c>
      <c r="G2677" t="s">
        <v>1394</v>
      </c>
      <c r="H2677" t="e">
        <v>#VALUE!</v>
      </c>
      <c r="I2677" t="e">
        <f t="shared" si="43"/>
        <v>#VALUE!</v>
      </c>
    </row>
    <row r="2678" spans="1:9">
      <c r="A2678" s="1">
        <v>42594.267361111109</v>
      </c>
      <c r="B2678" s="19">
        <v>42622</v>
      </c>
      <c r="C2678" s="21">
        <v>0.44097222222222221</v>
      </c>
      <c r="D2678" s="20" t="s">
        <v>3036</v>
      </c>
      <c r="E2678" t="s">
        <v>6</v>
      </c>
      <c r="F2678" t="s">
        <v>26</v>
      </c>
      <c r="G2678" t="s">
        <v>1395</v>
      </c>
      <c r="H2678">
        <v>66</v>
      </c>
      <c r="I2678">
        <f t="shared" si="43"/>
        <v>82</v>
      </c>
    </row>
    <row r="2679" spans="1:9">
      <c r="A2679" s="1">
        <v>42594.215277777781</v>
      </c>
      <c r="B2679" s="19">
        <v>42623</v>
      </c>
      <c r="C2679" s="21">
        <v>0.17847222222222223</v>
      </c>
      <c r="D2679" s="20" t="s">
        <v>3054</v>
      </c>
      <c r="E2679" t="s">
        <v>6</v>
      </c>
      <c r="F2679" t="s">
        <v>76</v>
      </c>
      <c r="G2679" t="s">
        <v>65</v>
      </c>
      <c r="H2679">
        <v>12</v>
      </c>
      <c r="I2679">
        <f t="shared" si="43"/>
        <v>15</v>
      </c>
    </row>
    <row r="2680" spans="1:9">
      <c r="A2680" s="1">
        <v>42594.209722222222</v>
      </c>
      <c r="B2680" s="19">
        <v>42623</v>
      </c>
      <c r="C2680" s="21">
        <v>8.4722222222222227E-2</v>
      </c>
      <c r="D2680" s="20" t="s">
        <v>3052</v>
      </c>
      <c r="E2680" t="s">
        <v>2</v>
      </c>
      <c r="F2680" t="s">
        <v>3</v>
      </c>
      <c r="G2680" t="s">
        <v>1388</v>
      </c>
      <c r="H2680">
        <v>13</v>
      </c>
      <c r="I2680">
        <f t="shared" si="43"/>
        <v>17</v>
      </c>
    </row>
    <row r="2681" spans="1:9">
      <c r="A2681" s="1">
        <v>42594.199305555558</v>
      </c>
      <c r="B2681" s="19">
        <v>42623</v>
      </c>
      <c r="C2681" s="21">
        <v>0.23333333333333334</v>
      </c>
      <c r="D2681" s="20" t="s">
        <v>3055</v>
      </c>
      <c r="E2681" t="s">
        <v>33</v>
      </c>
      <c r="F2681" t="s">
        <v>44</v>
      </c>
      <c r="G2681" t="s">
        <v>1387</v>
      </c>
      <c r="H2681">
        <v>38</v>
      </c>
      <c r="I2681">
        <f t="shared" si="43"/>
        <v>48</v>
      </c>
    </row>
    <row r="2682" spans="1:9">
      <c r="A2682" s="1">
        <v>42594.176388888889</v>
      </c>
      <c r="B2682" s="19">
        <v>42623</v>
      </c>
      <c r="C2682" s="21">
        <v>4.791666666666667E-2</v>
      </c>
      <c r="D2682" s="20" t="s">
        <v>3051</v>
      </c>
      <c r="E2682" t="s">
        <v>33</v>
      </c>
      <c r="F2682" t="s">
        <v>155</v>
      </c>
      <c r="G2682" t="s">
        <v>1389</v>
      </c>
      <c r="H2682">
        <v>7</v>
      </c>
      <c r="I2682">
        <f t="shared" si="43"/>
        <v>9</v>
      </c>
    </row>
    <row r="2683" spans="1:9">
      <c r="A2683" s="1">
        <v>42594.041666666664</v>
      </c>
      <c r="B2683" s="19">
        <v>42623</v>
      </c>
      <c r="C2683" s="21">
        <v>4.5138888888888888E-2</v>
      </c>
      <c r="D2683" s="20" t="s">
        <v>3051</v>
      </c>
      <c r="E2683" t="s">
        <v>18</v>
      </c>
      <c r="F2683" t="s">
        <v>100</v>
      </c>
      <c r="G2683" t="s">
        <v>1390</v>
      </c>
      <c r="H2683">
        <v>25</v>
      </c>
      <c r="I2683">
        <f t="shared" si="43"/>
        <v>31</v>
      </c>
    </row>
    <row r="2684" spans="1:9">
      <c r="A2684" s="1">
        <v>42594.031944444447</v>
      </c>
      <c r="B2684" s="19">
        <v>42625</v>
      </c>
      <c r="C2684" s="21">
        <v>0.94444444444444442</v>
      </c>
      <c r="D2684" s="20" t="s">
        <v>3049</v>
      </c>
      <c r="E2684" t="s">
        <v>6</v>
      </c>
      <c r="F2684" t="s">
        <v>26</v>
      </c>
      <c r="G2684" t="s">
        <v>661</v>
      </c>
      <c r="H2684" t="e">
        <v>#VALUE!</v>
      </c>
      <c r="I2684" t="e">
        <f t="shared" si="43"/>
        <v>#VALUE!</v>
      </c>
    </row>
    <row r="2685" spans="1:9">
      <c r="A2685" s="1">
        <v>42594.015277777777</v>
      </c>
      <c r="B2685" s="19">
        <v>42625</v>
      </c>
      <c r="C2685" s="21">
        <v>0.92222222222222228</v>
      </c>
      <c r="D2685" s="20" t="s">
        <v>3049</v>
      </c>
      <c r="E2685" t="s">
        <v>6</v>
      </c>
      <c r="F2685" t="s">
        <v>273</v>
      </c>
      <c r="G2685" t="s">
        <v>1379</v>
      </c>
      <c r="H2685">
        <v>31</v>
      </c>
      <c r="I2685">
        <f t="shared" si="43"/>
        <v>39</v>
      </c>
    </row>
    <row r="2686" spans="1:9">
      <c r="A2686" s="1">
        <v>42594.011805555558</v>
      </c>
      <c r="B2686" s="19">
        <v>42625</v>
      </c>
      <c r="C2686" s="21">
        <v>0.89722222222222225</v>
      </c>
      <c r="D2686" s="20" t="s">
        <v>3048</v>
      </c>
      <c r="E2686" t="s">
        <v>6</v>
      </c>
      <c r="F2686" t="s">
        <v>273</v>
      </c>
      <c r="G2686" t="s">
        <v>1380</v>
      </c>
      <c r="H2686">
        <v>35</v>
      </c>
      <c r="I2686">
        <f t="shared" si="43"/>
        <v>44</v>
      </c>
    </row>
    <row r="2687" spans="1:9">
      <c r="A2687" s="1">
        <v>42593.92083333333</v>
      </c>
      <c r="B2687" s="19">
        <v>42625</v>
      </c>
      <c r="C2687" s="21">
        <v>0.59097222222222223</v>
      </c>
      <c r="D2687" s="20" t="s">
        <v>3040</v>
      </c>
      <c r="E2687" t="s">
        <v>6</v>
      </c>
      <c r="F2687" t="s">
        <v>12</v>
      </c>
      <c r="G2687" t="s">
        <v>1381</v>
      </c>
      <c r="H2687">
        <v>7</v>
      </c>
      <c r="I2687">
        <f t="shared" si="43"/>
        <v>9</v>
      </c>
    </row>
    <row r="2688" spans="1:9">
      <c r="A2688" s="1">
        <v>42593.834027777775</v>
      </c>
      <c r="B2688" s="19">
        <v>42625</v>
      </c>
      <c r="C2688" s="21">
        <v>0.55555555555555558</v>
      </c>
      <c r="D2688" s="20" t="s">
        <v>3039</v>
      </c>
      <c r="E2688" t="s">
        <v>6</v>
      </c>
      <c r="F2688" t="s">
        <v>12</v>
      </c>
      <c r="G2688" t="s">
        <v>1382</v>
      </c>
      <c r="H2688">
        <v>4</v>
      </c>
      <c r="I2688">
        <f t="shared" si="43"/>
        <v>5</v>
      </c>
    </row>
    <row r="2689" spans="1:9">
      <c r="A2689" s="1">
        <v>42593.70208333333</v>
      </c>
      <c r="B2689" s="19">
        <v>42625</v>
      </c>
      <c r="C2689" s="21">
        <v>0.51875000000000004</v>
      </c>
      <c r="D2689" s="20" t="s">
        <v>3038</v>
      </c>
      <c r="E2689" t="s">
        <v>6</v>
      </c>
      <c r="F2689" t="s">
        <v>12</v>
      </c>
      <c r="G2689" t="s">
        <v>1382</v>
      </c>
      <c r="H2689">
        <v>4</v>
      </c>
      <c r="I2689">
        <f t="shared" si="43"/>
        <v>5</v>
      </c>
    </row>
    <row r="2690" spans="1:9">
      <c r="A2690" s="1">
        <v>42593.972916666666</v>
      </c>
      <c r="B2690" s="19">
        <v>42625</v>
      </c>
      <c r="C2690" s="21">
        <v>0.38055555555555554</v>
      </c>
      <c r="D2690" s="20" t="s">
        <v>3035</v>
      </c>
      <c r="E2690" t="s">
        <v>6</v>
      </c>
      <c r="F2690" t="s">
        <v>7</v>
      </c>
      <c r="G2690" t="s">
        <v>1385</v>
      </c>
      <c r="H2690">
        <v>84</v>
      </c>
      <c r="I2690">
        <f t="shared" si="43"/>
        <v>105</v>
      </c>
    </row>
    <row r="2691" spans="1:9">
      <c r="A2691" s="1">
        <v>42593.96875</v>
      </c>
      <c r="B2691" s="19">
        <v>42625</v>
      </c>
      <c r="C2691" s="21">
        <v>0.63749999999999996</v>
      </c>
      <c r="D2691" s="20" t="s">
        <v>3042</v>
      </c>
      <c r="E2691" t="s">
        <v>77</v>
      </c>
      <c r="G2691" t="s">
        <v>3116</v>
      </c>
      <c r="H2691">
        <v>2</v>
      </c>
      <c r="I2691">
        <f t="shared" ref="I2691:I2754" si="44">ROUNDUP((H2691*1.24), 0)</f>
        <v>3</v>
      </c>
    </row>
    <row r="2692" spans="1:9" ht="28.8">
      <c r="A2692" s="1">
        <v>42593.92083333333</v>
      </c>
      <c r="B2692" s="19">
        <v>42625</v>
      </c>
      <c r="C2692" s="21">
        <v>0.51111111111111107</v>
      </c>
      <c r="D2692" s="20" t="s">
        <v>3038</v>
      </c>
      <c r="E2692" t="s">
        <v>18</v>
      </c>
      <c r="F2692" t="s">
        <v>100</v>
      </c>
      <c r="G2692" s="2" t="s">
        <v>1383</v>
      </c>
      <c r="H2692">
        <v>13</v>
      </c>
      <c r="I2692">
        <f t="shared" si="44"/>
        <v>17</v>
      </c>
    </row>
    <row r="2693" spans="1:9">
      <c r="A2693" s="1">
        <v>42593.59097222222</v>
      </c>
      <c r="B2693" s="19">
        <v>42625</v>
      </c>
      <c r="C2693" s="21">
        <v>0.44861111111111113</v>
      </c>
      <c r="D2693" s="20" t="s">
        <v>3036</v>
      </c>
      <c r="E2693" t="s">
        <v>18</v>
      </c>
      <c r="F2693" t="s">
        <v>100</v>
      </c>
      <c r="G2693" t="s">
        <v>1384</v>
      </c>
      <c r="H2693">
        <v>8</v>
      </c>
      <c r="I2693">
        <f t="shared" si="44"/>
        <v>10</v>
      </c>
    </row>
    <row r="2694" spans="1:9">
      <c r="A2694" s="1">
        <v>42593.262499999997</v>
      </c>
      <c r="B2694" s="19">
        <v>42625</v>
      </c>
      <c r="C2694" s="21">
        <v>0.25138888888888888</v>
      </c>
      <c r="D2694" s="20" t="s">
        <v>3031</v>
      </c>
      <c r="E2694" t="s">
        <v>0</v>
      </c>
      <c r="G2694" t="s">
        <v>1386</v>
      </c>
      <c r="H2694">
        <v>28</v>
      </c>
      <c r="I2694">
        <f t="shared" si="44"/>
        <v>35</v>
      </c>
    </row>
    <row r="2695" spans="1:9">
      <c r="A2695" s="1">
        <v>42593.261805555558</v>
      </c>
      <c r="B2695" s="19">
        <v>42626</v>
      </c>
      <c r="C2695" s="21">
        <v>0.61250000000000004</v>
      </c>
      <c r="D2695" s="20" t="s">
        <v>3040</v>
      </c>
      <c r="E2695" t="s">
        <v>6</v>
      </c>
      <c r="F2695" t="s">
        <v>89</v>
      </c>
      <c r="G2695" t="s">
        <v>1373</v>
      </c>
      <c r="H2695">
        <v>3</v>
      </c>
      <c r="I2695">
        <f t="shared" si="44"/>
        <v>4</v>
      </c>
    </row>
    <row r="2696" spans="1:9">
      <c r="A2696" s="1">
        <v>42592.668055555558</v>
      </c>
      <c r="B2696" s="19">
        <v>42626</v>
      </c>
      <c r="C2696" s="21">
        <v>0.48888888888888887</v>
      </c>
      <c r="D2696" s="20" t="s">
        <v>3037</v>
      </c>
      <c r="E2696" t="s">
        <v>6</v>
      </c>
      <c r="F2696" t="s">
        <v>15</v>
      </c>
      <c r="G2696" t="s">
        <v>1375</v>
      </c>
      <c r="H2696">
        <v>137</v>
      </c>
      <c r="I2696">
        <f t="shared" si="44"/>
        <v>170</v>
      </c>
    </row>
    <row r="2697" spans="1:9">
      <c r="A2697" s="1">
        <v>42592.609722222223</v>
      </c>
      <c r="B2697" s="19">
        <v>42626</v>
      </c>
      <c r="C2697" s="21">
        <v>0.27847222222222223</v>
      </c>
      <c r="D2697" s="20" t="s">
        <v>3031</v>
      </c>
      <c r="E2697" t="s">
        <v>2</v>
      </c>
      <c r="F2697" t="s">
        <v>5</v>
      </c>
      <c r="G2697" t="s">
        <v>67</v>
      </c>
      <c r="H2697">
        <v>18</v>
      </c>
      <c r="I2697">
        <f t="shared" si="44"/>
        <v>23</v>
      </c>
    </row>
    <row r="2698" spans="1:9">
      <c r="A2698" s="1">
        <v>42592.589583333334</v>
      </c>
      <c r="B2698" s="19">
        <v>42626</v>
      </c>
      <c r="C2698" s="21">
        <v>0.25</v>
      </c>
      <c r="D2698" s="20" t="s">
        <v>3031</v>
      </c>
      <c r="E2698" t="s">
        <v>6</v>
      </c>
      <c r="F2698" t="s">
        <v>12</v>
      </c>
      <c r="G2698" t="s">
        <v>1377</v>
      </c>
      <c r="H2698">
        <v>51</v>
      </c>
      <c r="I2698">
        <f t="shared" si="44"/>
        <v>64</v>
      </c>
    </row>
    <row r="2699" spans="1:9">
      <c r="A2699" s="1">
        <v>42592.584027777775</v>
      </c>
      <c r="B2699" s="19">
        <v>42626</v>
      </c>
      <c r="C2699" s="21">
        <v>0.10555555555555556</v>
      </c>
      <c r="D2699" s="20" t="s">
        <v>3052</v>
      </c>
      <c r="E2699" t="s">
        <v>6</v>
      </c>
      <c r="F2699" t="s">
        <v>12</v>
      </c>
      <c r="G2699" t="s">
        <v>1378</v>
      </c>
      <c r="H2699" t="e">
        <v>#VALUE!</v>
      </c>
      <c r="I2699" t="e">
        <f t="shared" si="44"/>
        <v>#VALUE!</v>
      </c>
    </row>
    <row r="2700" spans="1:9">
      <c r="A2700" s="1">
        <v>42592.576388888891</v>
      </c>
      <c r="B2700" s="19">
        <v>42626</v>
      </c>
      <c r="C2700" s="21">
        <v>0.90833333333333333</v>
      </c>
      <c r="D2700" s="20" t="s">
        <v>3048</v>
      </c>
      <c r="E2700" t="s">
        <v>77</v>
      </c>
      <c r="G2700" t="s">
        <v>3115</v>
      </c>
      <c r="H2700">
        <v>2</v>
      </c>
      <c r="I2700">
        <f t="shared" si="44"/>
        <v>3</v>
      </c>
    </row>
    <row r="2701" spans="1:9">
      <c r="A2701" s="1">
        <v>42592.552777777775</v>
      </c>
      <c r="B2701" s="19">
        <v>42626</v>
      </c>
      <c r="C2701" s="21">
        <v>0.55972222222222223</v>
      </c>
      <c r="D2701" s="20" t="s">
        <v>3039</v>
      </c>
      <c r="E2701" t="s">
        <v>0</v>
      </c>
      <c r="G2701" t="s">
        <v>1374</v>
      </c>
      <c r="H2701">
        <v>7</v>
      </c>
      <c r="I2701">
        <f t="shared" si="44"/>
        <v>9</v>
      </c>
    </row>
    <row r="2702" spans="1:9">
      <c r="A2702" s="1">
        <v>42592.50277777778</v>
      </c>
      <c r="B2702" s="19">
        <v>42626</v>
      </c>
      <c r="C2702" s="21">
        <v>0.375</v>
      </c>
      <c r="D2702" s="20" t="s">
        <v>3035</v>
      </c>
      <c r="E2702" t="s">
        <v>0</v>
      </c>
      <c r="G2702" t="s">
        <v>335</v>
      </c>
      <c r="H2702">
        <v>4</v>
      </c>
      <c r="I2702">
        <f t="shared" si="44"/>
        <v>5</v>
      </c>
    </row>
    <row r="2703" spans="1:9">
      <c r="A2703" s="1">
        <v>42592.366666666669</v>
      </c>
      <c r="B2703" s="19">
        <v>42626</v>
      </c>
      <c r="C2703" s="21">
        <v>0.29583333333333334</v>
      </c>
      <c r="D2703" s="20" t="s">
        <v>3033</v>
      </c>
      <c r="E2703" t="s">
        <v>0</v>
      </c>
      <c r="F2703" t="s">
        <v>1</v>
      </c>
      <c r="G2703" t="s">
        <v>1376</v>
      </c>
      <c r="H2703">
        <v>14</v>
      </c>
      <c r="I2703">
        <f t="shared" si="44"/>
        <v>18</v>
      </c>
    </row>
    <row r="2704" spans="1:9">
      <c r="A2704" s="1">
        <v>42592.760416666664</v>
      </c>
      <c r="B2704" s="19">
        <v>42627</v>
      </c>
      <c r="C2704" s="21">
        <v>0.98819444444444449</v>
      </c>
      <c r="D2704" s="20" t="s">
        <v>3063</v>
      </c>
      <c r="E2704" t="s">
        <v>6</v>
      </c>
      <c r="F2704" t="s">
        <v>7</v>
      </c>
      <c r="G2704" t="s">
        <v>358</v>
      </c>
      <c r="H2704">
        <v>7</v>
      </c>
      <c r="I2704">
        <f t="shared" si="44"/>
        <v>9</v>
      </c>
    </row>
    <row r="2705" spans="1:9">
      <c r="A2705" s="1">
        <v>42592.681250000001</v>
      </c>
      <c r="B2705" s="19">
        <v>42627</v>
      </c>
      <c r="C2705" s="21">
        <v>0.98333333333333328</v>
      </c>
      <c r="D2705" s="20" t="s">
        <v>3063</v>
      </c>
      <c r="E2705" t="s">
        <v>6</v>
      </c>
      <c r="F2705" t="s">
        <v>21</v>
      </c>
      <c r="G2705" t="s">
        <v>83</v>
      </c>
      <c r="H2705">
        <v>7</v>
      </c>
      <c r="I2705">
        <f t="shared" si="44"/>
        <v>9</v>
      </c>
    </row>
    <row r="2706" spans="1:9">
      <c r="A2706" s="1">
        <v>42592.629861111112</v>
      </c>
      <c r="B2706" s="19">
        <v>42627</v>
      </c>
      <c r="C2706" s="21">
        <v>0.7729166666666667</v>
      </c>
      <c r="D2706" s="20" t="s">
        <v>3045</v>
      </c>
      <c r="E2706" t="s">
        <v>6</v>
      </c>
      <c r="F2706" t="s">
        <v>273</v>
      </c>
      <c r="G2706" t="s">
        <v>1361</v>
      </c>
      <c r="H2706">
        <v>44</v>
      </c>
      <c r="I2706">
        <f t="shared" si="44"/>
        <v>55</v>
      </c>
    </row>
    <row r="2707" spans="1:9">
      <c r="A2707" s="1">
        <v>42592.513194444444</v>
      </c>
      <c r="B2707" s="19">
        <v>42627</v>
      </c>
      <c r="C2707" s="21">
        <v>0.70902777777777781</v>
      </c>
      <c r="D2707" s="20" t="s">
        <v>3044</v>
      </c>
      <c r="E2707" t="s">
        <v>6</v>
      </c>
      <c r="F2707" t="s">
        <v>7</v>
      </c>
      <c r="G2707" t="s">
        <v>1362</v>
      </c>
      <c r="H2707" t="e">
        <v>#VALUE!</v>
      </c>
      <c r="I2707" t="e">
        <f t="shared" si="44"/>
        <v>#VALUE!</v>
      </c>
    </row>
    <row r="2708" spans="1:9">
      <c r="A2708" s="1">
        <v>42592.49722222222</v>
      </c>
      <c r="B2708" s="19">
        <v>42627</v>
      </c>
      <c r="C2708" s="21">
        <v>0.70694444444444449</v>
      </c>
      <c r="D2708" s="20" t="s">
        <v>3043</v>
      </c>
      <c r="E2708" t="s">
        <v>6</v>
      </c>
      <c r="F2708" t="s">
        <v>12</v>
      </c>
      <c r="G2708" t="s">
        <v>682</v>
      </c>
      <c r="H2708">
        <v>7</v>
      </c>
      <c r="I2708">
        <f t="shared" si="44"/>
        <v>9</v>
      </c>
    </row>
    <row r="2709" spans="1:9">
      <c r="A2709" s="1">
        <v>42592.364583333336</v>
      </c>
      <c r="B2709" s="19">
        <v>42627</v>
      </c>
      <c r="C2709" s="21">
        <v>0.50555555555555554</v>
      </c>
      <c r="D2709" s="20" t="s">
        <v>3038</v>
      </c>
      <c r="E2709" t="s">
        <v>2</v>
      </c>
      <c r="F2709" t="s">
        <v>5</v>
      </c>
      <c r="H2709">
        <v>62</v>
      </c>
      <c r="I2709">
        <f t="shared" si="44"/>
        <v>77</v>
      </c>
    </row>
    <row r="2710" spans="1:9">
      <c r="A2710" s="1">
        <v>42592.245833333334</v>
      </c>
      <c r="B2710" s="19">
        <v>42627</v>
      </c>
      <c r="C2710" s="21">
        <v>0.50138888888888888</v>
      </c>
      <c r="D2710" s="20" t="s">
        <v>3038</v>
      </c>
      <c r="E2710" t="s">
        <v>6</v>
      </c>
      <c r="F2710" t="s">
        <v>89</v>
      </c>
      <c r="G2710" t="s">
        <v>1363</v>
      </c>
      <c r="H2710">
        <v>8</v>
      </c>
      <c r="I2710">
        <f t="shared" si="44"/>
        <v>10</v>
      </c>
    </row>
    <row r="2711" spans="1:9" ht="43.2">
      <c r="A2711" s="1">
        <v>42592.172222222223</v>
      </c>
      <c r="B2711" s="19">
        <v>42627</v>
      </c>
      <c r="C2711" s="21">
        <v>0.47499999999999998</v>
      </c>
      <c r="D2711" s="20" t="s">
        <v>3037</v>
      </c>
      <c r="E2711" t="s">
        <v>6</v>
      </c>
      <c r="F2711" t="s">
        <v>89</v>
      </c>
      <c r="G2711" s="2" t="s">
        <v>1364</v>
      </c>
      <c r="H2711">
        <v>7</v>
      </c>
      <c r="I2711">
        <f t="shared" si="44"/>
        <v>9</v>
      </c>
    </row>
    <row r="2712" spans="1:9">
      <c r="A2712" s="1">
        <v>42592.113194444442</v>
      </c>
      <c r="B2712" s="19">
        <v>42627</v>
      </c>
      <c r="C2712" s="21">
        <v>0.4513888888888889</v>
      </c>
      <c r="D2712" s="20" t="s">
        <v>3036</v>
      </c>
      <c r="E2712" t="s">
        <v>2</v>
      </c>
      <c r="F2712" t="s">
        <v>5</v>
      </c>
      <c r="G2712" t="s">
        <v>1365</v>
      </c>
      <c r="H2712">
        <v>25</v>
      </c>
      <c r="I2712">
        <f t="shared" si="44"/>
        <v>31</v>
      </c>
    </row>
    <row r="2713" spans="1:9">
      <c r="A2713" s="1">
        <v>42592.088194444441</v>
      </c>
      <c r="B2713" s="19">
        <v>42627</v>
      </c>
      <c r="C2713" s="21">
        <v>0.38055555555555554</v>
      </c>
      <c r="D2713" s="20" t="s">
        <v>3035</v>
      </c>
      <c r="E2713" t="s">
        <v>6</v>
      </c>
      <c r="F2713" t="s">
        <v>89</v>
      </c>
      <c r="G2713" t="s">
        <v>1366</v>
      </c>
      <c r="H2713" t="e">
        <v>#VALUE!</v>
      </c>
      <c r="I2713" t="e">
        <f t="shared" si="44"/>
        <v>#VALUE!</v>
      </c>
    </row>
    <row r="2714" spans="1:9">
      <c r="A2714" s="1">
        <v>42591.953472222223</v>
      </c>
      <c r="B2714" s="19">
        <v>42627</v>
      </c>
      <c r="C2714" s="21">
        <v>0.36527777777777776</v>
      </c>
      <c r="D2714" s="20" t="s">
        <v>3034</v>
      </c>
      <c r="E2714" t="s">
        <v>6</v>
      </c>
      <c r="F2714" t="s">
        <v>12</v>
      </c>
      <c r="G2714" t="s">
        <v>1367</v>
      </c>
      <c r="H2714">
        <v>3</v>
      </c>
      <c r="I2714">
        <f t="shared" si="44"/>
        <v>4</v>
      </c>
    </row>
    <row r="2715" spans="1:9" ht="43.2">
      <c r="A2715" s="1">
        <v>42591.669444444444</v>
      </c>
      <c r="B2715" s="19">
        <v>42627</v>
      </c>
      <c r="C2715" s="21">
        <v>0.3576388888888889</v>
      </c>
      <c r="D2715" s="20" t="s">
        <v>3034</v>
      </c>
      <c r="E2715" t="s">
        <v>6</v>
      </c>
      <c r="F2715" t="s">
        <v>89</v>
      </c>
      <c r="G2715" s="2" t="s">
        <v>1368</v>
      </c>
      <c r="H2715">
        <v>8</v>
      </c>
      <c r="I2715">
        <f t="shared" si="44"/>
        <v>10</v>
      </c>
    </row>
    <row r="2716" spans="1:9">
      <c r="A2716" s="1">
        <v>42591.595833333333</v>
      </c>
      <c r="B2716" s="19">
        <v>42627</v>
      </c>
      <c r="C2716" s="21">
        <v>0.27500000000000002</v>
      </c>
      <c r="D2716" s="20" t="s">
        <v>3031</v>
      </c>
      <c r="E2716" t="s">
        <v>2</v>
      </c>
      <c r="F2716" t="s">
        <v>5</v>
      </c>
      <c r="G2716" t="s">
        <v>1369</v>
      </c>
      <c r="H2716">
        <v>44</v>
      </c>
      <c r="I2716">
        <f t="shared" si="44"/>
        <v>55</v>
      </c>
    </row>
    <row r="2717" spans="1:9">
      <c r="A2717" s="1">
        <v>42591.595833333333</v>
      </c>
      <c r="B2717" s="19">
        <v>42627</v>
      </c>
      <c r="C2717" s="21">
        <v>0.25694444444444442</v>
      </c>
      <c r="D2717" s="20" t="s">
        <v>3031</v>
      </c>
      <c r="E2717" t="s">
        <v>6</v>
      </c>
      <c r="F2717" t="s">
        <v>7</v>
      </c>
      <c r="G2717" t="s">
        <v>1370</v>
      </c>
      <c r="H2717">
        <v>33</v>
      </c>
      <c r="I2717">
        <f t="shared" si="44"/>
        <v>41</v>
      </c>
    </row>
    <row r="2718" spans="1:9">
      <c r="A2718" s="1">
        <v>42591.576388888891</v>
      </c>
      <c r="B2718" s="19">
        <v>42627</v>
      </c>
      <c r="C2718" s="21">
        <v>0.20833333333333334</v>
      </c>
      <c r="D2718" s="20" t="s">
        <v>3055</v>
      </c>
      <c r="E2718" t="s">
        <v>33</v>
      </c>
      <c r="F2718" t="s">
        <v>44</v>
      </c>
      <c r="G2718" t="s">
        <v>1371</v>
      </c>
      <c r="H2718">
        <v>25</v>
      </c>
      <c r="I2718">
        <f t="shared" si="44"/>
        <v>31</v>
      </c>
    </row>
    <row r="2719" spans="1:9">
      <c r="A2719" s="1">
        <v>42591.351388888892</v>
      </c>
      <c r="B2719" s="19">
        <v>42627</v>
      </c>
      <c r="C2719" s="21">
        <v>0.16250000000000001</v>
      </c>
      <c r="D2719" s="20" t="s">
        <v>3053</v>
      </c>
      <c r="E2719" t="s">
        <v>33</v>
      </c>
      <c r="F2719" t="s">
        <v>44</v>
      </c>
      <c r="G2719" t="s">
        <v>1372</v>
      </c>
      <c r="H2719">
        <v>75</v>
      </c>
      <c r="I2719">
        <f t="shared" si="44"/>
        <v>93</v>
      </c>
    </row>
    <row r="2720" spans="1:9">
      <c r="A2720" s="1">
        <v>42591.255555555559</v>
      </c>
      <c r="B2720" s="19">
        <v>42628</v>
      </c>
      <c r="C2720" s="21">
        <v>0.98055555555555551</v>
      </c>
      <c r="D2720" s="20" t="s">
        <v>3063</v>
      </c>
      <c r="E2720" t="s">
        <v>6</v>
      </c>
      <c r="F2720" t="s">
        <v>15</v>
      </c>
      <c r="G2720" t="s">
        <v>1348</v>
      </c>
      <c r="H2720" t="e">
        <v>#VALUE!</v>
      </c>
      <c r="I2720" t="e">
        <f t="shared" si="44"/>
        <v>#VALUE!</v>
      </c>
    </row>
    <row r="2721" spans="1:9">
      <c r="A2721" s="1">
        <v>42591.247916666667</v>
      </c>
      <c r="B2721" s="19">
        <v>42628</v>
      </c>
      <c r="C2721" s="21">
        <v>0.95486111111111116</v>
      </c>
      <c r="D2721" s="20" t="s">
        <v>3049</v>
      </c>
      <c r="E2721" t="s">
        <v>6</v>
      </c>
      <c r="F2721" t="s">
        <v>7</v>
      </c>
      <c r="G2721" t="s">
        <v>1350</v>
      </c>
      <c r="H2721">
        <v>75</v>
      </c>
      <c r="I2721">
        <f t="shared" si="44"/>
        <v>93</v>
      </c>
    </row>
    <row r="2722" spans="1:9" ht="57.6">
      <c r="A2722" s="1">
        <v>42591.920138888891</v>
      </c>
      <c r="B2722" s="19">
        <v>42628</v>
      </c>
      <c r="C2722" s="21">
        <v>0.91874999999999996</v>
      </c>
      <c r="D2722" s="20" t="s">
        <v>3049</v>
      </c>
      <c r="E2722" t="s">
        <v>6</v>
      </c>
      <c r="F2722" t="s">
        <v>7</v>
      </c>
      <c r="G2722" s="2" t="s">
        <v>3113</v>
      </c>
      <c r="H2722">
        <v>62</v>
      </c>
      <c r="I2722">
        <f t="shared" si="44"/>
        <v>77</v>
      </c>
    </row>
    <row r="2723" spans="1:9">
      <c r="A2723" s="1">
        <v>42591.613888888889</v>
      </c>
      <c r="B2723" s="19">
        <v>42628</v>
      </c>
      <c r="C2723" s="21">
        <v>0.89652777777777781</v>
      </c>
      <c r="D2723" s="20" t="s">
        <v>3048</v>
      </c>
      <c r="E2723" t="s">
        <v>6</v>
      </c>
      <c r="F2723" t="s">
        <v>7</v>
      </c>
      <c r="G2723" t="s">
        <v>3114</v>
      </c>
      <c r="H2723">
        <v>0</v>
      </c>
      <c r="I2723">
        <f t="shared" si="44"/>
        <v>0</v>
      </c>
    </row>
    <row r="2724" spans="1:9">
      <c r="A2724" s="1">
        <v>42591.588194444441</v>
      </c>
      <c r="B2724" s="19">
        <v>42628</v>
      </c>
      <c r="C2724" s="21">
        <v>0.89652777777777781</v>
      </c>
      <c r="D2724" s="20" t="s">
        <v>3048</v>
      </c>
      <c r="E2724" t="s">
        <v>6</v>
      </c>
      <c r="F2724" t="s">
        <v>7</v>
      </c>
      <c r="G2724" t="s">
        <v>3114</v>
      </c>
      <c r="H2724">
        <v>38</v>
      </c>
      <c r="I2724">
        <f t="shared" si="44"/>
        <v>48</v>
      </c>
    </row>
    <row r="2725" spans="1:9">
      <c r="A2725" s="1">
        <v>42591.554166666669</v>
      </c>
      <c r="B2725" s="19">
        <v>42628</v>
      </c>
      <c r="C2725" s="21">
        <v>0.64166666666666672</v>
      </c>
      <c r="D2725" s="20" t="s">
        <v>3042</v>
      </c>
      <c r="E2725" t="s">
        <v>6</v>
      </c>
      <c r="F2725" t="s">
        <v>12</v>
      </c>
      <c r="G2725" t="s">
        <v>1351</v>
      </c>
      <c r="H2725">
        <v>7</v>
      </c>
      <c r="I2725">
        <f t="shared" si="44"/>
        <v>9</v>
      </c>
    </row>
    <row r="2726" spans="1:9">
      <c r="A2726" s="1">
        <v>42591.531944444447</v>
      </c>
      <c r="B2726" s="19">
        <v>42628</v>
      </c>
      <c r="C2726" s="21">
        <v>0.64166666666666672</v>
      </c>
      <c r="D2726" s="20" t="s">
        <v>3042</v>
      </c>
      <c r="E2726" t="s">
        <v>6</v>
      </c>
      <c r="F2726" t="s">
        <v>12</v>
      </c>
      <c r="G2726" t="s">
        <v>1351</v>
      </c>
      <c r="H2726">
        <v>7</v>
      </c>
      <c r="I2726">
        <f t="shared" si="44"/>
        <v>9</v>
      </c>
    </row>
    <row r="2727" spans="1:9">
      <c r="A2727" s="1">
        <v>42591.498611111114</v>
      </c>
      <c r="B2727" s="19">
        <v>42628</v>
      </c>
      <c r="C2727" s="21">
        <v>0.44930555555555557</v>
      </c>
      <c r="D2727" s="20" t="s">
        <v>3036</v>
      </c>
      <c r="E2727" t="s">
        <v>2</v>
      </c>
      <c r="F2727" t="s">
        <v>5</v>
      </c>
      <c r="H2727">
        <v>4</v>
      </c>
      <c r="I2727">
        <f t="shared" si="44"/>
        <v>5</v>
      </c>
    </row>
    <row r="2728" spans="1:9">
      <c r="A2728" s="1">
        <v>42591.450694444444</v>
      </c>
      <c r="B2728" s="19">
        <v>42628</v>
      </c>
      <c r="C2728" s="21">
        <v>0.39444444444444443</v>
      </c>
      <c r="D2728" s="20" t="s">
        <v>3035</v>
      </c>
      <c r="E2728" t="s">
        <v>6</v>
      </c>
      <c r="F2728" t="s">
        <v>273</v>
      </c>
      <c r="G2728" t="s">
        <v>1352</v>
      </c>
      <c r="H2728" t="e">
        <v>#VALUE!</v>
      </c>
      <c r="I2728" t="e">
        <f t="shared" si="44"/>
        <v>#VALUE!</v>
      </c>
    </row>
    <row r="2729" spans="1:9">
      <c r="A2729" s="1">
        <v>42591.421527777777</v>
      </c>
      <c r="B2729" s="19">
        <v>42628</v>
      </c>
      <c r="C2729" s="21">
        <v>0.38541666666666669</v>
      </c>
      <c r="D2729" s="20" t="s">
        <v>3035</v>
      </c>
      <c r="E2729" t="s">
        <v>6</v>
      </c>
      <c r="F2729" t="s">
        <v>21</v>
      </c>
      <c r="G2729" t="s">
        <v>1353</v>
      </c>
      <c r="H2729">
        <v>13</v>
      </c>
      <c r="I2729">
        <f t="shared" si="44"/>
        <v>17</v>
      </c>
    </row>
    <row r="2730" spans="1:9">
      <c r="A2730" s="1">
        <v>42591.335416666669</v>
      </c>
      <c r="B2730" s="19">
        <v>42628</v>
      </c>
      <c r="C2730" s="21">
        <v>0.37083333333333335</v>
      </c>
      <c r="D2730" s="20" t="s">
        <v>3034</v>
      </c>
      <c r="E2730" t="s">
        <v>6</v>
      </c>
      <c r="F2730" t="s">
        <v>26</v>
      </c>
      <c r="G2730" t="s">
        <v>1354</v>
      </c>
      <c r="H2730">
        <v>10</v>
      </c>
      <c r="I2730">
        <f t="shared" si="44"/>
        <v>13</v>
      </c>
    </row>
    <row r="2731" spans="1:9">
      <c r="A2731" s="1">
        <v>42591.287499999999</v>
      </c>
      <c r="B2731" s="19">
        <v>42628</v>
      </c>
      <c r="C2731" s="21">
        <v>0.36180555555555555</v>
      </c>
      <c r="D2731" s="20" t="s">
        <v>3034</v>
      </c>
      <c r="E2731" t="s">
        <v>6</v>
      </c>
      <c r="F2731" t="s">
        <v>754</v>
      </c>
      <c r="G2731" t="s">
        <v>1355</v>
      </c>
      <c r="H2731">
        <v>17</v>
      </c>
      <c r="I2731">
        <f t="shared" si="44"/>
        <v>22</v>
      </c>
    </row>
    <row r="2732" spans="1:9">
      <c r="A2732" s="1">
        <v>42591.227083333331</v>
      </c>
      <c r="B2732" s="19">
        <v>42628</v>
      </c>
      <c r="C2732" s="21">
        <v>0.32361111111111113</v>
      </c>
      <c r="D2732" s="20" t="s">
        <v>3033</v>
      </c>
      <c r="E2732" t="s">
        <v>6</v>
      </c>
      <c r="F2732" t="s">
        <v>12</v>
      </c>
      <c r="G2732" t="s">
        <v>1356</v>
      </c>
      <c r="H2732">
        <v>5</v>
      </c>
      <c r="I2732">
        <f t="shared" si="44"/>
        <v>7</v>
      </c>
    </row>
    <row r="2733" spans="1:9">
      <c r="A2733" s="1">
        <v>42591.206944444442</v>
      </c>
      <c r="B2733" s="19">
        <v>42628</v>
      </c>
      <c r="C2733" s="21">
        <v>0.28194444444444444</v>
      </c>
      <c r="D2733" s="20" t="s">
        <v>3031</v>
      </c>
      <c r="E2733" t="s">
        <v>2</v>
      </c>
      <c r="F2733" t="s">
        <v>5</v>
      </c>
      <c r="H2733">
        <v>45</v>
      </c>
      <c r="I2733">
        <f t="shared" si="44"/>
        <v>56</v>
      </c>
    </row>
    <row r="2734" spans="1:9">
      <c r="A2734" s="1">
        <v>42590.696527777778</v>
      </c>
      <c r="B2734" s="19">
        <v>42628</v>
      </c>
      <c r="C2734" s="21">
        <v>0.25347222222222221</v>
      </c>
      <c r="D2734" s="20" t="s">
        <v>3031</v>
      </c>
      <c r="E2734" t="s">
        <v>6</v>
      </c>
      <c r="F2734" t="s">
        <v>76</v>
      </c>
      <c r="G2734" t="s">
        <v>1358</v>
      </c>
      <c r="H2734">
        <v>51</v>
      </c>
      <c r="I2734">
        <f t="shared" si="44"/>
        <v>64</v>
      </c>
    </row>
    <row r="2735" spans="1:9">
      <c r="A2735" s="1">
        <v>42590.576388888891</v>
      </c>
      <c r="B2735" s="19">
        <v>42628</v>
      </c>
      <c r="C2735" s="21">
        <v>2.013888888888889E-2</v>
      </c>
      <c r="D2735" s="20" t="s">
        <v>3050</v>
      </c>
      <c r="E2735" t="s">
        <v>2</v>
      </c>
      <c r="F2735" t="s">
        <v>5</v>
      </c>
      <c r="G2735" t="s">
        <v>1359</v>
      </c>
      <c r="H2735" t="e">
        <v>#VALUE!</v>
      </c>
      <c r="I2735" t="e">
        <f t="shared" si="44"/>
        <v>#VALUE!</v>
      </c>
    </row>
    <row r="2736" spans="1:9">
      <c r="A2736" s="1">
        <v>42590.255555555559</v>
      </c>
      <c r="B2736" s="19">
        <v>42628</v>
      </c>
      <c r="C2736" s="21">
        <v>3.472222222222222E-3</v>
      </c>
      <c r="D2736" s="20" t="s">
        <v>3050</v>
      </c>
      <c r="E2736" t="s">
        <v>6</v>
      </c>
      <c r="F2736" t="s">
        <v>76</v>
      </c>
      <c r="G2736" t="s">
        <v>1360</v>
      </c>
      <c r="H2736">
        <v>22</v>
      </c>
      <c r="I2736">
        <f t="shared" si="44"/>
        <v>28</v>
      </c>
    </row>
    <row r="2737" spans="1:9">
      <c r="A2737" s="1">
        <v>42590.25</v>
      </c>
      <c r="B2737" s="19">
        <v>42628</v>
      </c>
      <c r="C2737" s="21">
        <v>0.95694444444444449</v>
      </c>
      <c r="D2737" s="20" t="s">
        <v>3049</v>
      </c>
      <c r="E2737" t="s">
        <v>0</v>
      </c>
      <c r="F2737" t="s">
        <v>1</v>
      </c>
      <c r="G2737" t="s">
        <v>1349</v>
      </c>
      <c r="H2737">
        <v>23</v>
      </c>
      <c r="I2737">
        <f t="shared" si="44"/>
        <v>29</v>
      </c>
    </row>
    <row r="2738" spans="1:9">
      <c r="A2738" s="1">
        <v>42590.970833333333</v>
      </c>
      <c r="B2738" s="19">
        <v>42628</v>
      </c>
      <c r="C2738" s="21">
        <v>0.37986111111111109</v>
      </c>
      <c r="D2738" s="20" t="s">
        <v>3035</v>
      </c>
      <c r="E2738" t="s">
        <v>0</v>
      </c>
      <c r="F2738" t="s">
        <v>75</v>
      </c>
      <c r="G2738" t="s">
        <v>444</v>
      </c>
      <c r="H2738">
        <v>7</v>
      </c>
      <c r="I2738">
        <f t="shared" si="44"/>
        <v>9</v>
      </c>
    </row>
    <row r="2739" spans="1:9">
      <c r="A2739" s="1">
        <v>42590.804166666669</v>
      </c>
      <c r="B2739" s="19">
        <v>42628</v>
      </c>
      <c r="C2739" s="21">
        <v>0.30833333333333335</v>
      </c>
      <c r="D2739" s="20" t="s">
        <v>3033</v>
      </c>
      <c r="E2739" t="s">
        <v>18</v>
      </c>
      <c r="F2739" t="s">
        <v>100</v>
      </c>
      <c r="G2739" t="s">
        <v>1357</v>
      </c>
      <c r="H2739" t="e">
        <v>#VALUE!</v>
      </c>
      <c r="I2739" t="e">
        <f t="shared" si="44"/>
        <v>#VALUE!</v>
      </c>
    </row>
    <row r="2740" spans="1:9">
      <c r="A2740" s="1">
        <v>42590.784722222219</v>
      </c>
      <c r="B2740" s="19">
        <v>42629</v>
      </c>
      <c r="C2740" s="21">
        <v>0.92569444444444449</v>
      </c>
      <c r="D2740" s="20" t="s">
        <v>3049</v>
      </c>
      <c r="E2740" t="s">
        <v>6</v>
      </c>
      <c r="F2740" t="s">
        <v>21</v>
      </c>
      <c r="G2740" t="s">
        <v>1336</v>
      </c>
      <c r="H2740" t="e">
        <v>#VALUE!</v>
      </c>
      <c r="I2740" t="e">
        <f t="shared" si="44"/>
        <v>#VALUE!</v>
      </c>
    </row>
    <row r="2741" spans="1:9">
      <c r="A2741" s="1">
        <v>42590.779166666667</v>
      </c>
      <c r="B2741" s="19">
        <v>42629</v>
      </c>
      <c r="C2741" s="21">
        <v>0.90555555555555556</v>
      </c>
      <c r="D2741" s="20" t="s">
        <v>3048</v>
      </c>
      <c r="E2741" t="s">
        <v>2</v>
      </c>
      <c r="F2741" t="s">
        <v>5</v>
      </c>
      <c r="G2741" t="s">
        <v>1077</v>
      </c>
      <c r="H2741">
        <v>13</v>
      </c>
      <c r="I2741">
        <f t="shared" si="44"/>
        <v>17</v>
      </c>
    </row>
    <row r="2742" spans="1:9">
      <c r="A2742" s="1">
        <v>42590.679861111108</v>
      </c>
      <c r="B2742" s="19">
        <v>42629</v>
      </c>
      <c r="C2742" s="21">
        <v>0.87708333333333333</v>
      </c>
      <c r="D2742" s="20" t="s">
        <v>3048</v>
      </c>
      <c r="E2742" t="s">
        <v>6</v>
      </c>
      <c r="F2742" t="s">
        <v>21</v>
      </c>
      <c r="G2742" t="s">
        <v>1337</v>
      </c>
      <c r="H2742">
        <v>51</v>
      </c>
      <c r="I2742">
        <f t="shared" si="44"/>
        <v>64</v>
      </c>
    </row>
    <row r="2743" spans="1:9">
      <c r="A2743" s="1">
        <v>42590.638194444444</v>
      </c>
      <c r="B2743" s="19">
        <v>42629</v>
      </c>
      <c r="C2743" s="21">
        <v>0.85347222222222219</v>
      </c>
      <c r="D2743" s="20" t="s">
        <v>3047</v>
      </c>
      <c r="E2743" t="s">
        <v>2</v>
      </c>
      <c r="F2743" t="s">
        <v>5</v>
      </c>
      <c r="G2743" t="s">
        <v>1338</v>
      </c>
      <c r="H2743">
        <v>31</v>
      </c>
      <c r="I2743">
        <f t="shared" si="44"/>
        <v>39</v>
      </c>
    </row>
    <row r="2744" spans="1:9">
      <c r="A2744" s="1">
        <v>42590.629166666666</v>
      </c>
      <c r="B2744" s="19">
        <v>42629</v>
      </c>
      <c r="C2744" s="21">
        <v>0.85</v>
      </c>
      <c r="D2744" s="20" t="s">
        <v>3047</v>
      </c>
      <c r="E2744" t="s">
        <v>6</v>
      </c>
      <c r="F2744" t="s">
        <v>26</v>
      </c>
      <c r="G2744" t="s">
        <v>1339</v>
      </c>
      <c r="H2744">
        <v>7</v>
      </c>
      <c r="I2744">
        <f t="shared" si="44"/>
        <v>9</v>
      </c>
    </row>
    <row r="2745" spans="1:9">
      <c r="A2745" s="1">
        <v>42590.628472222219</v>
      </c>
      <c r="B2745" s="19">
        <v>42629</v>
      </c>
      <c r="C2745" s="21">
        <v>0.83750000000000002</v>
      </c>
      <c r="D2745" s="20" t="s">
        <v>3047</v>
      </c>
      <c r="E2745" t="s">
        <v>2</v>
      </c>
      <c r="F2745" t="s">
        <v>3</v>
      </c>
      <c r="G2745" t="s">
        <v>1340</v>
      </c>
      <c r="H2745">
        <v>13</v>
      </c>
      <c r="I2745">
        <f t="shared" si="44"/>
        <v>17</v>
      </c>
    </row>
    <row r="2746" spans="1:9">
      <c r="A2746" s="1">
        <v>42590.508333333331</v>
      </c>
      <c r="B2746" s="19">
        <v>42629</v>
      </c>
      <c r="C2746" s="21">
        <v>0.73541666666666672</v>
      </c>
      <c r="D2746" s="20" t="s">
        <v>3044</v>
      </c>
      <c r="E2746" t="s">
        <v>6</v>
      </c>
      <c r="F2746" t="s">
        <v>89</v>
      </c>
      <c r="G2746" t="s">
        <v>1341</v>
      </c>
      <c r="H2746">
        <v>2</v>
      </c>
      <c r="I2746">
        <f t="shared" si="44"/>
        <v>3</v>
      </c>
    </row>
    <row r="2747" spans="1:9">
      <c r="A2747" s="1">
        <v>42590.500694444447</v>
      </c>
      <c r="B2747" s="19">
        <v>42629</v>
      </c>
      <c r="C2747" s="21">
        <v>0.72847222222222219</v>
      </c>
      <c r="D2747" s="20" t="s">
        <v>3044</v>
      </c>
      <c r="E2747" t="s">
        <v>6</v>
      </c>
      <c r="F2747" t="s">
        <v>21</v>
      </c>
      <c r="G2747" t="s">
        <v>1077</v>
      </c>
      <c r="H2747">
        <v>5</v>
      </c>
      <c r="I2747">
        <f t="shared" si="44"/>
        <v>7</v>
      </c>
    </row>
    <row r="2748" spans="1:9">
      <c r="A2748" s="1">
        <v>42590.361805555556</v>
      </c>
      <c r="B2748" s="19">
        <v>42629</v>
      </c>
      <c r="C2748" s="21">
        <v>0.46805555555555556</v>
      </c>
      <c r="D2748" s="20" t="s">
        <v>3037</v>
      </c>
      <c r="E2748" t="s">
        <v>2</v>
      </c>
      <c r="F2748" t="s">
        <v>5</v>
      </c>
      <c r="G2748" t="s">
        <v>1343</v>
      </c>
      <c r="H2748" t="e">
        <v>#VALUE!</v>
      </c>
      <c r="I2748" t="e">
        <f t="shared" si="44"/>
        <v>#VALUE!</v>
      </c>
    </row>
    <row r="2749" spans="1:9">
      <c r="A2749" s="1">
        <v>42590.261805555558</v>
      </c>
      <c r="B2749" s="19">
        <v>42629</v>
      </c>
      <c r="C2749" s="21">
        <v>0.35069444444444442</v>
      </c>
      <c r="D2749" s="20" t="s">
        <v>3034</v>
      </c>
      <c r="E2749" t="s">
        <v>6</v>
      </c>
      <c r="F2749" t="s">
        <v>15</v>
      </c>
      <c r="G2749" t="s">
        <v>1344</v>
      </c>
      <c r="H2749" t="e">
        <v>#VALUE!</v>
      </c>
      <c r="I2749" t="e">
        <f t="shared" si="44"/>
        <v>#VALUE!</v>
      </c>
    </row>
    <row r="2750" spans="1:9" ht="43.2">
      <c r="A2750" s="1">
        <v>42588.176388888889</v>
      </c>
      <c r="B2750" s="19">
        <v>42629</v>
      </c>
      <c r="C2750" s="21">
        <v>0.25</v>
      </c>
      <c r="D2750" s="20" t="s">
        <v>3031</v>
      </c>
      <c r="E2750" t="s">
        <v>6</v>
      </c>
      <c r="F2750" t="s">
        <v>89</v>
      </c>
      <c r="G2750" s="2" t="s">
        <v>1346</v>
      </c>
      <c r="H2750">
        <v>7</v>
      </c>
      <c r="I2750">
        <f t="shared" si="44"/>
        <v>9</v>
      </c>
    </row>
    <row r="2751" spans="1:9">
      <c r="A2751" s="1">
        <v>42588.006944444445</v>
      </c>
      <c r="B2751" s="19">
        <v>42629</v>
      </c>
      <c r="C2751" s="21">
        <v>0.68680555555555556</v>
      </c>
      <c r="D2751" s="20" t="s">
        <v>3043</v>
      </c>
      <c r="E2751" t="s">
        <v>0</v>
      </c>
      <c r="F2751" t="s">
        <v>1</v>
      </c>
      <c r="H2751">
        <v>19</v>
      </c>
      <c r="I2751">
        <f t="shared" si="44"/>
        <v>24</v>
      </c>
    </row>
    <row r="2752" spans="1:9">
      <c r="A2752" s="1">
        <v>42588.1875</v>
      </c>
      <c r="B2752" s="19">
        <v>42629</v>
      </c>
      <c r="C2752" s="21">
        <v>0.68125000000000002</v>
      </c>
      <c r="D2752" s="20" t="s">
        <v>3043</v>
      </c>
      <c r="E2752" t="s">
        <v>730</v>
      </c>
      <c r="G2752" t="s">
        <v>1342</v>
      </c>
      <c r="H2752">
        <v>12</v>
      </c>
      <c r="I2752">
        <f t="shared" si="44"/>
        <v>15</v>
      </c>
    </row>
    <row r="2753" spans="1:9">
      <c r="A2753" s="1">
        <v>42588.184027777781</v>
      </c>
      <c r="B2753" s="19">
        <v>42629</v>
      </c>
      <c r="C2753" s="21">
        <v>0.26666666666666666</v>
      </c>
      <c r="D2753" s="20" t="s">
        <v>3031</v>
      </c>
      <c r="E2753" t="s">
        <v>18</v>
      </c>
      <c r="F2753" t="s">
        <v>100</v>
      </c>
      <c r="G2753" t="s">
        <v>1345</v>
      </c>
      <c r="H2753" t="e">
        <v>#VALUE!</v>
      </c>
      <c r="I2753" t="e">
        <f t="shared" si="44"/>
        <v>#VALUE!</v>
      </c>
    </row>
    <row r="2754" spans="1:9">
      <c r="A2754" s="1">
        <v>42588.106249999997</v>
      </c>
      <c r="B2754" s="19">
        <v>42629</v>
      </c>
      <c r="C2754" s="21">
        <v>0.22638888888888889</v>
      </c>
      <c r="D2754" s="20" t="s">
        <v>3055</v>
      </c>
      <c r="E2754" t="s">
        <v>77</v>
      </c>
      <c r="G2754" t="s">
        <v>1347</v>
      </c>
      <c r="H2754" t="e">
        <v>#VALUE!</v>
      </c>
      <c r="I2754" t="e">
        <f t="shared" si="44"/>
        <v>#VALUE!</v>
      </c>
    </row>
    <row r="2755" spans="1:9">
      <c r="A2755" s="1">
        <v>42588.086805555555</v>
      </c>
      <c r="B2755" s="19">
        <v>42632</v>
      </c>
      <c r="C2755" s="21">
        <v>0.9819444444444444</v>
      </c>
      <c r="D2755" s="20" t="s">
        <v>3063</v>
      </c>
      <c r="E2755" t="s">
        <v>2</v>
      </c>
      <c r="F2755" t="s">
        <v>5</v>
      </c>
      <c r="G2755" t="s">
        <v>1322</v>
      </c>
      <c r="H2755">
        <v>29</v>
      </c>
      <c r="I2755">
        <f t="shared" ref="I2755:I2818" si="45">ROUNDUP((H2755*1.24), 0)</f>
        <v>36</v>
      </c>
    </row>
    <row r="2756" spans="1:9">
      <c r="A2756" s="1">
        <v>42588.057638888888</v>
      </c>
      <c r="B2756" s="19">
        <v>42632</v>
      </c>
      <c r="C2756" s="21">
        <v>0.97777777777777775</v>
      </c>
      <c r="D2756" s="20" t="s">
        <v>3063</v>
      </c>
      <c r="E2756" t="s">
        <v>6</v>
      </c>
      <c r="F2756" t="s">
        <v>15</v>
      </c>
      <c r="G2756" t="s">
        <v>1323</v>
      </c>
      <c r="H2756">
        <v>8</v>
      </c>
      <c r="I2756">
        <f t="shared" si="45"/>
        <v>10</v>
      </c>
    </row>
    <row r="2757" spans="1:9">
      <c r="A2757" s="1">
        <v>42587.90902777778</v>
      </c>
      <c r="B2757" s="19">
        <v>42632</v>
      </c>
      <c r="C2757" s="21">
        <v>0.94374999999999998</v>
      </c>
      <c r="D2757" s="20" t="s">
        <v>3049</v>
      </c>
      <c r="E2757" t="s">
        <v>2</v>
      </c>
      <c r="F2757" t="s">
        <v>5</v>
      </c>
      <c r="G2757" t="s">
        <v>1324</v>
      </c>
      <c r="H2757">
        <v>46</v>
      </c>
      <c r="I2757">
        <f t="shared" si="45"/>
        <v>58</v>
      </c>
    </row>
    <row r="2758" spans="1:9">
      <c r="A2758" s="1">
        <v>42587.831944444442</v>
      </c>
      <c r="B2758" s="19">
        <v>42632</v>
      </c>
      <c r="C2758" s="21">
        <v>0.91805555555555551</v>
      </c>
      <c r="D2758" s="20" t="s">
        <v>3049</v>
      </c>
      <c r="E2758" t="s">
        <v>6</v>
      </c>
      <c r="F2758" t="s">
        <v>15</v>
      </c>
      <c r="G2758" t="s">
        <v>1325</v>
      </c>
      <c r="H2758">
        <v>49</v>
      </c>
      <c r="I2758">
        <f t="shared" si="45"/>
        <v>61</v>
      </c>
    </row>
    <row r="2759" spans="1:9">
      <c r="A2759" s="1">
        <v>42587.665277777778</v>
      </c>
      <c r="B2759" s="19">
        <v>42632</v>
      </c>
      <c r="C2759" s="21">
        <v>0.88611111111111107</v>
      </c>
      <c r="D2759" s="20" t="s">
        <v>3048</v>
      </c>
      <c r="E2759" t="s">
        <v>6</v>
      </c>
      <c r="F2759" t="s">
        <v>15</v>
      </c>
      <c r="G2759" t="s">
        <v>1326</v>
      </c>
      <c r="H2759">
        <v>56</v>
      </c>
      <c r="I2759">
        <f t="shared" si="45"/>
        <v>70</v>
      </c>
    </row>
    <row r="2760" spans="1:9">
      <c r="A2760" s="1">
        <v>42587.588888888888</v>
      </c>
      <c r="B2760" s="19">
        <v>42632</v>
      </c>
      <c r="C2760" s="21">
        <v>0.83680555555555558</v>
      </c>
      <c r="D2760" s="20" t="s">
        <v>3047</v>
      </c>
      <c r="E2760" t="s">
        <v>6</v>
      </c>
      <c r="F2760" t="s">
        <v>15</v>
      </c>
      <c r="G2760" t="s">
        <v>1327</v>
      </c>
      <c r="H2760" t="e">
        <v>#VALUE!</v>
      </c>
      <c r="I2760" t="e">
        <f t="shared" si="45"/>
        <v>#VALUE!</v>
      </c>
    </row>
    <row r="2761" spans="1:9">
      <c r="A2761" s="1">
        <v>42587.552083333336</v>
      </c>
      <c r="B2761" s="19">
        <v>42632</v>
      </c>
      <c r="C2761" s="21">
        <v>0.81180555555555556</v>
      </c>
      <c r="D2761" s="20" t="s">
        <v>3046</v>
      </c>
      <c r="E2761" t="s">
        <v>6</v>
      </c>
      <c r="F2761" t="s">
        <v>15</v>
      </c>
      <c r="G2761" t="s">
        <v>1328</v>
      </c>
      <c r="H2761">
        <v>38</v>
      </c>
      <c r="I2761">
        <f t="shared" si="45"/>
        <v>48</v>
      </c>
    </row>
    <row r="2762" spans="1:9">
      <c r="A2762" s="1">
        <v>42587.509722222225</v>
      </c>
      <c r="B2762" s="19">
        <v>42632</v>
      </c>
      <c r="C2762" s="21">
        <v>0.64722222222222225</v>
      </c>
      <c r="D2762" s="20" t="s">
        <v>3042</v>
      </c>
      <c r="E2762" t="s">
        <v>6</v>
      </c>
      <c r="F2762" t="s">
        <v>26</v>
      </c>
      <c r="G2762" t="s">
        <v>1329</v>
      </c>
      <c r="H2762">
        <v>25</v>
      </c>
      <c r="I2762">
        <f t="shared" si="45"/>
        <v>31</v>
      </c>
    </row>
    <row r="2763" spans="1:9">
      <c r="A2763" s="1">
        <v>42587.424305555556</v>
      </c>
      <c r="B2763" s="19">
        <v>42632</v>
      </c>
      <c r="C2763" s="21">
        <v>0.63124999999999998</v>
      </c>
      <c r="D2763" s="20" t="s">
        <v>3042</v>
      </c>
      <c r="E2763" t="s">
        <v>6</v>
      </c>
      <c r="F2763" t="s">
        <v>26</v>
      </c>
      <c r="G2763" t="s">
        <v>103</v>
      </c>
      <c r="H2763">
        <v>7</v>
      </c>
      <c r="I2763">
        <f t="shared" si="45"/>
        <v>9</v>
      </c>
    </row>
    <row r="2764" spans="1:9">
      <c r="A2764" s="1">
        <v>42587.880555555559</v>
      </c>
      <c r="B2764" s="19">
        <v>42632</v>
      </c>
      <c r="C2764" s="21">
        <v>0.55486111111111114</v>
      </c>
      <c r="D2764" s="20" t="s">
        <v>3039</v>
      </c>
      <c r="E2764" t="s">
        <v>6</v>
      </c>
      <c r="F2764" t="s">
        <v>26</v>
      </c>
      <c r="G2764" t="s">
        <v>304</v>
      </c>
      <c r="H2764">
        <v>8</v>
      </c>
      <c r="I2764">
        <f t="shared" si="45"/>
        <v>10</v>
      </c>
    </row>
    <row r="2765" spans="1:9">
      <c r="A2765" s="1">
        <v>42587.87222222222</v>
      </c>
      <c r="B2765" s="19">
        <v>42632</v>
      </c>
      <c r="C2765" s="21">
        <v>0.49305555555555558</v>
      </c>
      <c r="D2765" s="20" t="s">
        <v>3037</v>
      </c>
      <c r="E2765" t="s">
        <v>2</v>
      </c>
      <c r="F2765" t="s">
        <v>5</v>
      </c>
      <c r="G2765" t="s">
        <v>1330</v>
      </c>
      <c r="H2765" t="e">
        <v>#VALUE!</v>
      </c>
      <c r="I2765" t="e">
        <f t="shared" si="45"/>
        <v>#VALUE!</v>
      </c>
    </row>
    <row r="2766" spans="1:9">
      <c r="A2766" s="1">
        <v>42587.863194444442</v>
      </c>
      <c r="B2766" s="19">
        <v>42632</v>
      </c>
      <c r="C2766" s="21">
        <v>0.43611111111111112</v>
      </c>
      <c r="D2766" s="20" t="s">
        <v>3036</v>
      </c>
      <c r="E2766" t="s">
        <v>2</v>
      </c>
      <c r="F2766" t="s">
        <v>5</v>
      </c>
      <c r="G2766" t="s">
        <v>1331</v>
      </c>
      <c r="H2766">
        <v>3</v>
      </c>
      <c r="I2766">
        <f t="shared" si="45"/>
        <v>4</v>
      </c>
    </row>
    <row r="2767" spans="1:9">
      <c r="A2767" s="1">
        <v>42587.658333333333</v>
      </c>
      <c r="B2767" s="19">
        <v>42632</v>
      </c>
      <c r="C2767" s="21">
        <v>0.29722222222222222</v>
      </c>
      <c r="D2767" s="20" t="s">
        <v>3033</v>
      </c>
      <c r="E2767" t="s">
        <v>6</v>
      </c>
      <c r="F2767" t="s">
        <v>89</v>
      </c>
      <c r="G2767" t="s">
        <v>1332</v>
      </c>
      <c r="H2767">
        <v>2</v>
      </c>
      <c r="I2767">
        <f t="shared" si="45"/>
        <v>3</v>
      </c>
    </row>
    <row r="2768" spans="1:9">
      <c r="A2768" s="1">
        <v>42587.625</v>
      </c>
      <c r="B2768" s="19">
        <v>42632</v>
      </c>
      <c r="C2768" s="21">
        <v>0.28333333333333333</v>
      </c>
      <c r="D2768" s="20" t="s">
        <v>3031</v>
      </c>
      <c r="E2768" t="s">
        <v>2</v>
      </c>
      <c r="F2768" t="s">
        <v>5</v>
      </c>
      <c r="H2768">
        <v>25</v>
      </c>
      <c r="I2768">
        <f t="shared" si="45"/>
        <v>31</v>
      </c>
    </row>
    <row r="2769" spans="1:9">
      <c r="A2769" s="1">
        <v>42587.60833333333</v>
      </c>
      <c r="B2769" s="19">
        <v>42632</v>
      </c>
      <c r="C2769" s="21">
        <v>0.2722222222222222</v>
      </c>
      <c r="D2769" s="20" t="s">
        <v>3031</v>
      </c>
      <c r="E2769" t="s">
        <v>6</v>
      </c>
      <c r="F2769" t="s">
        <v>26</v>
      </c>
      <c r="G2769" t="s">
        <v>1333</v>
      </c>
      <c r="H2769">
        <v>13</v>
      </c>
      <c r="I2769">
        <f t="shared" si="45"/>
        <v>17</v>
      </c>
    </row>
    <row r="2770" spans="1:9">
      <c r="A2770" s="1">
        <v>42587.529861111114</v>
      </c>
      <c r="B2770" s="19">
        <v>42632</v>
      </c>
      <c r="C2770" s="21">
        <v>0.26041666666666669</v>
      </c>
      <c r="D2770" s="20" t="s">
        <v>3031</v>
      </c>
      <c r="E2770" t="s">
        <v>6</v>
      </c>
      <c r="F2770" t="s">
        <v>754</v>
      </c>
      <c r="G2770" t="s">
        <v>1335</v>
      </c>
      <c r="H2770">
        <v>13</v>
      </c>
      <c r="I2770">
        <f t="shared" si="45"/>
        <v>17</v>
      </c>
    </row>
    <row r="2771" spans="1:9">
      <c r="A2771" s="1">
        <v>42587.42083333333</v>
      </c>
      <c r="B2771" s="19">
        <v>42632</v>
      </c>
      <c r="C2771" s="21">
        <v>0.26111111111111113</v>
      </c>
      <c r="D2771" s="20" t="s">
        <v>3031</v>
      </c>
      <c r="E2771" t="s">
        <v>0</v>
      </c>
      <c r="G2771" t="s">
        <v>1334</v>
      </c>
      <c r="H2771">
        <v>25</v>
      </c>
      <c r="I2771">
        <f t="shared" si="45"/>
        <v>31</v>
      </c>
    </row>
    <row r="2772" spans="1:9">
      <c r="A2772" s="1">
        <v>42586.832638888889</v>
      </c>
      <c r="B2772" s="19">
        <v>42633</v>
      </c>
      <c r="C2772" s="21">
        <v>0.95902777777777781</v>
      </c>
      <c r="D2772" s="20" t="s">
        <v>3063</v>
      </c>
      <c r="E2772" t="s">
        <v>6</v>
      </c>
      <c r="F2772" t="s">
        <v>12</v>
      </c>
      <c r="G2772" t="s">
        <v>1319</v>
      </c>
      <c r="H2772">
        <v>9</v>
      </c>
      <c r="I2772">
        <f t="shared" si="45"/>
        <v>12</v>
      </c>
    </row>
    <row r="2773" spans="1:9">
      <c r="A2773" s="1">
        <v>42586.665972222225</v>
      </c>
      <c r="B2773" s="19">
        <v>42633</v>
      </c>
      <c r="C2773" s="21">
        <v>0.83402777777777781</v>
      </c>
      <c r="D2773" s="20" t="s">
        <v>3047</v>
      </c>
      <c r="E2773" t="s">
        <v>6</v>
      </c>
      <c r="F2773" t="s">
        <v>12</v>
      </c>
      <c r="G2773" t="s">
        <v>331</v>
      </c>
      <c r="H2773">
        <v>3</v>
      </c>
      <c r="I2773">
        <f t="shared" si="45"/>
        <v>4</v>
      </c>
    </row>
    <row r="2774" spans="1:9">
      <c r="A2774" s="1">
        <v>42586.595138888886</v>
      </c>
      <c r="B2774" s="19">
        <v>42633</v>
      </c>
      <c r="C2774" s="21">
        <v>0.75208333333333333</v>
      </c>
      <c r="D2774" s="20" t="s">
        <v>3045</v>
      </c>
      <c r="E2774" t="s">
        <v>6</v>
      </c>
      <c r="F2774" t="s">
        <v>15</v>
      </c>
      <c r="G2774" t="s">
        <v>1281</v>
      </c>
      <c r="H2774">
        <v>13</v>
      </c>
      <c r="I2774">
        <f t="shared" si="45"/>
        <v>17</v>
      </c>
    </row>
    <row r="2775" spans="1:9">
      <c r="A2775" s="1">
        <v>42586.582638888889</v>
      </c>
      <c r="B2775" s="19">
        <v>42633</v>
      </c>
      <c r="C2775" s="21">
        <v>0.67083333333333328</v>
      </c>
      <c r="D2775" s="20" t="s">
        <v>3043</v>
      </c>
      <c r="E2775" t="s">
        <v>6</v>
      </c>
      <c r="F2775" t="s">
        <v>21</v>
      </c>
      <c r="G2775" t="s">
        <v>1320</v>
      </c>
      <c r="H2775">
        <v>31</v>
      </c>
      <c r="I2775">
        <f t="shared" si="45"/>
        <v>39</v>
      </c>
    </row>
    <row r="2776" spans="1:9">
      <c r="A2776" s="1">
        <v>42586.498611111114</v>
      </c>
      <c r="B2776" s="19">
        <v>42633</v>
      </c>
      <c r="C2776" s="21">
        <v>0.63958333333333328</v>
      </c>
      <c r="D2776" s="20" t="s">
        <v>3042</v>
      </c>
      <c r="E2776" t="s">
        <v>6</v>
      </c>
      <c r="F2776" t="s">
        <v>167</v>
      </c>
      <c r="G2776" t="s">
        <v>964</v>
      </c>
      <c r="H2776">
        <v>19</v>
      </c>
      <c r="I2776">
        <f t="shared" si="45"/>
        <v>24</v>
      </c>
    </row>
    <row r="2777" spans="1:9">
      <c r="A2777" s="1">
        <v>42586.493750000001</v>
      </c>
      <c r="B2777" s="19">
        <v>42633</v>
      </c>
      <c r="C2777" s="21">
        <v>0.58680555555555558</v>
      </c>
      <c r="D2777" s="20" t="s">
        <v>3040</v>
      </c>
      <c r="E2777" t="s">
        <v>2</v>
      </c>
      <c r="F2777" t="s">
        <v>48</v>
      </c>
      <c r="H2777">
        <v>19</v>
      </c>
      <c r="I2777">
        <f t="shared" si="45"/>
        <v>24</v>
      </c>
    </row>
    <row r="2778" spans="1:9">
      <c r="A2778" s="1">
        <v>42586.481944444444</v>
      </c>
      <c r="B2778" s="19">
        <v>42633</v>
      </c>
      <c r="C2778" s="21">
        <v>0.16875000000000001</v>
      </c>
      <c r="D2778" s="20" t="s">
        <v>3054</v>
      </c>
      <c r="E2778" t="s">
        <v>6</v>
      </c>
      <c r="F2778" t="s">
        <v>12</v>
      </c>
      <c r="G2778" t="s">
        <v>1321</v>
      </c>
      <c r="H2778">
        <v>4</v>
      </c>
      <c r="I2778">
        <f t="shared" si="45"/>
        <v>5</v>
      </c>
    </row>
    <row r="2779" spans="1:9">
      <c r="A2779" s="1">
        <v>42586.455555555556</v>
      </c>
      <c r="B2779" s="19">
        <v>42634</v>
      </c>
      <c r="C2779" s="21">
        <v>0.94374999999999998</v>
      </c>
      <c r="D2779" s="20" t="s">
        <v>3049</v>
      </c>
      <c r="E2779" t="s">
        <v>6</v>
      </c>
      <c r="F2779" t="s">
        <v>12</v>
      </c>
      <c r="G2779" t="s">
        <v>1315</v>
      </c>
      <c r="H2779">
        <v>25</v>
      </c>
      <c r="I2779">
        <f t="shared" si="45"/>
        <v>31</v>
      </c>
    </row>
    <row r="2780" spans="1:9">
      <c r="A2780" s="1">
        <v>42586.454861111109</v>
      </c>
      <c r="B2780" s="19">
        <v>42634</v>
      </c>
      <c r="C2780" s="21">
        <v>0.83611111111111114</v>
      </c>
      <c r="D2780" s="20" t="s">
        <v>3047</v>
      </c>
      <c r="E2780" t="s">
        <v>6</v>
      </c>
      <c r="F2780" t="s">
        <v>12</v>
      </c>
      <c r="G2780" t="s">
        <v>1316</v>
      </c>
      <c r="H2780">
        <v>0</v>
      </c>
      <c r="I2780">
        <f t="shared" si="45"/>
        <v>0</v>
      </c>
    </row>
    <row r="2781" spans="1:9">
      <c r="A2781" s="1">
        <v>42586.917361111111</v>
      </c>
      <c r="B2781" s="19">
        <v>42634</v>
      </c>
      <c r="C2781" s="21">
        <v>0.54513888888888884</v>
      </c>
      <c r="D2781" s="20" t="s">
        <v>3039</v>
      </c>
      <c r="E2781" t="s">
        <v>2</v>
      </c>
      <c r="F2781" t="s">
        <v>5</v>
      </c>
      <c r="G2781" t="s">
        <v>1317</v>
      </c>
      <c r="H2781">
        <v>25</v>
      </c>
      <c r="I2781">
        <f t="shared" si="45"/>
        <v>31</v>
      </c>
    </row>
    <row r="2782" spans="1:9">
      <c r="A2782" s="1">
        <v>42586.875694444447</v>
      </c>
      <c r="B2782" s="19">
        <v>42634</v>
      </c>
      <c r="C2782" s="21">
        <v>0.36249999999999999</v>
      </c>
      <c r="D2782" s="20" t="s">
        <v>3034</v>
      </c>
      <c r="E2782" t="s">
        <v>6</v>
      </c>
      <c r="F2782" t="s">
        <v>89</v>
      </c>
      <c r="G2782" t="s">
        <v>1318</v>
      </c>
      <c r="H2782">
        <v>3</v>
      </c>
      <c r="I2782">
        <f t="shared" si="45"/>
        <v>4</v>
      </c>
    </row>
    <row r="2783" spans="1:9">
      <c r="A2783" s="1">
        <v>42586.867361111108</v>
      </c>
      <c r="B2783" s="19">
        <v>42634</v>
      </c>
      <c r="C2783" s="21">
        <v>0.33333333333333331</v>
      </c>
      <c r="D2783" s="20" t="s">
        <v>3034</v>
      </c>
      <c r="E2783" t="s">
        <v>18</v>
      </c>
      <c r="F2783" t="s">
        <v>100</v>
      </c>
      <c r="H2783" t="e">
        <v>#VALUE!</v>
      </c>
      <c r="I2783" t="e">
        <f t="shared" si="45"/>
        <v>#VALUE!</v>
      </c>
    </row>
    <row r="2784" spans="1:9">
      <c r="A2784" s="1">
        <v>42586.780555555553</v>
      </c>
      <c r="B2784" s="19">
        <v>42635</v>
      </c>
      <c r="C2784" s="21">
        <v>0.96250000000000002</v>
      </c>
      <c r="D2784" s="20" t="s">
        <v>3063</v>
      </c>
      <c r="E2784" t="s">
        <v>6</v>
      </c>
      <c r="F2784" t="s">
        <v>21</v>
      </c>
      <c r="G2784" t="s">
        <v>1310</v>
      </c>
      <c r="H2784">
        <v>9</v>
      </c>
      <c r="I2784">
        <f t="shared" si="45"/>
        <v>12</v>
      </c>
    </row>
    <row r="2785" spans="1:9">
      <c r="A2785" s="1">
        <v>42586.311805555553</v>
      </c>
      <c r="B2785" s="19">
        <v>42635</v>
      </c>
      <c r="C2785" s="21">
        <v>0.90486111111111112</v>
      </c>
      <c r="D2785" s="20" t="s">
        <v>3048</v>
      </c>
      <c r="E2785" t="s">
        <v>6</v>
      </c>
      <c r="F2785" t="s">
        <v>61</v>
      </c>
      <c r="G2785" t="s">
        <v>1311</v>
      </c>
      <c r="H2785">
        <v>17</v>
      </c>
      <c r="I2785">
        <f t="shared" si="45"/>
        <v>22</v>
      </c>
    </row>
    <row r="2786" spans="1:9">
      <c r="A2786" s="1">
        <v>42586.286805555559</v>
      </c>
      <c r="B2786" s="19">
        <v>42635</v>
      </c>
      <c r="C2786" s="21">
        <v>0.43125000000000002</v>
      </c>
      <c r="D2786" s="20" t="s">
        <v>3036</v>
      </c>
      <c r="E2786" t="s">
        <v>2</v>
      </c>
      <c r="F2786" t="s">
        <v>56</v>
      </c>
      <c r="G2786" t="s">
        <v>57</v>
      </c>
      <c r="H2786">
        <v>14</v>
      </c>
      <c r="I2786">
        <f t="shared" si="45"/>
        <v>18</v>
      </c>
    </row>
    <row r="2787" spans="1:9">
      <c r="A2787" s="1">
        <v>42586.046527777777</v>
      </c>
      <c r="B2787" s="19">
        <v>42635</v>
      </c>
      <c r="C2787" s="21">
        <v>0.42222222222222222</v>
      </c>
      <c r="D2787" s="20" t="s">
        <v>3036</v>
      </c>
      <c r="E2787" t="s">
        <v>6</v>
      </c>
      <c r="F2787" t="s">
        <v>15</v>
      </c>
      <c r="G2787" t="s">
        <v>1312</v>
      </c>
      <c r="H2787">
        <v>7</v>
      </c>
      <c r="I2787">
        <f t="shared" si="45"/>
        <v>9</v>
      </c>
    </row>
    <row r="2788" spans="1:9">
      <c r="A2788" s="1">
        <v>42585.90902777778</v>
      </c>
      <c r="B2788" s="19">
        <v>42635</v>
      </c>
      <c r="C2788" s="21">
        <v>0.34166666666666667</v>
      </c>
      <c r="D2788" s="20" t="s">
        <v>3034</v>
      </c>
      <c r="E2788" t="s">
        <v>2</v>
      </c>
      <c r="F2788" t="s">
        <v>48</v>
      </c>
      <c r="H2788">
        <v>4</v>
      </c>
      <c r="I2788">
        <f t="shared" si="45"/>
        <v>5</v>
      </c>
    </row>
    <row r="2789" spans="1:9">
      <c r="A2789" s="1">
        <v>42585.831250000003</v>
      </c>
      <c r="B2789" s="19">
        <v>42635</v>
      </c>
      <c r="C2789" s="21">
        <v>0.30069444444444443</v>
      </c>
      <c r="D2789" s="20" t="s">
        <v>3033</v>
      </c>
      <c r="E2789" t="s">
        <v>6</v>
      </c>
      <c r="F2789" t="s">
        <v>46</v>
      </c>
      <c r="G2789" t="s">
        <v>1313</v>
      </c>
      <c r="H2789" t="e">
        <v>#VALUE!</v>
      </c>
      <c r="I2789" t="e">
        <f t="shared" si="45"/>
        <v>#VALUE!</v>
      </c>
    </row>
    <row r="2790" spans="1:9" ht="28.8">
      <c r="A2790" s="1">
        <v>42585.814583333333</v>
      </c>
      <c r="B2790" s="19">
        <v>42635</v>
      </c>
      <c r="C2790" s="21">
        <v>7.6388888888888886E-3</v>
      </c>
      <c r="D2790" s="20" t="s">
        <v>3050</v>
      </c>
      <c r="E2790" t="s">
        <v>6</v>
      </c>
      <c r="F2790" t="s">
        <v>89</v>
      </c>
      <c r="G2790" s="2" t="s">
        <v>1314</v>
      </c>
      <c r="H2790">
        <v>4</v>
      </c>
      <c r="I2790">
        <f t="shared" si="45"/>
        <v>5</v>
      </c>
    </row>
    <row r="2791" spans="1:9">
      <c r="A2791" s="1">
        <v>42585.665972222225</v>
      </c>
      <c r="B2791" s="19">
        <v>42636</v>
      </c>
      <c r="C2791" s="21">
        <v>0.92569444444444449</v>
      </c>
      <c r="D2791" s="20" t="s">
        <v>3049</v>
      </c>
      <c r="E2791" t="s">
        <v>2</v>
      </c>
      <c r="F2791" t="s">
        <v>3</v>
      </c>
      <c r="G2791" t="s">
        <v>1292</v>
      </c>
      <c r="H2791">
        <v>15</v>
      </c>
      <c r="I2791">
        <f t="shared" si="45"/>
        <v>19</v>
      </c>
    </row>
    <row r="2792" spans="1:9">
      <c r="A2792" s="1">
        <v>42585.584027777775</v>
      </c>
      <c r="B2792" s="19">
        <v>42636</v>
      </c>
      <c r="C2792" s="21">
        <v>0.87013888888888891</v>
      </c>
      <c r="D2792" s="20" t="s">
        <v>3047</v>
      </c>
      <c r="E2792" t="s">
        <v>6</v>
      </c>
      <c r="F2792" t="s">
        <v>89</v>
      </c>
      <c r="G2792" t="s">
        <v>410</v>
      </c>
      <c r="H2792">
        <v>13</v>
      </c>
      <c r="I2792">
        <f t="shared" si="45"/>
        <v>17</v>
      </c>
    </row>
    <row r="2793" spans="1:9">
      <c r="A2793" s="1">
        <v>42585.503472222219</v>
      </c>
      <c r="B2793" s="19">
        <v>42636</v>
      </c>
      <c r="C2793" s="21">
        <v>0.8354166666666667</v>
      </c>
      <c r="D2793" s="20" t="s">
        <v>3047</v>
      </c>
      <c r="E2793" t="s">
        <v>6</v>
      </c>
      <c r="F2793" t="s">
        <v>89</v>
      </c>
      <c r="G2793" t="s">
        <v>410</v>
      </c>
      <c r="H2793">
        <v>13</v>
      </c>
      <c r="I2793">
        <f t="shared" si="45"/>
        <v>17</v>
      </c>
    </row>
    <row r="2794" spans="1:9">
      <c r="A2794" s="1">
        <v>42585.274305555555</v>
      </c>
      <c r="B2794" s="19">
        <v>42636</v>
      </c>
      <c r="C2794" s="21">
        <v>0.79097222222222219</v>
      </c>
      <c r="D2794" s="20" t="s">
        <v>3045</v>
      </c>
      <c r="E2794" t="s">
        <v>6</v>
      </c>
      <c r="F2794" t="s">
        <v>89</v>
      </c>
      <c r="G2794" t="s">
        <v>410</v>
      </c>
      <c r="H2794">
        <v>15</v>
      </c>
      <c r="I2794">
        <f t="shared" si="45"/>
        <v>19</v>
      </c>
    </row>
    <row r="2795" spans="1:9">
      <c r="A2795" s="1">
        <v>42585.188194444447</v>
      </c>
      <c r="B2795" s="19">
        <v>42636</v>
      </c>
      <c r="C2795" s="21">
        <v>0.71736111111111112</v>
      </c>
      <c r="D2795" s="20" t="s">
        <v>3044</v>
      </c>
      <c r="E2795" t="s">
        <v>6</v>
      </c>
      <c r="F2795" t="s">
        <v>89</v>
      </c>
      <c r="G2795" t="s">
        <v>410</v>
      </c>
      <c r="H2795">
        <v>13</v>
      </c>
      <c r="I2795">
        <f t="shared" si="45"/>
        <v>17</v>
      </c>
    </row>
    <row r="2796" spans="1:9">
      <c r="A2796" s="1">
        <v>42585.88958333333</v>
      </c>
      <c r="B2796" s="19">
        <v>42636</v>
      </c>
      <c r="C2796" s="21">
        <v>0.59444444444444444</v>
      </c>
      <c r="D2796" s="20" t="s">
        <v>3040</v>
      </c>
      <c r="E2796" t="s">
        <v>6</v>
      </c>
      <c r="F2796" t="s">
        <v>89</v>
      </c>
      <c r="G2796" t="s">
        <v>410</v>
      </c>
      <c r="H2796">
        <v>13</v>
      </c>
      <c r="I2796">
        <f t="shared" si="45"/>
        <v>17</v>
      </c>
    </row>
    <row r="2797" spans="1:9">
      <c r="A2797" s="1">
        <v>42585.724305555559</v>
      </c>
      <c r="B2797" s="19">
        <v>42636</v>
      </c>
      <c r="C2797" s="21">
        <v>0.57708333333333328</v>
      </c>
      <c r="D2797" s="20" t="s">
        <v>3039</v>
      </c>
      <c r="E2797" t="s">
        <v>6</v>
      </c>
      <c r="F2797" t="s">
        <v>89</v>
      </c>
      <c r="G2797" t="s">
        <v>1295</v>
      </c>
      <c r="H2797">
        <v>3</v>
      </c>
      <c r="I2797">
        <f t="shared" si="45"/>
        <v>4</v>
      </c>
    </row>
    <row r="2798" spans="1:9">
      <c r="A2798" s="1">
        <v>42585.556250000001</v>
      </c>
      <c r="B2798" s="19">
        <v>42636</v>
      </c>
      <c r="C2798" s="21">
        <v>0.55763888888888891</v>
      </c>
      <c r="D2798" s="20" t="s">
        <v>3039</v>
      </c>
      <c r="E2798" t="s">
        <v>2</v>
      </c>
      <c r="F2798" t="s">
        <v>48</v>
      </c>
      <c r="G2798" t="s">
        <v>1296</v>
      </c>
      <c r="H2798">
        <v>13</v>
      </c>
      <c r="I2798">
        <f t="shared" si="45"/>
        <v>17</v>
      </c>
    </row>
    <row r="2799" spans="1:9">
      <c r="A2799" s="1">
        <v>42585.550694444442</v>
      </c>
      <c r="B2799" s="19">
        <v>42636</v>
      </c>
      <c r="C2799" s="21">
        <v>0.5541666666666667</v>
      </c>
      <c r="D2799" s="20" t="s">
        <v>3039</v>
      </c>
      <c r="E2799" t="s">
        <v>6</v>
      </c>
      <c r="F2799" t="s">
        <v>15</v>
      </c>
      <c r="G2799" t="s">
        <v>1297</v>
      </c>
      <c r="H2799">
        <v>7</v>
      </c>
      <c r="I2799">
        <f t="shared" si="45"/>
        <v>9</v>
      </c>
    </row>
    <row r="2800" spans="1:9">
      <c r="A2800" s="1">
        <v>42585.543749999997</v>
      </c>
      <c r="B2800" s="19">
        <v>42636</v>
      </c>
      <c r="C2800" s="21">
        <v>0.5</v>
      </c>
      <c r="D2800" s="20" t="s">
        <v>3038</v>
      </c>
      <c r="E2800" t="s">
        <v>6</v>
      </c>
      <c r="F2800" t="s">
        <v>15</v>
      </c>
      <c r="G2800" t="s">
        <v>1299</v>
      </c>
      <c r="H2800">
        <v>13</v>
      </c>
      <c r="I2800">
        <f t="shared" si="45"/>
        <v>17</v>
      </c>
    </row>
    <row r="2801" spans="1:9">
      <c r="A2801" s="1">
        <v>42585.531944444447</v>
      </c>
      <c r="B2801" s="19">
        <v>42636</v>
      </c>
      <c r="C2801" s="21">
        <v>0.42569444444444443</v>
      </c>
      <c r="D2801" s="20" t="s">
        <v>3036</v>
      </c>
      <c r="E2801" t="s">
        <v>6</v>
      </c>
      <c r="F2801" t="s">
        <v>15</v>
      </c>
      <c r="G2801" t="s">
        <v>1300</v>
      </c>
      <c r="H2801">
        <v>18</v>
      </c>
      <c r="I2801">
        <f t="shared" si="45"/>
        <v>23</v>
      </c>
    </row>
    <row r="2802" spans="1:9">
      <c r="A2802" s="1">
        <v>42585.52847222222</v>
      </c>
      <c r="B2802" s="19">
        <v>42636</v>
      </c>
      <c r="C2802" s="21">
        <v>0.35833333333333334</v>
      </c>
      <c r="D2802" s="20" t="s">
        <v>3034</v>
      </c>
      <c r="E2802" t="s">
        <v>6</v>
      </c>
      <c r="F2802" t="s">
        <v>15</v>
      </c>
      <c r="G2802" t="s">
        <v>1302</v>
      </c>
      <c r="H2802">
        <v>25</v>
      </c>
      <c r="I2802">
        <f t="shared" si="45"/>
        <v>31</v>
      </c>
    </row>
    <row r="2803" spans="1:9">
      <c r="A2803" s="1">
        <v>42585.484027777777</v>
      </c>
      <c r="B2803" s="19">
        <v>42636</v>
      </c>
      <c r="C2803" s="21">
        <v>0.34236111111111112</v>
      </c>
      <c r="D2803" s="20" t="s">
        <v>3034</v>
      </c>
      <c r="E2803" t="s">
        <v>2</v>
      </c>
      <c r="F2803" t="s">
        <v>3</v>
      </c>
      <c r="G2803" t="s">
        <v>1303</v>
      </c>
      <c r="H2803">
        <v>3</v>
      </c>
      <c r="I2803">
        <f t="shared" si="45"/>
        <v>4</v>
      </c>
    </row>
    <row r="2804" spans="1:9">
      <c r="A2804" s="1">
        <v>42585.445833333331</v>
      </c>
      <c r="B2804" s="19">
        <v>42636</v>
      </c>
      <c r="C2804" s="21">
        <v>0.30972222222222223</v>
      </c>
      <c r="D2804" s="20" t="s">
        <v>3033</v>
      </c>
      <c r="E2804" t="s">
        <v>6</v>
      </c>
      <c r="F2804" t="s">
        <v>21</v>
      </c>
      <c r="G2804" t="s">
        <v>1304</v>
      </c>
      <c r="H2804">
        <v>12</v>
      </c>
      <c r="I2804">
        <f t="shared" si="45"/>
        <v>15</v>
      </c>
    </row>
    <row r="2805" spans="1:9">
      <c r="A2805" s="1">
        <v>42585.427083333336</v>
      </c>
      <c r="B2805" s="19">
        <v>42636</v>
      </c>
      <c r="C2805" s="21">
        <v>0.24861111111111112</v>
      </c>
      <c r="D2805" s="20" t="s">
        <v>3055</v>
      </c>
      <c r="E2805" t="s">
        <v>6</v>
      </c>
      <c r="F2805" t="s">
        <v>12</v>
      </c>
      <c r="G2805" t="s">
        <v>1305</v>
      </c>
      <c r="H2805">
        <v>31</v>
      </c>
      <c r="I2805">
        <f t="shared" si="45"/>
        <v>39</v>
      </c>
    </row>
    <row r="2806" spans="1:9">
      <c r="A2806" s="1">
        <v>42585.397222222222</v>
      </c>
      <c r="B2806" s="19">
        <v>42636</v>
      </c>
      <c r="C2806" s="21">
        <v>0.2013888888888889</v>
      </c>
      <c r="D2806" s="20" t="s">
        <v>3054</v>
      </c>
      <c r="E2806" t="s">
        <v>2</v>
      </c>
      <c r="F2806" t="s">
        <v>5</v>
      </c>
      <c r="G2806" t="s">
        <v>1306</v>
      </c>
      <c r="H2806" t="e">
        <v>#VALUE!</v>
      </c>
      <c r="I2806" t="e">
        <f t="shared" si="45"/>
        <v>#VALUE!</v>
      </c>
    </row>
    <row r="2807" spans="1:9">
      <c r="A2807" s="1">
        <v>42585.222222222219</v>
      </c>
      <c r="B2807" s="19">
        <v>42636</v>
      </c>
      <c r="C2807" s="21">
        <v>0.1875</v>
      </c>
      <c r="D2807" s="20" t="s">
        <v>3054</v>
      </c>
      <c r="E2807" t="s">
        <v>6</v>
      </c>
      <c r="F2807" t="s">
        <v>12</v>
      </c>
      <c r="G2807" t="s">
        <v>1307</v>
      </c>
      <c r="H2807">
        <v>25</v>
      </c>
      <c r="I2807">
        <f t="shared" si="45"/>
        <v>31</v>
      </c>
    </row>
    <row r="2808" spans="1:9">
      <c r="A2808" s="1">
        <v>42584.910416666666</v>
      </c>
      <c r="B2808" s="19">
        <v>42636</v>
      </c>
      <c r="C2808" s="21">
        <v>0.15347222222222223</v>
      </c>
      <c r="D2808" s="20" t="s">
        <v>3053</v>
      </c>
      <c r="E2808" t="s">
        <v>6</v>
      </c>
      <c r="F2808" t="s">
        <v>21</v>
      </c>
      <c r="G2808" t="s">
        <v>1308</v>
      </c>
      <c r="H2808">
        <v>7</v>
      </c>
      <c r="I2808">
        <f t="shared" si="45"/>
        <v>9</v>
      </c>
    </row>
    <row r="2809" spans="1:9">
      <c r="A2809" s="1">
        <v>42584.581250000003</v>
      </c>
      <c r="B2809" s="19">
        <v>42636</v>
      </c>
      <c r="C2809" s="21">
        <v>0.90625</v>
      </c>
      <c r="D2809" s="20" t="s">
        <v>3048</v>
      </c>
      <c r="E2809" t="s">
        <v>149</v>
      </c>
      <c r="F2809" t="s">
        <v>150</v>
      </c>
      <c r="G2809" t="s">
        <v>1293</v>
      </c>
      <c r="H2809">
        <v>13</v>
      </c>
      <c r="I2809">
        <f t="shared" si="45"/>
        <v>17</v>
      </c>
    </row>
    <row r="2810" spans="1:9">
      <c r="A2810" s="1">
        <v>42584.49722222222</v>
      </c>
      <c r="B2810" s="19">
        <v>42636</v>
      </c>
      <c r="C2810" s="21">
        <v>0.59930555555555554</v>
      </c>
      <c r="D2810" s="20" t="s">
        <v>3040</v>
      </c>
      <c r="E2810" t="s">
        <v>18</v>
      </c>
      <c r="G2810" t="s">
        <v>1294</v>
      </c>
      <c r="H2810">
        <v>13</v>
      </c>
      <c r="I2810">
        <f t="shared" si="45"/>
        <v>17</v>
      </c>
    </row>
    <row r="2811" spans="1:9">
      <c r="A2811" s="1">
        <v>42584.431250000001</v>
      </c>
      <c r="B2811" s="19">
        <v>42636</v>
      </c>
      <c r="C2811" s="21">
        <v>0.50347222222222221</v>
      </c>
      <c r="D2811" s="20" t="s">
        <v>3038</v>
      </c>
      <c r="E2811" t="s">
        <v>33</v>
      </c>
      <c r="F2811" t="s">
        <v>155</v>
      </c>
      <c r="G2811" t="s">
        <v>1298</v>
      </c>
      <c r="H2811">
        <v>2</v>
      </c>
      <c r="I2811">
        <f t="shared" si="45"/>
        <v>3</v>
      </c>
    </row>
    <row r="2812" spans="1:9">
      <c r="A2812" s="1">
        <v>42584.316666666666</v>
      </c>
      <c r="B2812" s="19">
        <v>42636</v>
      </c>
      <c r="C2812" s="21">
        <v>0.4236111111111111</v>
      </c>
      <c r="D2812" s="20" t="s">
        <v>3036</v>
      </c>
      <c r="E2812" t="s">
        <v>18</v>
      </c>
      <c r="F2812" t="s">
        <v>19</v>
      </c>
      <c r="H2812">
        <v>9</v>
      </c>
      <c r="I2812">
        <f t="shared" si="45"/>
        <v>12</v>
      </c>
    </row>
    <row r="2813" spans="1:9">
      <c r="A2813" s="1">
        <v>42584.960416666669</v>
      </c>
      <c r="B2813" s="19">
        <v>42636</v>
      </c>
      <c r="C2813" s="21">
        <v>0.39166666666666666</v>
      </c>
      <c r="D2813" s="20" t="s">
        <v>3035</v>
      </c>
      <c r="E2813" t="s">
        <v>18</v>
      </c>
      <c r="F2813" t="s">
        <v>100</v>
      </c>
      <c r="G2813" t="s">
        <v>1301</v>
      </c>
      <c r="H2813">
        <v>9</v>
      </c>
      <c r="I2813">
        <f t="shared" si="45"/>
        <v>12</v>
      </c>
    </row>
    <row r="2814" spans="1:9">
      <c r="A2814" s="1">
        <v>42584.780555555553</v>
      </c>
      <c r="B2814" s="19">
        <v>42636</v>
      </c>
      <c r="C2814" s="21">
        <v>9.7222222222222224E-3</v>
      </c>
      <c r="D2814" s="20" t="s">
        <v>3050</v>
      </c>
      <c r="E2814" t="s">
        <v>0</v>
      </c>
      <c r="G2814" t="s">
        <v>1309</v>
      </c>
      <c r="H2814">
        <v>18</v>
      </c>
      <c r="I2814">
        <f t="shared" si="45"/>
        <v>23</v>
      </c>
    </row>
    <row r="2815" spans="1:9">
      <c r="A2815" s="1">
        <v>42584.762499999997</v>
      </c>
      <c r="B2815" s="19">
        <v>42637</v>
      </c>
      <c r="C2815" s="21">
        <v>3.888888888888889E-2</v>
      </c>
      <c r="D2815" s="20" t="s">
        <v>3050</v>
      </c>
      <c r="E2815" t="s">
        <v>0</v>
      </c>
      <c r="F2815" t="s">
        <v>1</v>
      </c>
      <c r="G2815" t="s">
        <v>1290</v>
      </c>
      <c r="H2815">
        <v>19</v>
      </c>
      <c r="I2815">
        <f t="shared" si="45"/>
        <v>24</v>
      </c>
    </row>
    <row r="2816" spans="1:9">
      <c r="A2816" s="1">
        <v>42584.729861111111</v>
      </c>
      <c r="B2816" s="19">
        <v>42637</v>
      </c>
      <c r="C2816" s="21">
        <v>1.9444444444444445E-2</v>
      </c>
      <c r="D2816" s="20" t="s">
        <v>3050</v>
      </c>
      <c r="E2816" t="s">
        <v>149</v>
      </c>
      <c r="F2816" t="s">
        <v>150</v>
      </c>
      <c r="G2816" t="s">
        <v>1291</v>
      </c>
      <c r="H2816">
        <v>35</v>
      </c>
      <c r="I2816">
        <f t="shared" si="45"/>
        <v>44</v>
      </c>
    </row>
    <row r="2817" spans="1:9">
      <c r="A2817" s="1">
        <v>42584.720138888886</v>
      </c>
      <c r="B2817" s="19">
        <v>42639</v>
      </c>
      <c r="C2817" s="21">
        <v>0.51875000000000004</v>
      </c>
      <c r="D2817" s="20" t="s">
        <v>3038</v>
      </c>
      <c r="E2817" t="s">
        <v>6</v>
      </c>
      <c r="F2817" t="s">
        <v>46</v>
      </c>
      <c r="G2817" t="s">
        <v>964</v>
      </c>
      <c r="H2817">
        <v>19</v>
      </c>
      <c r="I2817">
        <f t="shared" si="45"/>
        <v>24</v>
      </c>
    </row>
    <row r="2818" spans="1:9">
      <c r="A2818" s="1">
        <v>42584.502083333333</v>
      </c>
      <c r="B2818" s="19">
        <v>42639</v>
      </c>
      <c r="C2818" s="21">
        <v>0.50902777777777775</v>
      </c>
      <c r="D2818" s="20" t="s">
        <v>3038</v>
      </c>
      <c r="E2818" t="s">
        <v>2</v>
      </c>
      <c r="F2818" t="s">
        <v>48</v>
      </c>
      <c r="H2818">
        <v>7</v>
      </c>
      <c r="I2818">
        <f t="shared" si="45"/>
        <v>9</v>
      </c>
    </row>
    <row r="2819" spans="1:9">
      <c r="A2819" s="1">
        <v>42584.381944444445</v>
      </c>
      <c r="B2819" s="19">
        <v>42639</v>
      </c>
      <c r="C2819" s="21">
        <v>0.38333333333333336</v>
      </c>
      <c r="D2819" s="20" t="s">
        <v>3035</v>
      </c>
      <c r="E2819" t="s">
        <v>6</v>
      </c>
      <c r="F2819" t="s">
        <v>12</v>
      </c>
      <c r="G2819" t="s">
        <v>442</v>
      </c>
      <c r="H2819">
        <v>13</v>
      </c>
      <c r="I2819">
        <f t="shared" ref="I2819:I2882" si="46">ROUNDUP((H2819*1.24), 0)</f>
        <v>17</v>
      </c>
    </row>
    <row r="2820" spans="1:9">
      <c r="A2820" s="1">
        <v>42584.316666666666</v>
      </c>
      <c r="B2820" s="19">
        <v>42639</v>
      </c>
      <c r="C2820" s="21">
        <v>0.66666666666666663</v>
      </c>
      <c r="D2820" s="20" t="s">
        <v>3043</v>
      </c>
      <c r="E2820" t="s">
        <v>0</v>
      </c>
      <c r="G2820" t="s">
        <v>335</v>
      </c>
      <c r="H2820">
        <v>4</v>
      </c>
      <c r="I2820">
        <f t="shared" si="46"/>
        <v>5</v>
      </c>
    </row>
    <row r="2821" spans="1:9">
      <c r="A2821" s="1">
        <v>42584.252083333333</v>
      </c>
      <c r="B2821" s="19">
        <v>42639</v>
      </c>
      <c r="C2821" s="21">
        <v>0.4597222222222222</v>
      </c>
      <c r="D2821" s="20" t="s">
        <v>3037</v>
      </c>
      <c r="E2821" t="s">
        <v>0</v>
      </c>
      <c r="F2821" t="s">
        <v>1</v>
      </c>
      <c r="G2821" t="s">
        <v>1289</v>
      </c>
      <c r="H2821">
        <v>7</v>
      </c>
      <c r="I2821">
        <f t="shared" si="46"/>
        <v>9</v>
      </c>
    </row>
    <row r="2822" spans="1:9">
      <c r="A2822" s="1">
        <v>42584.166666666664</v>
      </c>
      <c r="B2822" s="19">
        <v>42639</v>
      </c>
      <c r="C2822" s="21">
        <v>0.27847222222222223</v>
      </c>
      <c r="D2822" s="20" t="s">
        <v>3031</v>
      </c>
      <c r="E2822" t="s">
        <v>0</v>
      </c>
      <c r="F2822" t="s">
        <v>75</v>
      </c>
      <c r="H2822">
        <v>7</v>
      </c>
      <c r="I2822">
        <f t="shared" si="46"/>
        <v>9</v>
      </c>
    </row>
    <row r="2823" spans="1:9">
      <c r="A2823" s="1">
        <v>42584.138888888891</v>
      </c>
      <c r="B2823" s="19">
        <v>42640</v>
      </c>
      <c r="C2823" s="21">
        <v>0.77430555555555558</v>
      </c>
      <c r="D2823" s="20" t="s">
        <v>3045</v>
      </c>
      <c r="E2823" t="s">
        <v>6</v>
      </c>
      <c r="F2823" t="s">
        <v>12</v>
      </c>
      <c r="G2823" t="s">
        <v>1283</v>
      </c>
      <c r="H2823">
        <v>2</v>
      </c>
      <c r="I2823">
        <f t="shared" si="46"/>
        <v>3</v>
      </c>
    </row>
    <row r="2824" spans="1:9">
      <c r="A2824" s="1">
        <v>42583.967361111114</v>
      </c>
      <c r="B2824" s="19">
        <v>42640</v>
      </c>
      <c r="C2824" s="21">
        <v>0.65972222222222221</v>
      </c>
      <c r="D2824" s="20" t="s">
        <v>3042</v>
      </c>
      <c r="E2824" t="s">
        <v>6</v>
      </c>
      <c r="F2824" t="s">
        <v>12</v>
      </c>
      <c r="G2824" t="s">
        <v>1283</v>
      </c>
      <c r="H2824">
        <v>2</v>
      </c>
      <c r="I2824">
        <f t="shared" si="46"/>
        <v>3</v>
      </c>
    </row>
    <row r="2825" spans="1:9">
      <c r="A2825" s="1">
        <v>42583.90902777778</v>
      </c>
      <c r="B2825" s="19">
        <v>42640</v>
      </c>
      <c r="C2825" s="21">
        <v>0.56944444444444442</v>
      </c>
      <c r="D2825" s="20" t="s">
        <v>3039</v>
      </c>
      <c r="E2825" t="s">
        <v>6</v>
      </c>
      <c r="F2825" t="s">
        <v>12</v>
      </c>
      <c r="G2825" t="s">
        <v>1284</v>
      </c>
      <c r="H2825">
        <v>7</v>
      </c>
      <c r="I2825">
        <f t="shared" si="46"/>
        <v>9</v>
      </c>
    </row>
    <row r="2826" spans="1:9">
      <c r="A2826" s="1">
        <v>42583.670138888891</v>
      </c>
      <c r="B2826" s="19">
        <v>42640</v>
      </c>
      <c r="C2826" s="21">
        <v>0.52777777777777779</v>
      </c>
      <c r="D2826" s="20" t="s">
        <v>3038</v>
      </c>
      <c r="E2826" t="s">
        <v>6</v>
      </c>
      <c r="F2826" t="s">
        <v>12</v>
      </c>
      <c r="G2826" t="s">
        <v>1284</v>
      </c>
      <c r="H2826">
        <v>7</v>
      </c>
      <c r="I2826">
        <f t="shared" si="46"/>
        <v>9</v>
      </c>
    </row>
    <row r="2827" spans="1:9">
      <c r="A2827" s="1">
        <v>42583.317361111112</v>
      </c>
      <c r="B2827" s="19">
        <v>42640</v>
      </c>
      <c r="C2827" s="21">
        <v>0.35555555555555557</v>
      </c>
      <c r="D2827" s="20" t="s">
        <v>3034</v>
      </c>
      <c r="E2827" t="s">
        <v>6</v>
      </c>
      <c r="F2827" t="s">
        <v>15</v>
      </c>
      <c r="G2827" t="s">
        <v>1285</v>
      </c>
      <c r="H2827">
        <v>19</v>
      </c>
      <c r="I2827">
        <f t="shared" si="46"/>
        <v>24</v>
      </c>
    </row>
    <row r="2828" spans="1:9">
      <c r="A2828" s="1">
        <v>42583.254861111112</v>
      </c>
      <c r="B2828" s="19">
        <v>42640</v>
      </c>
      <c r="C2828" s="21">
        <v>0.35347222222222224</v>
      </c>
      <c r="D2828" s="20" t="s">
        <v>3034</v>
      </c>
      <c r="E2828" t="s">
        <v>6</v>
      </c>
      <c r="F2828" t="s">
        <v>12</v>
      </c>
      <c r="G2828" t="s">
        <v>1286</v>
      </c>
      <c r="H2828">
        <v>7</v>
      </c>
      <c r="I2828">
        <f t="shared" si="46"/>
        <v>9</v>
      </c>
    </row>
    <row r="2829" spans="1:9">
      <c r="A2829" s="1">
        <v>42583.254166666666</v>
      </c>
      <c r="B2829" s="19">
        <v>42640</v>
      </c>
      <c r="C2829" s="21">
        <v>0.27638888888888891</v>
      </c>
      <c r="D2829" s="20" t="s">
        <v>3031</v>
      </c>
      <c r="E2829" t="s">
        <v>6</v>
      </c>
      <c r="F2829" t="s">
        <v>15</v>
      </c>
      <c r="G2829" t="s">
        <v>1287</v>
      </c>
      <c r="H2829">
        <v>7</v>
      </c>
      <c r="I2829">
        <f t="shared" si="46"/>
        <v>9</v>
      </c>
    </row>
    <row r="2830" spans="1:9">
      <c r="A2830" s="1">
        <v>42583.988888888889</v>
      </c>
      <c r="B2830" s="19">
        <v>42640</v>
      </c>
      <c r="C2830" s="21">
        <v>0.2638888888888889</v>
      </c>
      <c r="D2830" s="20" t="s">
        <v>3031</v>
      </c>
      <c r="E2830" t="s">
        <v>6</v>
      </c>
      <c r="F2830" t="s">
        <v>21</v>
      </c>
      <c r="G2830" t="s">
        <v>1287</v>
      </c>
      <c r="H2830">
        <v>7</v>
      </c>
      <c r="I2830">
        <f t="shared" si="46"/>
        <v>9</v>
      </c>
    </row>
    <row r="2831" spans="1:9">
      <c r="A2831" s="1">
        <v>42583.584027777775</v>
      </c>
      <c r="B2831" s="19">
        <v>42640</v>
      </c>
      <c r="C2831" s="21">
        <v>0.20833333333333334</v>
      </c>
      <c r="D2831" s="20" t="s">
        <v>3055</v>
      </c>
      <c r="E2831" t="s">
        <v>6</v>
      </c>
      <c r="F2831" t="s">
        <v>167</v>
      </c>
      <c r="G2831" t="s">
        <v>1288</v>
      </c>
      <c r="H2831">
        <v>23</v>
      </c>
      <c r="I2831">
        <f t="shared" si="46"/>
        <v>29</v>
      </c>
    </row>
    <row r="2832" spans="1:9">
      <c r="A2832" s="1">
        <v>42583.340277777781</v>
      </c>
      <c r="B2832" s="19">
        <v>42640</v>
      </c>
      <c r="C2832" s="21">
        <v>0.22083333333333333</v>
      </c>
      <c r="D2832" s="20" t="s">
        <v>3055</v>
      </c>
      <c r="E2832" t="s">
        <v>0</v>
      </c>
      <c r="F2832" t="s">
        <v>1</v>
      </c>
      <c r="H2832">
        <v>13</v>
      </c>
      <c r="I2832">
        <f t="shared" si="46"/>
        <v>17</v>
      </c>
    </row>
    <row r="2833" spans="1:9">
      <c r="A2833" s="1">
        <v>42583.32916666667</v>
      </c>
      <c r="B2833" s="19">
        <v>42641</v>
      </c>
      <c r="C2833" s="21">
        <v>0.95277777777777772</v>
      </c>
      <c r="D2833" s="20" t="s">
        <v>3049</v>
      </c>
      <c r="E2833" t="s">
        <v>6</v>
      </c>
      <c r="F2833" t="s">
        <v>89</v>
      </c>
      <c r="H2833">
        <v>4</v>
      </c>
      <c r="I2833">
        <f t="shared" si="46"/>
        <v>5</v>
      </c>
    </row>
    <row r="2834" spans="1:9">
      <c r="A2834" s="1">
        <v>42580.915972222225</v>
      </c>
      <c r="B2834" s="19">
        <v>42641</v>
      </c>
      <c r="C2834" s="21">
        <v>0.36944444444444446</v>
      </c>
      <c r="D2834" s="20" t="s">
        <v>3034</v>
      </c>
      <c r="E2834" t="s">
        <v>6</v>
      </c>
      <c r="F2834" t="s">
        <v>89</v>
      </c>
      <c r="G2834" t="s">
        <v>1277</v>
      </c>
      <c r="H2834">
        <v>7</v>
      </c>
      <c r="I2834">
        <f t="shared" si="46"/>
        <v>9</v>
      </c>
    </row>
    <row r="2835" spans="1:9">
      <c r="A2835" s="1">
        <v>42580.666666666664</v>
      </c>
      <c r="B2835" s="19">
        <v>42641</v>
      </c>
      <c r="C2835" s="21">
        <v>0.35694444444444445</v>
      </c>
      <c r="D2835" s="20" t="s">
        <v>3034</v>
      </c>
      <c r="E2835" t="s">
        <v>6</v>
      </c>
      <c r="F2835" t="s">
        <v>15</v>
      </c>
      <c r="G2835" t="s">
        <v>1278</v>
      </c>
      <c r="H2835">
        <v>7</v>
      </c>
      <c r="I2835">
        <f t="shared" si="46"/>
        <v>9</v>
      </c>
    </row>
    <row r="2836" spans="1:9">
      <c r="A2836" s="1">
        <v>42580.636805555558</v>
      </c>
      <c r="B2836" s="19">
        <v>42641</v>
      </c>
      <c r="C2836" s="21">
        <v>0.31319444444444444</v>
      </c>
      <c r="D2836" s="20" t="s">
        <v>3033</v>
      </c>
      <c r="E2836" t="s">
        <v>6</v>
      </c>
      <c r="F2836" t="s">
        <v>15</v>
      </c>
      <c r="G2836" t="s">
        <v>1279</v>
      </c>
      <c r="H2836">
        <v>13</v>
      </c>
      <c r="I2836">
        <f t="shared" si="46"/>
        <v>17</v>
      </c>
    </row>
    <row r="2837" spans="1:9">
      <c r="A2837" s="1">
        <v>42580.584027777775</v>
      </c>
      <c r="B2837" s="19">
        <v>42641</v>
      </c>
      <c r="C2837" s="21">
        <v>0.2902777777777778</v>
      </c>
      <c r="D2837" s="20" t="s">
        <v>3031</v>
      </c>
      <c r="E2837" t="s">
        <v>6</v>
      </c>
      <c r="F2837" t="s">
        <v>21</v>
      </c>
      <c r="G2837" t="s">
        <v>1280</v>
      </c>
      <c r="H2837">
        <v>13</v>
      </c>
      <c r="I2837">
        <f t="shared" si="46"/>
        <v>17</v>
      </c>
    </row>
    <row r="2838" spans="1:9">
      <c r="A2838" s="1">
        <v>42580.861805555556</v>
      </c>
      <c r="B2838" s="19">
        <v>42641</v>
      </c>
      <c r="C2838" s="21">
        <v>0.26666666666666666</v>
      </c>
      <c r="D2838" s="20" t="s">
        <v>3031</v>
      </c>
      <c r="E2838" t="s">
        <v>6</v>
      </c>
      <c r="F2838" t="s">
        <v>21</v>
      </c>
      <c r="G2838" t="s">
        <v>1281</v>
      </c>
      <c r="H2838">
        <v>34</v>
      </c>
      <c r="I2838">
        <f t="shared" si="46"/>
        <v>43</v>
      </c>
    </row>
    <row r="2839" spans="1:9">
      <c r="A2839" s="1">
        <v>42580.665972222225</v>
      </c>
      <c r="B2839" s="19">
        <v>42641</v>
      </c>
      <c r="C2839" s="21">
        <v>6.9444444444444441E-3</v>
      </c>
      <c r="D2839" s="20" t="s">
        <v>3050</v>
      </c>
      <c r="E2839" t="s">
        <v>6</v>
      </c>
      <c r="F2839" t="s">
        <v>167</v>
      </c>
      <c r="G2839" t="s">
        <v>1282</v>
      </c>
      <c r="H2839">
        <v>4</v>
      </c>
      <c r="I2839">
        <f t="shared" si="46"/>
        <v>5</v>
      </c>
    </row>
    <row r="2840" spans="1:9">
      <c r="A2840" s="1">
        <v>42580.129861111112</v>
      </c>
      <c r="B2840" s="19">
        <v>42641</v>
      </c>
      <c r="C2840" s="21">
        <v>0.85416666666666663</v>
      </c>
      <c r="D2840" s="20" t="s">
        <v>3047</v>
      </c>
      <c r="E2840" t="s">
        <v>0</v>
      </c>
      <c r="F2840" t="s">
        <v>1</v>
      </c>
      <c r="H2840">
        <v>9</v>
      </c>
      <c r="I2840">
        <f t="shared" si="46"/>
        <v>12</v>
      </c>
    </row>
    <row r="2841" spans="1:9">
      <c r="A2841" s="1">
        <v>42579.951388888891</v>
      </c>
      <c r="B2841" s="19">
        <v>42641</v>
      </c>
      <c r="C2841" s="21">
        <v>0.58472222222222225</v>
      </c>
      <c r="D2841" s="20" t="s">
        <v>3040</v>
      </c>
      <c r="E2841" t="s">
        <v>730</v>
      </c>
      <c r="G2841" t="s">
        <v>1275</v>
      </c>
      <c r="H2841" t="e">
        <v>#VALUE!</v>
      </c>
      <c r="I2841" t="e">
        <f t="shared" si="46"/>
        <v>#VALUE!</v>
      </c>
    </row>
    <row r="2842" spans="1:9">
      <c r="A2842" s="1">
        <v>42579.854861111111</v>
      </c>
      <c r="B2842" s="19">
        <v>42641</v>
      </c>
      <c r="C2842" s="21">
        <v>0.55069444444444449</v>
      </c>
      <c r="D2842" s="20" t="s">
        <v>3039</v>
      </c>
      <c r="E2842" t="s">
        <v>149</v>
      </c>
      <c r="F2842" t="s">
        <v>150</v>
      </c>
      <c r="G2842" t="s">
        <v>1276</v>
      </c>
      <c r="H2842">
        <v>56</v>
      </c>
      <c r="I2842">
        <f t="shared" si="46"/>
        <v>70</v>
      </c>
    </row>
    <row r="2843" spans="1:9">
      <c r="A2843" s="1">
        <v>42579.817361111112</v>
      </c>
      <c r="B2843" s="19">
        <v>42642</v>
      </c>
      <c r="C2843" s="21">
        <v>0.92083333333333328</v>
      </c>
      <c r="D2843" s="20" t="s">
        <v>3049</v>
      </c>
      <c r="E2843" t="s">
        <v>6</v>
      </c>
      <c r="F2843" t="s">
        <v>21</v>
      </c>
      <c r="G2843" t="s">
        <v>1266</v>
      </c>
      <c r="H2843" t="e">
        <v>#VALUE!</v>
      </c>
      <c r="I2843" t="e">
        <f t="shared" si="46"/>
        <v>#VALUE!</v>
      </c>
    </row>
    <row r="2844" spans="1:9">
      <c r="A2844" s="1">
        <v>42579.674305555556</v>
      </c>
      <c r="B2844" s="19">
        <v>42642</v>
      </c>
      <c r="C2844" s="21">
        <v>0.67291666666666672</v>
      </c>
      <c r="D2844" s="20" t="s">
        <v>3043</v>
      </c>
      <c r="E2844" t="s">
        <v>6</v>
      </c>
      <c r="F2844" t="s">
        <v>21</v>
      </c>
      <c r="G2844" t="s">
        <v>1267</v>
      </c>
      <c r="H2844" t="e">
        <v>#VALUE!</v>
      </c>
      <c r="I2844" t="e">
        <f t="shared" si="46"/>
        <v>#VALUE!</v>
      </c>
    </row>
    <row r="2845" spans="1:9">
      <c r="A2845" s="1">
        <v>42579.57708333333</v>
      </c>
      <c r="B2845" s="19">
        <v>42642</v>
      </c>
      <c r="C2845" s="21">
        <v>0.58333333333333337</v>
      </c>
      <c r="D2845" s="20" t="s">
        <v>3040</v>
      </c>
      <c r="E2845" t="s">
        <v>2</v>
      </c>
      <c r="F2845" t="s">
        <v>48</v>
      </c>
      <c r="G2845" t="s">
        <v>1268</v>
      </c>
      <c r="H2845" t="e">
        <v>#VALUE!</v>
      </c>
      <c r="I2845" t="e">
        <f t="shared" si="46"/>
        <v>#VALUE!</v>
      </c>
    </row>
    <row r="2846" spans="1:9">
      <c r="A2846" s="1">
        <v>42579.25277777778</v>
      </c>
      <c r="B2846" s="19">
        <v>42642</v>
      </c>
      <c r="C2846" s="21">
        <v>0.56805555555555554</v>
      </c>
      <c r="D2846" s="20" t="s">
        <v>3039</v>
      </c>
      <c r="E2846" t="s">
        <v>2</v>
      </c>
      <c r="F2846" t="s">
        <v>48</v>
      </c>
      <c r="G2846" t="s">
        <v>1269</v>
      </c>
      <c r="H2846" t="e">
        <v>#VALUE!</v>
      </c>
      <c r="I2846" t="e">
        <f t="shared" si="46"/>
        <v>#VALUE!</v>
      </c>
    </row>
    <row r="2847" spans="1:9">
      <c r="A2847" s="1">
        <v>42579.984027777777</v>
      </c>
      <c r="B2847" s="19">
        <v>42642</v>
      </c>
      <c r="C2847" s="21">
        <v>0.38263888888888886</v>
      </c>
      <c r="D2847" s="20" t="s">
        <v>3035</v>
      </c>
      <c r="E2847" t="s">
        <v>2</v>
      </c>
      <c r="F2847" t="s">
        <v>48</v>
      </c>
      <c r="G2847" t="s">
        <v>1270</v>
      </c>
      <c r="H2847" t="e">
        <v>#VALUE!</v>
      </c>
      <c r="I2847" t="e">
        <f t="shared" si="46"/>
        <v>#VALUE!</v>
      </c>
    </row>
    <row r="2848" spans="1:9">
      <c r="A2848" s="1">
        <v>42579.981249999997</v>
      </c>
      <c r="B2848" s="19">
        <v>42642</v>
      </c>
      <c r="C2848" s="21">
        <v>0.33402777777777776</v>
      </c>
      <c r="D2848" s="20" t="s">
        <v>3034</v>
      </c>
      <c r="E2848" t="s">
        <v>6</v>
      </c>
      <c r="F2848" t="s">
        <v>21</v>
      </c>
      <c r="G2848" t="s">
        <v>1271</v>
      </c>
      <c r="H2848">
        <v>44</v>
      </c>
      <c r="I2848">
        <f t="shared" si="46"/>
        <v>55</v>
      </c>
    </row>
    <row r="2849" spans="1:9">
      <c r="A2849" s="1">
        <v>42579.981249999997</v>
      </c>
      <c r="B2849" s="19">
        <v>42642</v>
      </c>
      <c r="C2849" s="21">
        <v>0.30972222222222223</v>
      </c>
      <c r="D2849" s="20" t="s">
        <v>3033</v>
      </c>
      <c r="E2849" t="s">
        <v>6</v>
      </c>
      <c r="F2849" t="s">
        <v>26</v>
      </c>
      <c r="G2849" t="s">
        <v>120</v>
      </c>
      <c r="H2849">
        <v>10</v>
      </c>
      <c r="I2849">
        <f t="shared" si="46"/>
        <v>13</v>
      </c>
    </row>
    <row r="2850" spans="1:9">
      <c r="A2850" s="1">
        <v>42579.946527777778</v>
      </c>
      <c r="B2850" s="19">
        <v>42642</v>
      </c>
      <c r="C2850" s="21">
        <v>0.2951388888888889</v>
      </c>
      <c r="D2850" s="20" t="s">
        <v>3033</v>
      </c>
      <c r="E2850" t="s">
        <v>6</v>
      </c>
      <c r="F2850" t="s">
        <v>21</v>
      </c>
      <c r="G2850" t="s">
        <v>1272</v>
      </c>
      <c r="H2850">
        <v>38</v>
      </c>
      <c r="I2850">
        <f t="shared" si="46"/>
        <v>48</v>
      </c>
    </row>
    <row r="2851" spans="1:9">
      <c r="A2851" s="1">
        <v>42579.924305555556</v>
      </c>
      <c r="B2851" s="19">
        <v>42642</v>
      </c>
      <c r="C2851" s="21">
        <v>0.29236111111111113</v>
      </c>
      <c r="D2851" s="20" t="s">
        <v>3033</v>
      </c>
      <c r="E2851" t="s">
        <v>6</v>
      </c>
      <c r="F2851" t="s">
        <v>21</v>
      </c>
      <c r="G2851" t="s">
        <v>103</v>
      </c>
      <c r="H2851">
        <v>7</v>
      </c>
      <c r="I2851">
        <f t="shared" si="46"/>
        <v>9</v>
      </c>
    </row>
    <row r="2852" spans="1:9">
      <c r="A2852" s="1">
        <v>42579.921527777777</v>
      </c>
      <c r="B2852" s="19">
        <v>42642</v>
      </c>
      <c r="C2852" s="21">
        <v>0.27430555555555558</v>
      </c>
      <c r="D2852" s="20" t="s">
        <v>3031</v>
      </c>
      <c r="E2852" t="s">
        <v>6</v>
      </c>
      <c r="F2852" t="s">
        <v>21</v>
      </c>
      <c r="G2852" t="s">
        <v>661</v>
      </c>
      <c r="H2852">
        <v>38</v>
      </c>
      <c r="I2852">
        <f t="shared" si="46"/>
        <v>48</v>
      </c>
    </row>
    <row r="2853" spans="1:9">
      <c r="A2853" s="1">
        <v>42579.854861111111</v>
      </c>
      <c r="B2853" s="19">
        <v>42642</v>
      </c>
      <c r="C2853" s="21">
        <v>0.26527777777777778</v>
      </c>
      <c r="D2853" s="20" t="s">
        <v>3031</v>
      </c>
      <c r="E2853" t="s">
        <v>6</v>
      </c>
      <c r="F2853" t="s">
        <v>21</v>
      </c>
      <c r="G2853" t="s">
        <v>1272</v>
      </c>
      <c r="H2853">
        <v>19</v>
      </c>
      <c r="I2853">
        <f t="shared" si="46"/>
        <v>24</v>
      </c>
    </row>
    <row r="2854" spans="1:9">
      <c r="A2854" s="1">
        <v>42579.839583333334</v>
      </c>
      <c r="B2854" s="19">
        <v>42642</v>
      </c>
      <c r="C2854" s="21">
        <v>0.25277777777777777</v>
      </c>
      <c r="D2854" s="20" t="s">
        <v>3031</v>
      </c>
      <c r="E2854" t="s">
        <v>6</v>
      </c>
      <c r="F2854" t="s">
        <v>21</v>
      </c>
      <c r="G2854" t="s">
        <v>1273</v>
      </c>
      <c r="H2854">
        <v>19</v>
      </c>
      <c r="I2854">
        <f t="shared" si="46"/>
        <v>24</v>
      </c>
    </row>
    <row r="2855" spans="1:9">
      <c r="A2855" s="1">
        <v>42579.702777777777</v>
      </c>
      <c r="B2855" s="19">
        <v>42642</v>
      </c>
      <c r="C2855" s="21">
        <v>0.20833333333333334</v>
      </c>
      <c r="D2855" s="20" t="s">
        <v>3055</v>
      </c>
      <c r="E2855" t="s">
        <v>6</v>
      </c>
      <c r="F2855" t="s">
        <v>21</v>
      </c>
      <c r="G2855" t="s">
        <v>1274</v>
      </c>
      <c r="H2855" t="e">
        <v>#VALUE!</v>
      </c>
      <c r="I2855" t="e">
        <f t="shared" si="46"/>
        <v>#VALUE!</v>
      </c>
    </row>
    <row r="2856" spans="1:9">
      <c r="A2856" s="1">
        <v>42579.394444444442</v>
      </c>
      <c r="B2856" s="19">
        <v>42642</v>
      </c>
      <c r="C2856" s="21">
        <v>0.95833333333333337</v>
      </c>
      <c r="D2856" s="20" t="s">
        <v>3063</v>
      </c>
      <c r="E2856" t="s">
        <v>0</v>
      </c>
      <c r="F2856" t="s">
        <v>10</v>
      </c>
      <c r="G2856" t="s">
        <v>1265</v>
      </c>
      <c r="H2856">
        <v>13</v>
      </c>
      <c r="I2856">
        <f t="shared" si="46"/>
        <v>17</v>
      </c>
    </row>
    <row r="2857" spans="1:9">
      <c r="A2857" s="1">
        <v>42579.015972222223</v>
      </c>
      <c r="B2857" s="19">
        <v>42642</v>
      </c>
      <c r="C2857" s="21">
        <v>0.90972222222222221</v>
      </c>
      <c r="D2857" s="20" t="s">
        <v>3048</v>
      </c>
      <c r="E2857" t="s">
        <v>0</v>
      </c>
      <c r="F2857" t="s">
        <v>10</v>
      </c>
      <c r="G2857" t="s">
        <v>145</v>
      </c>
      <c r="H2857">
        <v>13</v>
      </c>
      <c r="I2857">
        <f t="shared" si="46"/>
        <v>17</v>
      </c>
    </row>
    <row r="2858" spans="1:9">
      <c r="A2858" s="1">
        <v>42578.896527777775</v>
      </c>
      <c r="B2858" s="19">
        <v>42643</v>
      </c>
      <c r="C2858" s="21">
        <v>0.94444444444444442</v>
      </c>
      <c r="D2858" s="20" t="s">
        <v>3049</v>
      </c>
      <c r="E2858" t="s">
        <v>6</v>
      </c>
      <c r="F2858" t="s">
        <v>21</v>
      </c>
      <c r="G2858" t="s">
        <v>1253</v>
      </c>
      <c r="H2858" t="e">
        <v>#VALUE!</v>
      </c>
      <c r="I2858" t="e">
        <f t="shared" si="46"/>
        <v>#VALUE!</v>
      </c>
    </row>
    <row r="2859" spans="1:9" ht="28.8">
      <c r="A2859" s="1">
        <v>42578.868750000001</v>
      </c>
      <c r="B2859" s="19">
        <v>42643</v>
      </c>
      <c r="C2859" s="21">
        <v>0.81180555555555556</v>
      </c>
      <c r="D2859" s="20" t="s">
        <v>3046</v>
      </c>
      <c r="E2859" t="s">
        <v>6</v>
      </c>
      <c r="F2859" t="s">
        <v>89</v>
      </c>
      <c r="G2859" s="2" t="s">
        <v>1258</v>
      </c>
      <c r="H2859">
        <v>2</v>
      </c>
      <c r="I2859">
        <f t="shared" si="46"/>
        <v>3</v>
      </c>
    </row>
    <row r="2860" spans="1:9">
      <c r="A2860" s="1">
        <v>42578.583333333336</v>
      </c>
      <c r="B2860" s="19">
        <v>42643</v>
      </c>
      <c r="C2860" s="21">
        <v>0.59097222222222223</v>
      </c>
      <c r="D2860" s="20" t="s">
        <v>3040</v>
      </c>
      <c r="E2860" t="s">
        <v>6</v>
      </c>
      <c r="F2860" t="s">
        <v>21</v>
      </c>
      <c r="G2860" t="s">
        <v>1259</v>
      </c>
      <c r="H2860" t="e">
        <v>#VALUE!</v>
      </c>
      <c r="I2860" t="e">
        <f t="shared" si="46"/>
        <v>#VALUE!</v>
      </c>
    </row>
    <row r="2861" spans="1:9">
      <c r="A2861" s="1">
        <v>42578.305555555555</v>
      </c>
      <c r="B2861" s="19">
        <v>42643</v>
      </c>
      <c r="C2861" s="21">
        <v>0.58333333333333337</v>
      </c>
      <c r="D2861" s="20" t="s">
        <v>3040</v>
      </c>
      <c r="E2861" t="s">
        <v>2</v>
      </c>
      <c r="F2861" t="s">
        <v>48</v>
      </c>
      <c r="H2861">
        <v>14</v>
      </c>
      <c r="I2861">
        <f t="shared" si="46"/>
        <v>18</v>
      </c>
    </row>
    <row r="2862" spans="1:9">
      <c r="A2862" s="1">
        <v>42578.923611111109</v>
      </c>
      <c r="B2862" s="19">
        <v>42643</v>
      </c>
      <c r="C2862" s="21">
        <v>0.47013888888888888</v>
      </c>
      <c r="D2862" s="20" t="s">
        <v>3037</v>
      </c>
      <c r="E2862" t="s">
        <v>2</v>
      </c>
      <c r="F2862" t="s">
        <v>5</v>
      </c>
      <c r="G2862" t="s">
        <v>1260</v>
      </c>
      <c r="H2862" t="e">
        <v>#VALUE!</v>
      </c>
      <c r="I2862" t="e">
        <f t="shared" si="46"/>
        <v>#VALUE!</v>
      </c>
    </row>
    <row r="2863" spans="1:9">
      <c r="A2863" s="1">
        <v>42578.85</v>
      </c>
      <c r="B2863" s="19">
        <v>42643</v>
      </c>
      <c r="C2863" s="21">
        <v>0.36319444444444443</v>
      </c>
      <c r="D2863" s="20" t="s">
        <v>3034</v>
      </c>
      <c r="E2863" t="s">
        <v>2</v>
      </c>
      <c r="F2863" t="s">
        <v>48</v>
      </c>
      <c r="G2863" t="s">
        <v>1261</v>
      </c>
      <c r="H2863" t="e">
        <v>#VALUE!</v>
      </c>
      <c r="I2863" t="e">
        <f t="shared" si="46"/>
        <v>#VALUE!</v>
      </c>
    </row>
    <row r="2864" spans="1:9">
      <c r="A2864" s="1">
        <v>42578.724305555559</v>
      </c>
      <c r="B2864" s="19">
        <v>42643</v>
      </c>
      <c r="C2864" s="21">
        <v>0.2986111111111111</v>
      </c>
      <c r="D2864" s="20" t="s">
        <v>3033</v>
      </c>
      <c r="E2864" t="s">
        <v>6</v>
      </c>
      <c r="F2864" t="s">
        <v>26</v>
      </c>
      <c r="G2864" t="s">
        <v>1262</v>
      </c>
      <c r="H2864">
        <v>9</v>
      </c>
      <c r="I2864">
        <f t="shared" si="46"/>
        <v>12</v>
      </c>
    </row>
    <row r="2865" spans="1:9">
      <c r="A2865" s="1">
        <v>42578.629166666666</v>
      </c>
      <c r="B2865" s="19">
        <v>42643</v>
      </c>
      <c r="C2865" s="21">
        <v>0.25416666666666665</v>
      </c>
      <c r="D2865" s="20" t="s">
        <v>3031</v>
      </c>
      <c r="E2865" t="s">
        <v>6</v>
      </c>
      <c r="F2865" t="s">
        <v>21</v>
      </c>
      <c r="G2865" t="s">
        <v>1263</v>
      </c>
      <c r="H2865" t="e">
        <v>#VALUE!</v>
      </c>
      <c r="I2865" t="e">
        <f t="shared" si="46"/>
        <v>#VALUE!</v>
      </c>
    </row>
    <row r="2866" spans="1:9">
      <c r="A2866" s="1">
        <v>42577.959027777775</v>
      </c>
      <c r="B2866" s="19">
        <v>42643</v>
      </c>
      <c r="C2866" s="21">
        <v>0.25555555555555554</v>
      </c>
      <c r="D2866" s="20" t="s">
        <v>3031</v>
      </c>
      <c r="E2866" t="s">
        <v>0</v>
      </c>
      <c r="F2866" t="s">
        <v>10</v>
      </c>
      <c r="G2866" t="s">
        <v>361</v>
      </c>
      <c r="H2866">
        <v>13</v>
      </c>
      <c r="I2866">
        <f t="shared" si="46"/>
        <v>17</v>
      </c>
    </row>
    <row r="2867" spans="1:9">
      <c r="A2867" s="1">
        <v>42577.600694444445</v>
      </c>
      <c r="B2867" s="19">
        <v>42643</v>
      </c>
      <c r="C2867" s="21">
        <v>0.24305555555555555</v>
      </c>
      <c r="D2867" s="20" t="s">
        <v>3055</v>
      </c>
      <c r="E2867" t="s">
        <v>0</v>
      </c>
      <c r="F2867" t="s">
        <v>10</v>
      </c>
      <c r="G2867" t="s">
        <v>1264</v>
      </c>
      <c r="H2867">
        <v>13</v>
      </c>
      <c r="I2867">
        <f t="shared" si="46"/>
        <v>17</v>
      </c>
    </row>
    <row r="2868" spans="1:9">
      <c r="A2868" s="1">
        <v>42577.586111111108</v>
      </c>
      <c r="B2868" s="19">
        <v>42644</v>
      </c>
      <c r="C2868" s="21">
        <v>0.22291666666666668</v>
      </c>
      <c r="D2868" s="20" t="s">
        <v>3055</v>
      </c>
      <c r="E2868" t="s">
        <v>2</v>
      </c>
      <c r="F2868" t="s">
        <v>3</v>
      </c>
      <c r="G2868" t="s">
        <v>972</v>
      </c>
      <c r="H2868">
        <v>7</v>
      </c>
      <c r="I2868">
        <f t="shared" si="46"/>
        <v>9</v>
      </c>
    </row>
    <row r="2869" spans="1:9">
      <c r="A2869" s="1">
        <v>42577.27847222222</v>
      </c>
      <c r="B2869" s="19">
        <v>42646</v>
      </c>
      <c r="C2869" s="21">
        <v>0.9243055555555556</v>
      </c>
      <c r="D2869" s="20" t="s">
        <v>3049</v>
      </c>
      <c r="E2869" t="s">
        <v>6</v>
      </c>
      <c r="F2869" t="s">
        <v>21</v>
      </c>
      <c r="G2869" t="s">
        <v>1249</v>
      </c>
      <c r="H2869" t="e">
        <v>#VALUE!</v>
      </c>
      <c r="I2869" t="e">
        <f t="shared" si="46"/>
        <v>#VALUE!</v>
      </c>
    </row>
    <row r="2870" spans="1:9">
      <c r="A2870" s="1">
        <v>42577.256249999999</v>
      </c>
      <c r="B2870" s="19">
        <v>42646</v>
      </c>
      <c r="C2870" s="21">
        <v>0.85069444444444442</v>
      </c>
      <c r="D2870" s="20" t="s">
        <v>3047</v>
      </c>
      <c r="E2870" t="s">
        <v>2</v>
      </c>
      <c r="F2870" t="s">
        <v>5</v>
      </c>
      <c r="G2870" t="s">
        <v>307</v>
      </c>
      <c r="H2870">
        <v>19</v>
      </c>
      <c r="I2870">
        <f t="shared" si="46"/>
        <v>24</v>
      </c>
    </row>
    <row r="2871" spans="1:9">
      <c r="A2871" s="1">
        <v>42577.784722222219</v>
      </c>
      <c r="B2871" s="19">
        <v>42646</v>
      </c>
      <c r="C2871" s="21">
        <v>0.84305555555555556</v>
      </c>
      <c r="D2871" s="20" t="s">
        <v>3047</v>
      </c>
      <c r="E2871" t="s">
        <v>6</v>
      </c>
      <c r="F2871" t="s">
        <v>26</v>
      </c>
      <c r="G2871" t="s">
        <v>1250</v>
      </c>
      <c r="H2871">
        <v>7</v>
      </c>
      <c r="I2871">
        <f t="shared" si="46"/>
        <v>9</v>
      </c>
    </row>
    <row r="2872" spans="1:9">
      <c r="A2872" s="1">
        <v>42577.783333333333</v>
      </c>
      <c r="B2872" s="19">
        <v>42646</v>
      </c>
      <c r="C2872" s="21">
        <v>0.82013888888888886</v>
      </c>
      <c r="D2872" s="20" t="s">
        <v>3046</v>
      </c>
      <c r="E2872" t="s">
        <v>2</v>
      </c>
      <c r="F2872" t="s">
        <v>3</v>
      </c>
      <c r="G2872" t="s">
        <v>1251</v>
      </c>
      <c r="H2872">
        <v>2</v>
      </c>
      <c r="I2872">
        <f t="shared" si="46"/>
        <v>3</v>
      </c>
    </row>
    <row r="2873" spans="1:9">
      <c r="A2873" s="1">
        <v>42577.710416666669</v>
      </c>
      <c r="B2873" s="19">
        <v>42646</v>
      </c>
      <c r="C2873" s="21">
        <v>0.77013888888888893</v>
      </c>
      <c r="D2873" s="20" t="s">
        <v>3045</v>
      </c>
      <c r="E2873" t="s">
        <v>6</v>
      </c>
      <c r="F2873" t="s">
        <v>89</v>
      </c>
      <c r="G2873" t="s">
        <v>1252</v>
      </c>
      <c r="H2873">
        <v>3</v>
      </c>
      <c r="I2873">
        <f t="shared" si="46"/>
        <v>4</v>
      </c>
    </row>
    <row r="2874" spans="1:9">
      <c r="A2874" s="1">
        <v>42577.707638888889</v>
      </c>
      <c r="B2874" s="19">
        <v>42646</v>
      </c>
      <c r="C2874" s="21">
        <v>0.65902777777777777</v>
      </c>
      <c r="D2874" s="20" t="s">
        <v>3042</v>
      </c>
      <c r="E2874" t="s">
        <v>6</v>
      </c>
      <c r="F2874" t="s">
        <v>21</v>
      </c>
      <c r="G2874" t="s">
        <v>1253</v>
      </c>
      <c r="H2874" t="e">
        <v>#VALUE!</v>
      </c>
      <c r="I2874" t="e">
        <f t="shared" si="46"/>
        <v>#VALUE!</v>
      </c>
    </row>
    <row r="2875" spans="1:9">
      <c r="A2875" s="1">
        <v>42577.70416666667</v>
      </c>
      <c r="B2875" s="19">
        <v>42646</v>
      </c>
      <c r="C2875" s="21">
        <v>0.58472222222222225</v>
      </c>
      <c r="D2875" s="20" t="s">
        <v>3040</v>
      </c>
      <c r="E2875" t="s">
        <v>2</v>
      </c>
      <c r="F2875" t="s">
        <v>48</v>
      </c>
      <c r="G2875" t="s">
        <v>1254</v>
      </c>
      <c r="H2875" t="e">
        <v>#VALUE!</v>
      </c>
      <c r="I2875" t="e">
        <f t="shared" si="46"/>
        <v>#VALUE!</v>
      </c>
    </row>
    <row r="2876" spans="1:9">
      <c r="A2876" s="1">
        <v>42577.588888888888</v>
      </c>
      <c r="B2876" s="19">
        <v>42646</v>
      </c>
      <c r="C2876" s="21">
        <v>0.54722222222222228</v>
      </c>
      <c r="D2876" s="20" t="s">
        <v>3039</v>
      </c>
      <c r="E2876" t="s">
        <v>6</v>
      </c>
      <c r="F2876" t="s">
        <v>15</v>
      </c>
      <c r="G2876" t="s">
        <v>103</v>
      </c>
      <c r="H2876">
        <v>7</v>
      </c>
      <c r="I2876">
        <f t="shared" si="46"/>
        <v>9</v>
      </c>
    </row>
    <row r="2877" spans="1:9">
      <c r="A2877" s="1">
        <v>42577.463194444441</v>
      </c>
      <c r="B2877" s="19">
        <v>42646</v>
      </c>
      <c r="C2877" s="21">
        <v>0.41736111111111113</v>
      </c>
      <c r="D2877" s="20" t="s">
        <v>3036</v>
      </c>
      <c r="E2877" t="s">
        <v>2</v>
      </c>
      <c r="F2877" t="s">
        <v>5</v>
      </c>
      <c r="G2877" t="s">
        <v>1255</v>
      </c>
      <c r="H2877" t="e">
        <v>#VALUE!</v>
      </c>
      <c r="I2877" t="e">
        <f t="shared" si="46"/>
        <v>#VALUE!</v>
      </c>
    </row>
    <row r="2878" spans="1:9">
      <c r="A2878" s="1">
        <v>42577.45208333333</v>
      </c>
      <c r="B2878" s="19">
        <v>42646</v>
      </c>
      <c r="C2878" s="21">
        <v>0.26041666666666669</v>
      </c>
      <c r="D2878" s="20" t="s">
        <v>3031</v>
      </c>
      <c r="E2878" t="s">
        <v>6</v>
      </c>
      <c r="F2878" t="s">
        <v>21</v>
      </c>
      <c r="G2878" t="s">
        <v>1256</v>
      </c>
      <c r="H2878" t="e">
        <v>#VALUE!</v>
      </c>
      <c r="I2878" t="e">
        <f t="shared" si="46"/>
        <v>#VALUE!</v>
      </c>
    </row>
    <row r="2879" spans="1:9" ht="28.8">
      <c r="A2879" s="1">
        <v>42577.388194444444</v>
      </c>
      <c r="B2879" s="19">
        <v>42646</v>
      </c>
      <c r="C2879" s="21">
        <v>0.25</v>
      </c>
      <c r="D2879" s="20" t="s">
        <v>3031</v>
      </c>
      <c r="E2879" t="s">
        <v>0</v>
      </c>
      <c r="G2879" s="2" t="s">
        <v>1257</v>
      </c>
      <c r="H2879">
        <v>19</v>
      </c>
      <c r="I2879">
        <f t="shared" si="46"/>
        <v>24</v>
      </c>
    </row>
    <row r="2880" spans="1:9">
      <c r="A2880" s="1">
        <v>42576.841666666667</v>
      </c>
      <c r="B2880" s="19">
        <v>42647</v>
      </c>
      <c r="C2880" s="21">
        <v>0.38333333333333336</v>
      </c>
      <c r="D2880" s="20" t="s">
        <v>3035</v>
      </c>
      <c r="E2880" t="s">
        <v>2</v>
      </c>
      <c r="F2880" t="s">
        <v>48</v>
      </c>
      <c r="G2880" t="s">
        <v>1247</v>
      </c>
      <c r="H2880">
        <v>60</v>
      </c>
      <c r="I2880">
        <f t="shared" si="46"/>
        <v>75</v>
      </c>
    </row>
    <row r="2881" spans="1:9">
      <c r="A2881" s="1">
        <v>42576.682638888888</v>
      </c>
      <c r="B2881" s="19">
        <v>42647</v>
      </c>
      <c r="C2881" s="21">
        <v>0.25</v>
      </c>
      <c r="D2881" s="20" t="s">
        <v>3031</v>
      </c>
      <c r="E2881" t="s">
        <v>6</v>
      </c>
      <c r="F2881" t="s">
        <v>21</v>
      </c>
      <c r="G2881" t="s">
        <v>1248</v>
      </c>
      <c r="H2881" t="e">
        <v>#VALUE!</v>
      </c>
      <c r="I2881" t="e">
        <f t="shared" si="46"/>
        <v>#VALUE!</v>
      </c>
    </row>
    <row r="2882" spans="1:9">
      <c r="A2882" s="1">
        <v>42576.673611111109</v>
      </c>
      <c r="B2882" s="19">
        <v>42647</v>
      </c>
      <c r="C2882" s="21">
        <v>0.64513888888888893</v>
      </c>
      <c r="D2882" s="20" t="s">
        <v>3042</v>
      </c>
      <c r="E2882" t="s">
        <v>18</v>
      </c>
      <c r="F2882" t="s">
        <v>100</v>
      </c>
      <c r="G2882" t="s">
        <v>1244</v>
      </c>
      <c r="H2882" t="e">
        <v>#VALUE!</v>
      </c>
      <c r="I2882" t="e">
        <f t="shared" si="46"/>
        <v>#VALUE!</v>
      </c>
    </row>
    <row r="2883" spans="1:9">
      <c r="A2883" s="1">
        <v>42576.61041666667</v>
      </c>
      <c r="B2883" s="19">
        <v>42647</v>
      </c>
      <c r="C2883" s="21">
        <v>0.63888888888888884</v>
      </c>
      <c r="D2883" s="20" t="s">
        <v>3042</v>
      </c>
      <c r="E2883" t="s">
        <v>18</v>
      </c>
      <c r="G2883" t="s">
        <v>1245</v>
      </c>
      <c r="H2883" t="e">
        <v>#VALUE!</v>
      </c>
      <c r="I2883" t="e">
        <f t="shared" ref="I2883:I2946" si="47">ROUNDUP((H2883*1.24), 0)</f>
        <v>#VALUE!</v>
      </c>
    </row>
    <row r="2884" spans="1:9">
      <c r="A2884" s="1">
        <v>42576.583333333336</v>
      </c>
      <c r="B2884" s="19">
        <v>42647</v>
      </c>
      <c r="C2884" s="21">
        <v>0.52569444444444446</v>
      </c>
      <c r="D2884" s="20" t="s">
        <v>3038</v>
      </c>
      <c r="E2884" t="s">
        <v>18</v>
      </c>
      <c r="F2884" t="s">
        <v>19</v>
      </c>
      <c r="G2884" t="s">
        <v>1246</v>
      </c>
      <c r="H2884">
        <v>75</v>
      </c>
      <c r="I2884">
        <f t="shared" si="47"/>
        <v>93</v>
      </c>
    </row>
    <row r="2885" spans="1:9">
      <c r="A2885" s="1">
        <v>42576.268055555556</v>
      </c>
      <c r="B2885" s="19">
        <v>42647</v>
      </c>
      <c r="C2885" s="21">
        <v>1.3888888888888888E-2</v>
      </c>
      <c r="D2885" s="20" t="s">
        <v>3050</v>
      </c>
      <c r="H2885">
        <v>0</v>
      </c>
      <c r="I2885">
        <f t="shared" si="47"/>
        <v>0</v>
      </c>
    </row>
    <row r="2886" spans="1:9">
      <c r="A2886" s="1">
        <v>42576.77847222222</v>
      </c>
      <c r="B2886" s="19">
        <v>42648</v>
      </c>
      <c r="C2886" s="21">
        <v>0.55763888888888891</v>
      </c>
      <c r="D2886" s="20" t="s">
        <v>3039</v>
      </c>
      <c r="E2886" t="s">
        <v>2</v>
      </c>
      <c r="F2886" t="s">
        <v>48</v>
      </c>
      <c r="H2886">
        <v>13</v>
      </c>
      <c r="I2886">
        <f t="shared" si="47"/>
        <v>17</v>
      </c>
    </row>
    <row r="2887" spans="1:9">
      <c r="A2887" s="1">
        <v>42576.681944444441</v>
      </c>
      <c r="B2887" s="19">
        <v>42648</v>
      </c>
      <c r="C2887" s="21">
        <v>0.52013888888888893</v>
      </c>
      <c r="D2887" s="20" t="s">
        <v>3038</v>
      </c>
      <c r="E2887" t="s">
        <v>6</v>
      </c>
      <c r="F2887" t="s">
        <v>26</v>
      </c>
      <c r="G2887" t="s">
        <v>1242</v>
      </c>
      <c r="H2887">
        <v>12</v>
      </c>
      <c r="I2887">
        <f t="shared" si="47"/>
        <v>15</v>
      </c>
    </row>
    <row r="2888" spans="1:9">
      <c r="A2888" s="1">
        <v>42576.64166666667</v>
      </c>
      <c r="B2888" s="19">
        <v>42648</v>
      </c>
      <c r="C2888" s="21">
        <v>0.35416666666666669</v>
      </c>
      <c r="D2888" s="20" t="s">
        <v>3034</v>
      </c>
      <c r="E2888" t="s">
        <v>6</v>
      </c>
      <c r="F2888" t="s">
        <v>21</v>
      </c>
      <c r="G2888" t="s">
        <v>1243</v>
      </c>
      <c r="H2888">
        <v>22</v>
      </c>
      <c r="I2888">
        <f t="shared" si="47"/>
        <v>28</v>
      </c>
    </row>
    <row r="2889" spans="1:9">
      <c r="A2889" s="1">
        <v>42576.629166666666</v>
      </c>
      <c r="B2889" s="19">
        <v>42649</v>
      </c>
      <c r="C2889" s="21">
        <v>0.98124999999999996</v>
      </c>
      <c r="D2889" s="20" t="s">
        <v>3063</v>
      </c>
      <c r="E2889" t="s">
        <v>6</v>
      </c>
      <c r="F2889" t="s">
        <v>21</v>
      </c>
      <c r="G2889" t="s">
        <v>1230</v>
      </c>
      <c r="H2889">
        <v>15</v>
      </c>
      <c r="I2889">
        <f t="shared" si="47"/>
        <v>19</v>
      </c>
    </row>
    <row r="2890" spans="1:9">
      <c r="A2890" s="1">
        <v>42576.626388888886</v>
      </c>
      <c r="B2890" s="19">
        <v>42649</v>
      </c>
      <c r="C2890" s="21">
        <v>0.94513888888888886</v>
      </c>
      <c r="D2890" s="20" t="s">
        <v>3049</v>
      </c>
      <c r="E2890" t="s">
        <v>2</v>
      </c>
      <c r="F2890" t="s">
        <v>56</v>
      </c>
      <c r="G2890" t="s">
        <v>609</v>
      </c>
      <c r="H2890">
        <v>50</v>
      </c>
      <c r="I2890">
        <f t="shared" si="47"/>
        <v>62</v>
      </c>
    </row>
    <row r="2891" spans="1:9">
      <c r="A2891" s="1">
        <v>42576.370833333334</v>
      </c>
      <c r="B2891" s="19">
        <v>42649</v>
      </c>
      <c r="C2891" s="21">
        <v>0.92986111111111114</v>
      </c>
      <c r="D2891" s="20" t="s">
        <v>3049</v>
      </c>
      <c r="E2891" t="s">
        <v>6</v>
      </c>
      <c r="F2891" t="s">
        <v>21</v>
      </c>
      <c r="G2891" t="s">
        <v>1231</v>
      </c>
      <c r="H2891">
        <v>38</v>
      </c>
      <c r="I2891">
        <f t="shared" si="47"/>
        <v>48</v>
      </c>
    </row>
    <row r="2892" spans="1:9">
      <c r="A2892" s="1">
        <v>42574.117361111108</v>
      </c>
      <c r="B2892" s="19">
        <v>42649</v>
      </c>
      <c r="C2892" s="21">
        <v>0.92013888888888884</v>
      </c>
      <c r="D2892" s="20" t="s">
        <v>3049</v>
      </c>
      <c r="E2892" t="s">
        <v>6</v>
      </c>
      <c r="F2892" t="s">
        <v>21</v>
      </c>
      <c r="G2892" t="s">
        <v>1232</v>
      </c>
      <c r="H2892">
        <v>24</v>
      </c>
      <c r="I2892">
        <f t="shared" si="47"/>
        <v>30</v>
      </c>
    </row>
    <row r="2893" spans="1:9">
      <c r="A2893" s="1">
        <v>42574.147916666669</v>
      </c>
      <c r="B2893" s="19">
        <v>42649</v>
      </c>
      <c r="C2893" s="21">
        <v>0.91041666666666665</v>
      </c>
      <c r="D2893" s="20" t="s">
        <v>3048</v>
      </c>
      <c r="E2893" t="s">
        <v>6</v>
      </c>
      <c r="F2893" t="s">
        <v>21</v>
      </c>
      <c r="G2893" t="s">
        <v>1233</v>
      </c>
      <c r="H2893">
        <v>7</v>
      </c>
      <c r="I2893">
        <f t="shared" si="47"/>
        <v>9</v>
      </c>
    </row>
    <row r="2894" spans="1:9">
      <c r="A2894" s="1">
        <v>42574.102777777778</v>
      </c>
      <c r="B2894" s="19">
        <v>42649</v>
      </c>
      <c r="C2894" s="21">
        <v>0.87777777777777777</v>
      </c>
      <c r="D2894" s="20" t="s">
        <v>3048</v>
      </c>
      <c r="E2894" t="s">
        <v>6</v>
      </c>
      <c r="F2894" t="s">
        <v>21</v>
      </c>
      <c r="G2894" t="s">
        <v>1234</v>
      </c>
      <c r="H2894">
        <v>38</v>
      </c>
      <c r="I2894">
        <f t="shared" si="47"/>
        <v>48</v>
      </c>
    </row>
    <row r="2895" spans="1:9">
      <c r="A2895" s="1">
        <v>42574.097222222219</v>
      </c>
      <c r="B2895" s="19">
        <v>42649</v>
      </c>
      <c r="C2895" s="21">
        <v>0.66874999999999996</v>
      </c>
      <c r="D2895" s="20" t="s">
        <v>3043</v>
      </c>
      <c r="E2895" t="s">
        <v>6</v>
      </c>
      <c r="F2895" t="s">
        <v>89</v>
      </c>
      <c r="G2895" t="s">
        <v>1235</v>
      </c>
      <c r="H2895">
        <v>3</v>
      </c>
      <c r="I2895">
        <f t="shared" si="47"/>
        <v>4</v>
      </c>
    </row>
    <row r="2896" spans="1:9">
      <c r="A2896" s="1">
        <v>42574.083333333336</v>
      </c>
      <c r="B2896" s="19">
        <v>42649</v>
      </c>
      <c r="C2896" s="21">
        <v>0.27500000000000002</v>
      </c>
      <c r="D2896" s="20" t="s">
        <v>3031</v>
      </c>
      <c r="E2896" t="s">
        <v>6</v>
      </c>
      <c r="F2896" t="s">
        <v>12</v>
      </c>
      <c r="G2896" t="s">
        <v>1236</v>
      </c>
      <c r="H2896">
        <v>44</v>
      </c>
      <c r="I2896">
        <f t="shared" si="47"/>
        <v>55</v>
      </c>
    </row>
    <row r="2897" spans="1:9">
      <c r="A2897" s="1">
        <v>42573.95208333333</v>
      </c>
      <c r="B2897" s="19">
        <v>42649</v>
      </c>
      <c r="C2897" s="21">
        <v>0.26319444444444445</v>
      </c>
      <c r="D2897" s="20" t="s">
        <v>3031</v>
      </c>
      <c r="E2897" t="s">
        <v>2</v>
      </c>
      <c r="F2897" t="s">
        <v>5</v>
      </c>
      <c r="G2897" t="s">
        <v>1237</v>
      </c>
      <c r="H2897" t="e">
        <v>#VALUE!</v>
      </c>
      <c r="I2897" t="e">
        <f t="shared" si="47"/>
        <v>#VALUE!</v>
      </c>
    </row>
    <row r="2898" spans="1:9">
      <c r="A2898" s="1">
        <v>42573.945138888892</v>
      </c>
      <c r="B2898" s="19">
        <v>42649</v>
      </c>
      <c r="C2898" s="21">
        <v>0.25347222222222221</v>
      </c>
      <c r="D2898" s="20" t="s">
        <v>3031</v>
      </c>
      <c r="E2898" t="s">
        <v>6</v>
      </c>
      <c r="F2898" t="s">
        <v>21</v>
      </c>
      <c r="G2898" t="s">
        <v>1238</v>
      </c>
      <c r="H2898">
        <v>18</v>
      </c>
      <c r="I2898">
        <f t="shared" si="47"/>
        <v>23</v>
      </c>
    </row>
    <row r="2899" spans="1:9">
      <c r="A2899" s="1">
        <v>42573.918055555558</v>
      </c>
      <c r="B2899" s="19">
        <v>42649</v>
      </c>
      <c r="C2899" s="21">
        <v>0.22430555555555556</v>
      </c>
      <c r="D2899" s="20" t="s">
        <v>3055</v>
      </c>
      <c r="E2899" t="s">
        <v>6</v>
      </c>
      <c r="F2899" t="s">
        <v>76</v>
      </c>
      <c r="G2899" t="s">
        <v>1239</v>
      </c>
      <c r="H2899">
        <v>22</v>
      </c>
      <c r="I2899">
        <f t="shared" si="47"/>
        <v>28</v>
      </c>
    </row>
    <row r="2900" spans="1:9">
      <c r="A2900" s="1">
        <v>42573.906944444447</v>
      </c>
      <c r="B2900" s="19">
        <v>42649</v>
      </c>
      <c r="C2900" s="21">
        <v>0.21041666666666667</v>
      </c>
      <c r="D2900" s="20" t="s">
        <v>3055</v>
      </c>
      <c r="E2900" t="s">
        <v>6</v>
      </c>
      <c r="F2900" t="s">
        <v>21</v>
      </c>
      <c r="G2900" t="s">
        <v>1240</v>
      </c>
      <c r="H2900">
        <v>29</v>
      </c>
      <c r="I2900">
        <f t="shared" si="47"/>
        <v>36</v>
      </c>
    </row>
    <row r="2901" spans="1:9">
      <c r="A2901" s="1">
        <v>42573.832638888889</v>
      </c>
      <c r="B2901" s="19">
        <v>42649</v>
      </c>
      <c r="C2901" s="21">
        <v>0.20624999999999999</v>
      </c>
      <c r="D2901" s="20" t="s">
        <v>3054</v>
      </c>
      <c r="E2901" t="s">
        <v>33</v>
      </c>
      <c r="F2901" t="s">
        <v>44</v>
      </c>
      <c r="G2901" t="s">
        <v>1241</v>
      </c>
      <c r="H2901">
        <v>7</v>
      </c>
      <c r="I2901">
        <f t="shared" si="47"/>
        <v>9</v>
      </c>
    </row>
    <row r="2902" spans="1:9">
      <c r="A2902" s="1">
        <v>42573.676388888889</v>
      </c>
      <c r="B2902" s="19">
        <v>42650</v>
      </c>
      <c r="C2902" s="21">
        <v>0.87152777777777779</v>
      </c>
      <c r="D2902" s="20" t="s">
        <v>3047</v>
      </c>
      <c r="E2902" t="s">
        <v>2</v>
      </c>
      <c r="F2902" t="s">
        <v>3</v>
      </c>
      <c r="G2902" t="s">
        <v>572</v>
      </c>
      <c r="H2902">
        <v>4</v>
      </c>
      <c r="I2902">
        <f t="shared" si="47"/>
        <v>5</v>
      </c>
    </row>
    <row r="2903" spans="1:9">
      <c r="A2903" s="1">
        <v>42573.584722222222</v>
      </c>
      <c r="B2903" s="19">
        <v>42650</v>
      </c>
      <c r="C2903" s="21">
        <v>0.76527777777777772</v>
      </c>
      <c r="D2903" s="20" t="s">
        <v>3045</v>
      </c>
      <c r="E2903" t="s">
        <v>6</v>
      </c>
      <c r="F2903" t="s">
        <v>21</v>
      </c>
      <c r="G2903" t="s">
        <v>307</v>
      </c>
      <c r="H2903">
        <v>7</v>
      </c>
      <c r="I2903">
        <f t="shared" si="47"/>
        <v>9</v>
      </c>
    </row>
    <row r="2904" spans="1:9">
      <c r="A2904" s="1">
        <v>42573.508333333331</v>
      </c>
      <c r="B2904" s="19">
        <v>42650</v>
      </c>
      <c r="C2904" s="21">
        <v>0.68541666666666667</v>
      </c>
      <c r="D2904" s="20" t="s">
        <v>3043</v>
      </c>
      <c r="E2904" t="s">
        <v>6</v>
      </c>
      <c r="F2904" t="s">
        <v>12</v>
      </c>
      <c r="H2904">
        <v>3</v>
      </c>
      <c r="I2904">
        <f t="shared" si="47"/>
        <v>4</v>
      </c>
    </row>
    <row r="2905" spans="1:9">
      <c r="A2905" s="1">
        <v>42573.205555555556</v>
      </c>
      <c r="B2905" s="19">
        <v>42650</v>
      </c>
      <c r="C2905" s="21">
        <v>3.0555555555555555E-2</v>
      </c>
      <c r="D2905" s="20" t="s">
        <v>3050</v>
      </c>
      <c r="E2905" t="s">
        <v>6</v>
      </c>
      <c r="F2905" t="s">
        <v>21</v>
      </c>
      <c r="G2905" t="s">
        <v>1228</v>
      </c>
      <c r="H2905">
        <v>33</v>
      </c>
      <c r="I2905">
        <f t="shared" si="47"/>
        <v>41</v>
      </c>
    </row>
    <row r="2906" spans="1:9">
      <c r="A2906" s="1">
        <v>42573.184027777781</v>
      </c>
      <c r="B2906" s="19">
        <v>42650</v>
      </c>
      <c r="C2906" s="21">
        <v>1.9444444444444445E-2</v>
      </c>
      <c r="D2906" s="20" t="s">
        <v>3050</v>
      </c>
      <c r="E2906" t="s">
        <v>2</v>
      </c>
      <c r="F2906" t="s">
        <v>5</v>
      </c>
      <c r="G2906" t="s">
        <v>1229</v>
      </c>
      <c r="H2906">
        <v>75</v>
      </c>
      <c r="I2906">
        <f t="shared" si="47"/>
        <v>93</v>
      </c>
    </row>
    <row r="2907" spans="1:9">
      <c r="A2907" s="1">
        <v>42573.165277777778</v>
      </c>
      <c r="B2907" s="19">
        <v>42650</v>
      </c>
      <c r="C2907" s="21">
        <v>0.73055555555555551</v>
      </c>
      <c r="D2907" s="20" t="s">
        <v>3044</v>
      </c>
      <c r="E2907" t="s">
        <v>18</v>
      </c>
      <c r="F2907" t="s">
        <v>19</v>
      </c>
      <c r="G2907" t="s">
        <v>1224</v>
      </c>
      <c r="H2907">
        <v>13</v>
      </c>
      <c r="I2907">
        <f t="shared" si="47"/>
        <v>17</v>
      </c>
    </row>
    <row r="2908" spans="1:9">
      <c r="A2908" s="1">
        <v>42573.97152777778</v>
      </c>
      <c r="B2908" s="19">
        <v>42650</v>
      </c>
      <c r="C2908" s="21">
        <v>0.58263888888888893</v>
      </c>
      <c r="D2908" s="20" t="s">
        <v>3039</v>
      </c>
      <c r="E2908" t="s">
        <v>18</v>
      </c>
      <c r="F2908" t="s">
        <v>71</v>
      </c>
      <c r="G2908" t="s">
        <v>1225</v>
      </c>
      <c r="H2908">
        <v>38</v>
      </c>
      <c r="I2908">
        <f t="shared" si="47"/>
        <v>48</v>
      </c>
    </row>
    <row r="2909" spans="1:9">
      <c r="A2909" s="1">
        <v>42573.583333333336</v>
      </c>
      <c r="B2909" s="19">
        <v>42650</v>
      </c>
      <c r="C2909" s="21">
        <v>0.46180555555555558</v>
      </c>
      <c r="D2909" s="20" t="s">
        <v>3037</v>
      </c>
      <c r="E2909" t="s">
        <v>18</v>
      </c>
      <c r="F2909" t="s">
        <v>71</v>
      </c>
      <c r="G2909" t="s">
        <v>1226</v>
      </c>
      <c r="H2909">
        <v>31</v>
      </c>
      <c r="I2909">
        <f t="shared" si="47"/>
        <v>39</v>
      </c>
    </row>
    <row r="2910" spans="1:9">
      <c r="A2910" s="1">
        <v>42573.45208333333</v>
      </c>
      <c r="B2910" s="19">
        <v>42650</v>
      </c>
      <c r="C2910" s="21">
        <v>4.791666666666667E-2</v>
      </c>
      <c r="D2910" s="20" t="s">
        <v>3051</v>
      </c>
      <c r="E2910" t="s">
        <v>0</v>
      </c>
      <c r="G2910" t="s">
        <v>1227</v>
      </c>
      <c r="H2910">
        <v>2</v>
      </c>
      <c r="I2910">
        <f t="shared" si="47"/>
        <v>3</v>
      </c>
    </row>
    <row r="2911" spans="1:9">
      <c r="A2911" s="1">
        <v>42573.317361111112</v>
      </c>
      <c r="B2911" s="19">
        <v>42651</v>
      </c>
      <c r="C2911" s="21">
        <v>0.10208333333333333</v>
      </c>
      <c r="D2911" s="20" t="s">
        <v>3052</v>
      </c>
      <c r="E2911" t="s">
        <v>2</v>
      </c>
      <c r="F2911" t="s">
        <v>3</v>
      </c>
      <c r="G2911" t="s">
        <v>1223</v>
      </c>
      <c r="H2911">
        <v>19</v>
      </c>
      <c r="I2911">
        <f t="shared" si="47"/>
        <v>24</v>
      </c>
    </row>
    <row r="2912" spans="1:9">
      <c r="A2912" s="1">
        <v>42572.998611111114</v>
      </c>
      <c r="B2912" s="19">
        <v>42651</v>
      </c>
      <c r="C2912" s="21">
        <v>0.19652777777777777</v>
      </c>
      <c r="D2912" s="20" t="s">
        <v>3054</v>
      </c>
      <c r="E2912" t="s">
        <v>77</v>
      </c>
      <c r="F2912" t="s">
        <v>78</v>
      </c>
      <c r="G2912" t="s">
        <v>1222</v>
      </c>
      <c r="H2912">
        <v>19</v>
      </c>
      <c r="I2912">
        <f t="shared" si="47"/>
        <v>24</v>
      </c>
    </row>
    <row r="2913" spans="1:9">
      <c r="A2913" s="1">
        <v>42572.927083333336</v>
      </c>
      <c r="B2913" s="19">
        <v>42653</v>
      </c>
      <c r="C2913" s="21">
        <v>0.97847222222222219</v>
      </c>
      <c r="D2913" s="20" t="s">
        <v>3063</v>
      </c>
      <c r="E2913" t="s">
        <v>6</v>
      </c>
      <c r="F2913" t="s">
        <v>12</v>
      </c>
      <c r="G2913" t="s">
        <v>1217</v>
      </c>
      <c r="H2913">
        <v>4</v>
      </c>
      <c r="I2913">
        <f t="shared" si="47"/>
        <v>5</v>
      </c>
    </row>
    <row r="2914" spans="1:9">
      <c r="A2914" s="1">
        <v>42572.918749999997</v>
      </c>
      <c r="B2914" s="19">
        <v>42653</v>
      </c>
      <c r="C2914" s="21">
        <v>0.95208333333333328</v>
      </c>
      <c r="D2914" s="20" t="s">
        <v>3049</v>
      </c>
      <c r="E2914" t="s">
        <v>6</v>
      </c>
      <c r="F2914" t="s">
        <v>12</v>
      </c>
      <c r="G2914" t="s">
        <v>1218</v>
      </c>
      <c r="H2914">
        <v>7</v>
      </c>
      <c r="I2914">
        <f t="shared" si="47"/>
        <v>9</v>
      </c>
    </row>
    <row r="2915" spans="1:9">
      <c r="A2915" s="1">
        <v>42572.672222222223</v>
      </c>
      <c r="B2915" s="19">
        <v>42653</v>
      </c>
      <c r="C2915" s="21">
        <v>0.5493055555555556</v>
      </c>
      <c r="D2915" s="20" t="s">
        <v>3039</v>
      </c>
      <c r="E2915" t="s">
        <v>6</v>
      </c>
      <c r="F2915" t="s">
        <v>15</v>
      </c>
      <c r="H2915">
        <v>19</v>
      </c>
      <c r="I2915">
        <f t="shared" si="47"/>
        <v>24</v>
      </c>
    </row>
    <row r="2916" spans="1:9">
      <c r="A2916" s="1">
        <v>42572.59097222222</v>
      </c>
      <c r="B2916" s="19">
        <v>42653</v>
      </c>
      <c r="C2916" s="21">
        <v>0.61041666666666672</v>
      </c>
      <c r="D2916" s="20" t="s">
        <v>3040</v>
      </c>
      <c r="E2916" t="s">
        <v>18</v>
      </c>
      <c r="F2916" t="s">
        <v>71</v>
      </c>
      <c r="G2916" t="s">
        <v>1219</v>
      </c>
      <c r="H2916">
        <v>15</v>
      </c>
      <c r="I2916">
        <f t="shared" si="47"/>
        <v>19</v>
      </c>
    </row>
    <row r="2917" spans="1:9">
      <c r="A2917" s="1">
        <v>42572.536111111112</v>
      </c>
      <c r="B2917" s="19">
        <v>42653</v>
      </c>
      <c r="C2917" s="21">
        <v>0.27569444444444446</v>
      </c>
      <c r="D2917" s="20" t="s">
        <v>3031</v>
      </c>
      <c r="E2917" t="s">
        <v>18</v>
      </c>
      <c r="F2917" t="s">
        <v>100</v>
      </c>
      <c r="G2917" t="s">
        <v>1220</v>
      </c>
      <c r="H2917" t="e">
        <v>#VALUE!</v>
      </c>
      <c r="I2917" t="e">
        <f t="shared" si="47"/>
        <v>#VALUE!</v>
      </c>
    </row>
    <row r="2918" spans="1:9">
      <c r="A2918" s="1">
        <v>42572.500694444447</v>
      </c>
      <c r="B2918" s="19">
        <v>42653</v>
      </c>
      <c r="C2918" s="21">
        <v>0.24097222222222223</v>
      </c>
      <c r="D2918" s="20" t="s">
        <v>3055</v>
      </c>
      <c r="E2918" t="s">
        <v>0</v>
      </c>
      <c r="G2918" t="s">
        <v>1221</v>
      </c>
      <c r="H2918">
        <v>50</v>
      </c>
      <c r="I2918">
        <f t="shared" si="47"/>
        <v>62</v>
      </c>
    </row>
    <row r="2919" spans="1:9">
      <c r="A2919" s="1">
        <v>42572.158333333333</v>
      </c>
      <c r="B2919" s="19">
        <v>42654</v>
      </c>
      <c r="C2919" s="21">
        <v>0.76597222222222228</v>
      </c>
      <c r="D2919" s="20" t="s">
        <v>3045</v>
      </c>
      <c r="E2919" t="s">
        <v>6</v>
      </c>
      <c r="F2919" t="s">
        <v>21</v>
      </c>
      <c r="G2919" t="s">
        <v>83</v>
      </c>
      <c r="H2919">
        <v>7</v>
      </c>
      <c r="I2919">
        <f t="shared" si="47"/>
        <v>9</v>
      </c>
    </row>
    <row r="2920" spans="1:9">
      <c r="A2920" s="1">
        <v>42572.095138888886</v>
      </c>
      <c r="B2920" s="19">
        <v>42654</v>
      </c>
      <c r="C2920" s="21">
        <v>0.3611111111111111</v>
      </c>
      <c r="D2920" s="20" t="s">
        <v>3034</v>
      </c>
      <c r="E2920" t="s">
        <v>6</v>
      </c>
      <c r="F2920" t="s">
        <v>46</v>
      </c>
      <c r="G2920" t="s">
        <v>1213</v>
      </c>
      <c r="H2920">
        <v>13</v>
      </c>
      <c r="I2920">
        <f t="shared" si="47"/>
        <v>17</v>
      </c>
    </row>
    <row r="2921" spans="1:9">
      <c r="A2921" s="1">
        <v>42572.990277777775</v>
      </c>
      <c r="B2921" s="19">
        <v>42654</v>
      </c>
      <c r="C2921" s="21">
        <v>0.14652777777777778</v>
      </c>
      <c r="D2921" s="20" t="s">
        <v>3053</v>
      </c>
      <c r="E2921" t="s">
        <v>2</v>
      </c>
      <c r="F2921" t="s">
        <v>3</v>
      </c>
      <c r="G2921" t="s">
        <v>735</v>
      </c>
      <c r="H2921">
        <v>13</v>
      </c>
      <c r="I2921">
        <f t="shared" si="47"/>
        <v>17</v>
      </c>
    </row>
    <row r="2922" spans="1:9">
      <c r="A2922" s="1">
        <v>42572.980555555558</v>
      </c>
      <c r="B2922" s="19">
        <v>42654</v>
      </c>
      <c r="C2922" s="21">
        <v>0.10277777777777777</v>
      </c>
      <c r="D2922" s="20" t="s">
        <v>3052</v>
      </c>
      <c r="E2922" t="s">
        <v>6</v>
      </c>
      <c r="F2922" t="s">
        <v>21</v>
      </c>
      <c r="G2922" t="s">
        <v>538</v>
      </c>
      <c r="H2922">
        <v>7</v>
      </c>
      <c r="I2922">
        <f t="shared" si="47"/>
        <v>9</v>
      </c>
    </row>
    <row r="2923" spans="1:9">
      <c r="A2923" s="1">
        <v>42572.936805555553</v>
      </c>
      <c r="B2923" s="19">
        <v>42654</v>
      </c>
      <c r="C2923" s="21">
        <v>2.5694444444444443E-2</v>
      </c>
      <c r="D2923" s="20" t="s">
        <v>3050</v>
      </c>
      <c r="E2923" t="s">
        <v>6</v>
      </c>
      <c r="F2923" t="s">
        <v>12</v>
      </c>
      <c r="G2923" t="s">
        <v>1216</v>
      </c>
      <c r="H2923">
        <v>4</v>
      </c>
      <c r="I2923">
        <f t="shared" si="47"/>
        <v>5</v>
      </c>
    </row>
    <row r="2924" spans="1:9">
      <c r="A2924" s="1">
        <v>42572.804861111108</v>
      </c>
      <c r="B2924" s="19">
        <v>42654</v>
      </c>
      <c r="C2924" s="21">
        <v>0.33194444444444443</v>
      </c>
      <c r="D2924" s="20" t="s">
        <v>3033</v>
      </c>
      <c r="E2924" t="s">
        <v>33</v>
      </c>
      <c r="F2924" t="s">
        <v>44</v>
      </c>
      <c r="G2924" t="s">
        <v>1214</v>
      </c>
      <c r="H2924">
        <v>38</v>
      </c>
      <c r="I2924">
        <f t="shared" si="47"/>
        <v>48</v>
      </c>
    </row>
    <row r="2925" spans="1:9">
      <c r="A2925" s="1">
        <v>42572.75</v>
      </c>
      <c r="B2925" s="19">
        <v>42654</v>
      </c>
      <c r="C2925" s="21">
        <v>0.25138888888888888</v>
      </c>
      <c r="D2925" s="20" t="s">
        <v>3031</v>
      </c>
      <c r="E2925" t="s">
        <v>18</v>
      </c>
      <c r="F2925" t="s">
        <v>100</v>
      </c>
      <c r="G2925" t="s">
        <v>1215</v>
      </c>
      <c r="H2925" t="e">
        <v>#VALUE!</v>
      </c>
      <c r="I2925" t="e">
        <f t="shared" si="47"/>
        <v>#VALUE!</v>
      </c>
    </row>
    <row r="2926" spans="1:9">
      <c r="A2926" s="1">
        <v>42572.67291666667</v>
      </c>
      <c r="B2926" s="19">
        <v>42655</v>
      </c>
      <c r="C2926" s="21">
        <v>0.51527777777777772</v>
      </c>
      <c r="D2926" s="20" t="s">
        <v>3038</v>
      </c>
      <c r="E2926" t="s">
        <v>6</v>
      </c>
      <c r="F2926" t="s">
        <v>12</v>
      </c>
      <c r="G2926" t="s">
        <v>1203</v>
      </c>
      <c r="H2926">
        <v>4</v>
      </c>
      <c r="I2926">
        <f t="shared" si="47"/>
        <v>5</v>
      </c>
    </row>
    <row r="2927" spans="1:9">
      <c r="A2927" s="1">
        <v>42572.647916666669</v>
      </c>
      <c r="B2927" s="19">
        <v>42655</v>
      </c>
      <c r="C2927" s="21">
        <v>0.48749999999999999</v>
      </c>
      <c r="D2927" s="20" t="s">
        <v>3037</v>
      </c>
      <c r="E2927" t="s">
        <v>6</v>
      </c>
      <c r="F2927" t="s">
        <v>15</v>
      </c>
      <c r="G2927" t="s">
        <v>1204</v>
      </c>
      <c r="H2927">
        <v>13</v>
      </c>
      <c r="I2927">
        <f t="shared" si="47"/>
        <v>17</v>
      </c>
    </row>
    <row r="2928" spans="1:9">
      <c r="A2928" s="1">
        <v>42572.337500000001</v>
      </c>
      <c r="B2928" s="19">
        <v>42655</v>
      </c>
      <c r="C2928" s="21">
        <v>0.39652777777777776</v>
      </c>
      <c r="D2928" s="20" t="s">
        <v>3035</v>
      </c>
      <c r="E2928" t="s">
        <v>6</v>
      </c>
      <c r="F2928" t="s">
        <v>89</v>
      </c>
      <c r="G2928" t="s">
        <v>1207</v>
      </c>
      <c r="H2928">
        <v>7</v>
      </c>
      <c r="I2928">
        <f t="shared" si="47"/>
        <v>9</v>
      </c>
    </row>
    <row r="2929" spans="1:9">
      <c r="A2929" s="1">
        <v>42572.252083333333</v>
      </c>
      <c r="B2929" s="19">
        <v>42655</v>
      </c>
      <c r="C2929" s="21">
        <v>0.39652777777777776</v>
      </c>
      <c r="D2929" s="20" t="s">
        <v>3035</v>
      </c>
      <c r="E2929" t="s">
        <v>2</v>
      </c>
      <c r="F2929" t="s">
        <v>48</v>
      </c>
      <c r="G2929" t="s">
        <v>1208</v>
      </c>
      <c r="H2929">
        <v>25</v>
      </c>
      <c r="I2929">
        <f t="shared" si="47"/>
        <v>31</v>
      </c>
    </row>
    <row r="2930" spans="1:9">
      <c r="A2930" s="1">
        <v>42572.156944444447</v>
      </c>
      <c r="B2930" s="19">
        <v>42655</v>
      </c>
      <c r="C2930" s="21">
        <v>0.34027777777777779</v>
      </c>
      <c r="D2930" s="20" t="s">
        <v>3034</v>
      </c>
      <c r="E2930" t="s">
        <v>6</v>
      </c>
      <c r="F2930" t="s">
        <v>21</v>
      </c>
      <c r="G2930" t="s">
        <v>1209</v>
      </c>
      <c r="H2930">
        <v>13</v>
      </c>
      <c r="I2930">
        <f t="shared" si="47"/>
        <v>17</v>
      </c>
    </row>
    <row r="2931" spans="1:9">
      <c r="A2931" s="1">
        <v>42571.927083333336</v>
      </c>
      <c r="B2931" s="19">
        <v>42655</v>
      </c>
      <c r="C2931" s="21">
        <v>0.33263888888888887</v>
      </c>
      <c r="D2931" s="20" t="s">
        <v>3033</v>
      </c>
      <c r="E2931" t="s">
        <v>6</v>
      </c>
      <c r="F2931" t="s">
        <v>12</v>
      </c>
      <c r="G2931" t="s">
        <v>1210</v>
      </c>
      <c r="H2931">
        <v>5</v>
      </c>
      <c r="I2931">
        <f t="shared" si="47"/>
        <v>7</v>
      </c>
    </row>
    <row r="2932" spans="1:9">
      <c r="A2932" s="1">
        <v>42571.831944444442</v>
      </c>
      <c r="B2932" s="19">
        <v>42655</v>
      </c>
      <c r="C2932" s="21">
        <v>0.30555555555555558</v>
      </c>
      <c r="D2932" s="20" t="s">
        <v>3033</v>
      </c>
      <c r="E2932" t="s">
        <v>6</v>
      </c>
      <c r="F2932" t="s">
        <v>12</v>
      </c>
      <c r="G2932" t="s">
        <v>1211</v>
      </c>
      <c r="H2932">
        <v>7</v>
      </c>
      <c r="I2932">
        <f t="shared" si="47"/>
        <v>9</v>
      </c>
    </row>
    <row r="2933" spans="1:9">
      <c r="A2933" s="1">
        <v>42571.672222222223</v>
      </c>
      <c r="B2933" s="19">
        <v>42655</v>
      </c>
      <c r="C2933" s="21">
        <v>0.9194444444444444</v>
      </c>
      <c r="D2933" s="20" t="s">
        <v>3049</v>
      </c>
      <c r="E2933" t="s">
        <v>18</v>
      </c>
      <c r="F2933" t="s">
        <v>100</v>
      </c>
      <c r="G2933" t="s">
        <v>1202</v>
      </c>
      <c r="H2933" t="e">
        <v>#VALUE!</v>
      </c>
      <c r="I2933" t="e">
        <f t="shared" si="47"/>
        <v>#VALUE!</v>
      </c>
    </row>
    <row r="2934" spans="1:9">
      <c r="A2934" s="1">
        <v>42571.59652777778</v>
      </c>
      <c r="B2934" s="19">
        <v>42655</v>
      </c>
      <c r="C2934" s="21">
        <v>0.47083333333333333</v>
      </c>
      <c r="D2934" s="20" t="s">
        <v>3037</v>
      </c>
      <c r="E2934" t="s">
        <v>0</v>
      </c>
      <c r="G2934" t="s">
        <v>1205</v>
      </c>
      <c r="H2934">
        <v>13</v>
      </c>
      <c r="I2934">
        <f t="shared" si="47"/>
        <v>17</v>
      </c>
    </row>
    <row r="2935" spans="1:9">
      <c r="A2935" s="1">
        <v>42571.5</v>
      </c>
      <c r="B2935" s="19">
        <v>42655</v>
      </c>
      <c r="C2935" s="21">
        <v>0.43958333333333333</v>
      </c>
      <c r="D2935" s="20" t="s">
        <v>3036</v>
      </c>
      <c r="E2935" t="s">
        <v>33</v>
      </c>
      <c r="F2935" t="s">
        <v>34</v>
      </c>
      <c r="G2935" t="s">
        <v>1206</v>
      </c>
      <c r="H2935">
        <v>2</v>
      </c>
      <c r="I2935">
        <f t="shared" si="47"/>
        <v>3</v>
      </c>
    </row>
    <row r="2936" spans="1:9">
      <c r="A2936" s="1">
        <v>42571.178472222222</v>
      </c>
      <c r="B2936" s="19">
        <v>42655</v>
      </c>
      <c r="C2936" s="21">
        <v>0.25277777777777777</v>
      </c>
      <c r="D2936" s="20" t="s">
        <v>3031</v>
      </c>
      <c r="E2936" t="s">
        <v>18</v>
      </c>
      <c r="F2936" t="s">
        <v>100</v>
      </c>
      <c r="G2936" t="s">
        <v>1212</v>
      </c>
      <c r="H2936" t="e">
        <v>#VALUE!</v>
      </c>
      <c r="I2936" t="e">
        <f t="shared" si="47"/>
        <v>#VALUE!</v>
      </c>
    </row>
    <row r="2937" spans="1:9">
      <c r="A2937" s="1">
        <v>42571.98333333333</v>
      </c>
      <c r="B2937" s="19">
        <v>42656</v>
      </c>
      <c r="C2937" s="21">
        <v>0.72152777777777777</v>
      </c>
      <c r="D2937" s="20" t="s">
        <v>3044</v>
      </c>
      <c r="E2937" t="s">
        <v>6</v>
      </c>
      <c r="F2937" t="s">
        <v>26</v>
      </c>
      <c r="G2937" t="s">
        <v>1193</v>
      </c>
      <c r="H2937">
        <v>4</v>
      </c>
      <c r="I2937">
        <f t="shared" si="47"/>
        <v>5</v>
      </c>
    </row>
    <row r="2938" spans="1:9">
      <c r="A2938" s="1">
        <v>42571.947916666664</v>
      </c>
      <c r="B2938" s="19">
        <v>42656</v>
      </c>
      <c r="C2938" s="21">
        <v>0.68263888888888891</v>
      </c>
      <c r="D2938" s="20" t="s">
        <v>3043</v>
      </c>
      <c r="E2938" t="s">
        <v>2</v>
      </c>
      <c r="F2938" t="s">
        <v>56</v>
      </c>
      <c r="G2938" t="s">
        <v>609</v>
      </c>
      <c r="H2938">
        <v>38</v>
      </c>
      <c r="I2938">
        <f t="shared" si="47"/>
        <v>48</v>
      </c>
    </row>
    <row r="2939" spans="1:9">
      <c r="A2939" s="1">
        <v>42571.934027777781</v>
      </c>
      <c r="B2939" s="19">
        <v>42656</v>
      </c>
      <c r="C2939" s="21">
        <v>0.48194444444444445</v>
      </c>
      <c r="D2939" s="20" t="s">
        <v>3037</v>
      </c>
      <c r="E2939" t="s">
        <v>2</v>
      </c>
      <c r="F2939" t="s">
        <v>48</v>
      </c>
      <c r="G2939" t="s">
        <v>1195</v>
      </c>
      <c r="H2939">
        <v>19</v>
      </c>
      <c r="I2939">
        <f t="shared" si="47"/>
        <v>24</v>
      </c>
    </row>
    <row r="2940" spans="1:9">
      <c r="A2940" s="1">
        <v>42571.927083333336</v>
      </c>
      <c r="B2940" s="19">
        <v>42656</v>
      </c>
      <c r="C2940" s="21">
        <v>0.33750000000000002</v>
      </c>
      <c r="D2940" s="20" t="s">
        <v>3034</v>
      </c>
      <c r="E2940" t="s">
        <v>6</v>
      </c>
      <c r="F2940" t="s">
        <v>15</v>
      </c>
      <c r="G2940" t="s">
        <v>1198</v>
      </c>
      <c r="H2940" t="e">
        <v>#VALUE!</v>
      </c>
      <c r="I2940" t="e">
        <f t="shared" si="47"/>
        <v>#VALUE!</v>
      </c>
    </row>
    <row r="2941" spans="1:9">
      <c r="A2941" s="1">
        <v>42571.886805555558</v>
      </c>
      <c r="B2941" s="19">
        <v>42656</v>
      </c>
      <c r="C2941" s="21">
        <v>0.27916666666666667</v>
      </c>
      <c r="D2941" s="20" t="s">
        <v>3031</v>
      </c>
      <c r="E2941" t="s">
        <v>2</v>
      </c>
      <c r="F2941" t="s">
        <v>5</v>
      </c>
      <c r="G2941" t="s">
        <v>1199</v>
      </c>
      <c r="H2941" t="e">
        <v>#VALUE!</v>
      </c>
      <c r="I2941" t="e">
        <f t="shared" si="47"/>
        <v>#VALUE!</v>
      </c>
    </row>
    <row r="2942" spans="1:9">
      <c r="A2942" s="1">
        <v>42571.717361111114</v>
      </c>
      <c r="B2942" s="19">
        <v>42656</v>
      </c>
      <c r="C2942" s="21">
        <v>0.25347222222222221</v>
      </c>
      <c r="D2942" s="20" t="s">
        <v>3031</v>
      </c>
      <c r="E2942" t="s">
        <v>6</v>
      </c>
      <c r="F2942" t="s">
        <v>15</v>
      </c>
      <c r="G2942" t="s">
        <v>1200</v>
      </c>
      <c r="H2942">
        <v>46</v>
      </c>
      <c r="I2942">
        <f t="shared" si="47"/>
        <v>58</v>
      </c>
    </row>
    <row r="2943" spans="1:9">
      <c r="A2943" s="1">
        <v>42571.675000000003</v>
      </c>
      <c r="B2943" s="19">
        <v>42656</v>
      </c>
      <c r="C2943" s="21">
        <v>0.19375000000000001</v>
      </c>
      <c r="D2943" s="20" t="s">
        <v>3054</v>
      </c>
      <c r="E2943" t="s">
        <v>6</v>
      </c>
      <c r="F2943" t="s">
        <v>15</v>
      </c>
      <c r="G2943" t="s">
        <v>1201</v>
      </c>
      <c r="H2943" t="e">
        <v>#VALUE!</v>
      </c>
      <c r="I2943" t="e">
        <f t="shared" si="47"/>
        <v>#VALUE!</v>
      </c>
    </row>
    <row r="2944" spans="1:9">
      <c r="A2944" s="1">
        <v>42571.376388888886</v>
      </c>
      <c r="B2944" s="19">
        <v>42656</v>
      </c>
      <c r="C2944" s="21">
        <v>0.91666666666666663</v>
      </c>
      <c r="D2944" s="20" t="s">
        <v>3049</v>
      </c>
      <c r="E2944" t="s">
        <v>18</v>
      </c>
      <c r="F2944" t="s">
        <v>100</v>
      </c>
      <c r="G2944" t="s">
        <v>101</v>
      </c>
      <c r="H2944" t="e">
        <v>#VALUE!</v>
      </c>
      <c r="I2944" t="e">
        <f t="shared" si="47"/>
        <v>#VALUE!</v>
      </c>
    </row>
    <row r="2945" spans="1:9">
      <c r="A2945" s="1">
        <v>42571.34652777778</v>
      </c>
      <c r="B2945" s="19">
        <v>42656</v>
      </c>
      <c r="C2945" s="21">
        <v>0.59027777777777779</v>
      </c>
      <c r="D2945" s="20" t="s">
        <v>3040</v>
      </c>
      <c r="E2945" t="s">
        <v>18</v>
      </c>
      <c r="G2945" t="s">
        <v>1194</v>
      </c>
      <c r="H2945">
        <v>29</v>
      </c>
      <c r="I2945">
        <f t="shared" si="47"/>
        <v>36</v>
      </c>
    </row>
    <row r="2946" spans="1:9">
      <c r="A2946" s="1">
        <v>42571.211805555555</v>
      </c>
      <c r="B2946" s="19">
        <v>42656</v>
      </c>
      <c r="C2946" s="21">
        <v>0.44097222222222221</v>
      </c>
      <c r="D2946" s="20" t="s">
        <v>3036</v>
      </c>
      <c r="E2946" t="s">
        <v>18</v>
      </c>
      <c r="F2946" t="s">
        <v>71</v>
      </c>
      <c r="G2946" t="s">
        <v>1196</v>
      </c>
      <c r="H2946">
        <v>44</v>
      </c>
      <c r="I2946">
        <f t="shared" si="47"/>
        <v>55</v>
      </c>
    </row>
    <row r="2947" spans="1:9">
      <c r="A2947" s="1">
        <v>42571.185416666667</v>
      </c>
      <c r="B2947" s="19">
        <v>42656</v>
      </c>
      <c r="C2947" s="21">
        <v>0.42291666666666666</v>
      </c>
      <c r="D2947" s="20" t="s">
        <v>3036</v>
      </c>
      <c r="E2947" t="s">
        <v>18</v>
      </c>
      <c r="F2947" t="s">
        <v>100</v>
      </c>
      <c r="G2947" t="s">
        <v>1197</v>
      </c>
      <c r="H2947" t="e">
        <v>#VALUE!</v>
      </c>
      <c r="I2947" t="e">
        <f t="shared" ref="I2947:I3010" si="48">ROUNDUP((H2947*1.24), 0)</f>
        <v>#VALUE!</v>
      </c>
    </row>
    <row r="2948" spans="1:9">
      <c r="A2948" s="1">
        <v>42571.171527777777</v>
      </c>
      <c r="B2948" s="19">
        <v>42657</v>
      </c>
      <c r="C2948" s="21">
        <v>0.96180555555555558</v>
      </c>
      <c r="D2948" s="20" t="s">
        <v>3063</v>
      </c>
      <c r="E2948" t="s">
        <v>2</v>
      </c>
      <c r="F2948" t="s">
        <v>5</v>
      </c>
      <c r="H2948">
        <v>14</v>
      </c>
      <c r="I2948">
        <f t="shared" si="48"/>
        <v>18</v>
      </c>
    </row>
    <row r="2949" spans="1:9">
      <c r="A2949" s="1">
        <v>42571.001388888886</v>
      </c>
      <c r="B2949" s="19">
        <v>42657</v>
      </c>
      <c r="C2949" s="21">
        <v>0.95833333333333337</v>
      </c>
      <c r="D2949" s="20" t="s">
        <v>3063</v>
      </c>
      <c r="E2949" t="s">
        <v>6</v>
      </c>
      <c r="F2949" t="s">
        <v>21</v>
      </c>
      <c r="G2949" t="s">
        <v>1186</v>
      </c>
      <c r="H2949">
        <v>7</v>
      </c>
      <c r="I2949">
        <f t="shared" si="48"/>
        <v>9</v>
      </c>
    </row>
    <row r="2950" spans="1:9">
      <c r="A2950" s="1">
        <v>42570.913194444445</v>
      </c>
      <c r="B2950" s="19">
        <v>42657</v>
      </c>
      <c r="C2950" s="21">
        <v>0.68194444444444446</v>
      </c>
      <c r="D2950" s="20" t="s">
        <v>3043</v>
      </c>
      <c r="E2950" t="s">
        <v>2</v>
      </c>
      <c r="F2950" t="s">
        <v>3</v>
      </c>
      <c r="G2950" t="s">
        <v>1187</v>
      </c>
      <c r="H2950">
        <v>75</v>
      </c>
      <c r="I2950">
        <f t="shared" si="48"/>
        <v>93</v>
      </c>
    </row>
    <row r="2951" spans="1:9">
      <c r="A2951" s="1">
        <v>42570.856944444444</v>
      </c>
      <c r="B2951" s="19">
        <v>42657</v>
      </c>
      <c r="C2951" s="21">
        <v>0.34652777777777777</v>
      </c>
      <c r="D2951" s="20" t="s">
        <v>3034</v>
      </c>
      <c r="E2951" t="s">
        <v>2</v>
      </c>
      <c r="F2951" t="s">
        <v>48</v>
      </c>
      <c r="G2951" t="s">
        <v>1189</v>
      </c>
      <c r="H2951">
        <v>10</v>
      </c>
      <c r="I2951">
        <f t="shared" si="48"/>
        <v>13</v>
      </c>
    </row>
    <row r="2952" spans="1:9">
      <c r="A2952" s="1">
        <v>42570.831944444442</v>
      </c>
      <c r="B2952" s="19">
        <v>42657</v>
      </c>
      <c r="C2952" s="21">
        <v>0.29444444444444445</v>
      </c>
      <c r="D2952" s="20" t="s">
        <v>3033</v>
      </c>
      <c r="E2952" t="s">
        <v>6</v>
      </c>
      <c r="F2952" t="s">
        <v>21</v>
      </c>
      <c r="G2952" t="s">
        <v>1190</v>
      </c>
      <c r="H2952" t="e">
        <v>#VALUE!</v>
      </c>
      <c r="I2952" t="e">
        <f t="shared" si="48"/>
        <v>#VALUE!</v>
      </c>
    </row>
    <row r="2953" spans="1:9">
      <c r="A2953" s="1">
        <v>42570.77847222222</v>
      </c>
      <c r="B2953" s="19">
        <v>42657</v>
      </c>
      <c r="C2953" s="21">
        <v>0.16111111111111112</v>
      </c>
      <c r="D2953" s="20" t="s">
        <v>3053</v>
      </c>
      <c r="E2953" t="s">
        <v>2</v>
      </c>
      <c r="F2953" t="s">
        <v>5</v>
      </c>
      <c r="H2953">
        <v>7</v>
      </c>
      <c r="I2953">
        <f t="shared" si="48"/>
        <v>9</v>
      </c>
    </row>
    <row r="2954" spans="1:9">
      <c r="A2954" s="1">
        <v>42570.759722222225</v>
      </c>
      <c r="B2954" s="19">
        <v>42657</v>
      </c>
      <c r="C2954" s="21">
        <v>0.15277777777777779</v>
      </c>
      <c r="D2954" s="20" t="s">
        <v>3053</v>
      </c>
      <c r="E2954" t="s">
        <v>6</v>
      </c>
      <c r="F2954" t="s">
        <v>46</v>
      </c>
      <c r="G2954" t="s">
        <v>65</v>
      </c>
      <c r="H2954">
        <v>15</v>
      </c>
      <c r="I2954">
        <f t="shared" si="48"/>
        <v>19</v>
      </c>
    </row>
    <row r="2955" spans="1:9">
      <c r="A2955" s="1">
        <v>42570.673611111109</v>
      </c>
      <c r="B2955" s="19">
        <v>42657</v>
      </c>
      <c r="C2955" s="21">
        <v>0.1125</v>
      </c>
      <c r="D2955" s="20" t="s">
        <v>3052</v>
      </c>
      <c r="E2955" t="s">
        <v>6</v>
      </c>
      <c r="F2955" t="s">
        <v>12</v>
      </c>
      <c r="G2955" t="s">
        <v>1192</v>
      </c>
      <c r="H2955">
        <v>4</v>
      </c>
      <c r="I2955">
        <f t="shared" si="48"/>
        <v>5</v>
      </c>
    </row>
    <row r="2956" spans="1:9">
      <c r="A2956" s="1">
        <v>42570.607638888891</v>
      </c>
      <c r="B2956" s="19">
        <v>42657</v>
      </c>
      <c r="C2956" s="21">
        <v>0.91597222222222219</v>
      </c>
      <c r="D2956" s="20" t="s">
        <v>3048</v>
      </c>
      <c r="E2956" t="s">
        <v>18</v>
      </c>
      <c r="F2956" t="s">
        <v>100</v>
      </c>
      <c r="G2956" t="s">
        <v>1166</v>
      </c>
      <c r="H2956" t="e">
        <v>#VALUE!</v>
      </c>
      <c r="I2956" t="e">
        <f t="shared" si="48"/>
        <v>#VALUE!</v>
      </c>
    </row>
    <row r="2957" spans="1:9">
      <c r="A2957" s="1">
        <v>42570.597916666666</v>
      </c>
      <c r="B2957" s="19">
        <v>42657</v>
      </c>
      <c r="C2957" s="21">
        <v>0.41944444444444445</v>
      </c>
      <c r="D2957" s="20" t="s">
        <v>3036</v>
      </c>
      <c r="E2957" t="s">
        <v>18</v>
      </c>
      <c r="F2957" t="s">
        <v>19</v>
      </c>
      <c r="G2957" t="s">
        <v>1188</v>
      </c>
      <c r="H2957" t="e">
        <v>#VALUE!</v>
      </c>
      <c r="I2957" t="e">
        <f t="shared" si="48"/>
        <v>#VALUE!</v>
      </c>
    </row>
    <row r="2958" spans="1:9">
      <c r="A2958" s="1">
        <v>42570.5</v>
      </c>
      <c r="B2958" s="19">
        <v>42657</v>
      </c>
      <c r="C2958" s="21">
        <v>0.25069444444444444</v>
      </c>
      <c r="D2958" s="20" t="s">
        <v>3031</v>
      </c>
      <c r="E2958" t="s">
        <v>18</v>
      </c>
      <c r="F2958" t="s">
        <v>100</v>
      </c>
      <c r="G2958" t="s">
        <v>1191</v>
      </c>
      <c r="H2958" t="e">
        <v>#VALUE!</v>
      </c>
      <c r="I2958" t="e">
        <f t="shared" si="48"/>
        <v>#VALUE!</v>
      </c>
    </row>
    <row r="2959" spans="1:9">
      <c r="A2959" s="1">
        <v>42570.991666666669</v>
      </c>
      <c r="B2959" s="19">
        <v>42658</v>
      </c>
      <c r="C2959" s="21">
        <v>0.13472222222222222</v>
      </c>
      <c r="D2959" s="20" t="s">
        <v>3053</v>
      </c>
      <c r="E2959" t="s">
        <v>6</v>
      </c>
      <c r="F2959" t="s">
        <v>15</v>
      </c>
      <c r="G2959" t="s">
        <v>1184</v>
      </c>
      <c r="H2959">
        <v>18</v>
      </c>
      <c r="I2959">
        <f t="shared" si="48"/>
        <v>23</v>
      </c>
    </row>
    <row r="2960" spans="1:9">
      <c r="A2960" s="1">
        <v>42570.984027777777</v>
      </c>
      <c r="B2960" s="19">
        <v>42658</v>
      </c>
      <c r="C2960" s="21">
        <v>0.12916666666666668</v>
      </c>
      <c r="D2960" s="20" t="s">
        <v>3053</v>
      </c>
      <c r="E2960" t="s">
        <v>6</v>
      </c>
      <c r="F2960" t="s">
        <v>15</v>
      </c>
      <c r="G2960" t="s">
        <v>1185</v>
      </c>
      <c r="H2960">
        <v>10</v>
      </c>
      <c r="I2960">
        <f t="shared" si="48"/>
        <v>13</v>
      </c>
    </row>
    <row r="2961" spans="1:9">
      <c r="A2961" s="1">
        <v>42570.9375</v>
      </c>
      <c r="B2961" s="19">
        <v>42660</v>
      </c>
      <c r="C2961" s="21">
        <v>0.72222222222222221</v>
      </c>
      <c r="D2961" s="20" t="s">
        <v>3044</v>
      </c>
      <c r="E2961" t="s">
        <v>6</v>
      </c>
      <c r="F2961" t="s">
        <v>12</v>
      </c>
      <c r="G2961" t="s">
        <v>1175</v>
      </c>
      <c r="H2961">
        <v>4</v>
      </c>
      <c r="I2961">
        <f t="shared" si="48"/>
        <v>5</v>
      </c>
    </row>
    <row r="2962" spans="1:9">
      <c r="A2962" s="1">
        <v>42570.791666666664</v>
      </c>
      <c r="B2962" s="19">
        <v>42660</v>
      </c>
      <c r="C2962" s="21">
        <v>0.70208333333333328</v>
      </c>
      <c r="D2962" s="20" t="s">
        <v>3043</v>
      </c>
      <c r="E2962" t="s">
        <v>6</v>
      </c>
      <c r="F2962" t="s">
        <v>26</v>
      </c>
      <c r="G2962" t="s">
        <v>879</v>
      </c>
      <c r="H2962">
        <v>3</v>
      </c>
      <c r="I2962">
        <f t="shared" si="48"/>
        <v>4</v>
      </c>
    </row>
    <row r="2963" spans="1:9">
      <c r="A2963" s="1">
        <v>42570.750694444447</v>
      </c>
      <c r="B2963" s="19">
        <v>42660</v>
      </c>
      <c r="C2963" s="21">
        <v>0.69097222222222221</v>
      </c>
      <c r="D2963" s="20" t="s">
        <v>3043</v>
      </c>
      <c r="E2963" t="s">
        <v>6</v>
      </c>
      <c r="F2963" t="s">
        <v>15</v>
      </c>
      <c r="G2963" t="s">
        <v>1176</v>
      </c>
      <c r="H2963">
        <v>19</v>
      </c>
      <c r="I2963">
        <f t="shared" si="48"/>
        <v>24</v>
      </c>
    </row>
    <row r="2964" spans="1:9">
      <c r="A2964" s="1">
        <v>42570.693749999999</v>
      </c>
      <c r="B2964" s="19">
        <v>42660</v>
      </c>
      <c r="C2964" s="21">
        <v>0.55833333333333335</v>
      </c>
      <c r="D2964" s="20" t="s">
        <v>3039</v>
      </c>
      <c r="E2964" t="s">
        <v>2</v>
      </c>
      <c r="F2964" t="s">
        <v>7</v>
      </c>
      <c r="G2964" t="s">
        <v>1179</v>
      </c>
      <c r="H2964">
        <v>38</v>
      </c>
      <c r="I2964">
        <f t="shared" si="48"/>
        <v>48</v>
      </c>
    </row>
    <row r="2965" spans="1:9">
      <c r="A2965" s="1">
        <v>42570.682638888888</v>
      </c>
      <c r="B2965" s="19">
        <v>42660</v>
      </c>
      <c r="C2965" s="21">
        <v>0.91736111111111107</v>
      </c>
      <c r="D2965" s="20" t="s">
        <v>3049</v>
      </c>
      <c r="E2965" t="s">
        <v>0</v>
      </c>
      <c r="G2965" t="s">
        <v>1173</v>
      </c>
      <c r="H2965">
        <v>19</v>
      </c>
      <c r="I2965">
        <f t="shared" si="48"/>
        <v>24</v>
      </c>
    </row>
    <row r="2966" spans="1:9">
      <c r="A2966" s="1">
        <v>42570.617361111108</v>
      </c>
      <c r="B2966" s="19">
        <v>42660</v>
      </c>
      <c r="C2966" s="21">
        <v>0.91597222222222219</v>
      </c>
      <c r="D2966" s="20" t="s">
        <v>3048</v>
      </c>
      <c r="E2966" t="s">
        <v>18</v>
      </c>
      <c r="F2966" t="s">
        <v>100</v>
      </c>
      <c r="G2966" t="s">
        <v>1174</v>
      </c>
      <c r="H2966" t="e">
        <v>#VALUE!</v>
      </c>
      <c r="I2966" t="e">
        <f t="shared" si="48"/>
        <v>#VALUE!</v>
      </c>
    </row>
    <row r="2967" spans="1:9">
      <c r="A2967" s="1">
        <v>42570.583333333336</v>
      </c>
      <c r="B2967" s="19">
        <v>42660</v>
      </c>
      <c r="C2967" s="21">
        <v>0.62708333333333333</v>
      </c>
      <c r="D2967" s="20" t="s">
        <v>3042</v>
      </c>
      <c r="E2967" t="s">
        <v>18</v>
      </c>
      <c r="F2967" t="s">
        <v>100</v>
      </c>
      <c r="G2967" t="s">
        <v>1177</v>
      </c>
      <c r="H2967" t="e">
        <v>#VALUE!</v>
      </c>
      <c r="I2967" t="e">
        <f t="shared" si="48"/>
        <v>#VALUE!</v>
      </c>
    </row>
    <row r="2968" spans="1:9">
      <c r="A2968" s="1">
        <v>42570.572222222225</v>
      </c>
      <c r="B2968" s="19">
        <v>42660</v>
      </c>
      <c r="C2968" s="21">
        <v>0.62708333333333333</v>
      </c>
      <c r="D2968" s="20" t="s">
        <v>3042</v>
      </c>
      <c r="E2968" t="s">
        <v>0</v>
      </c>
      <c r="F2968" t="s">
        <v>1</v>
      </c>
      <c r="H2968">
        <v>19</v>
      </c>
      <c r="I2968">
        <f t="shared" si="48"/>
        <v>24</v>
      </c>
    </row>
    <row r="2969" spans="1:9">
      <c r="A2969" s="1">
        <v>42570.55972222222</v>
      </c>
      <c r="B2969" s="19">
        <v>42660</v>
      </c>
      <c r="C2969" s="21">
        <v>0.5854166666666667</v>
      </c>
      <c r="D2969" s="20" t="s">
        <v>3040</v>
      </c>
      <c r="E2969" t="s">
        <v>18</v>
      </c>
      <c r="F2969" t="s">
        <v>71</v>
      </c>
      <c r="G2969" t="s">
        <v>1178</v>
      </c>
      <c r="H2969" t="e">
        <v>#VALUE!</v>
      </c>
      <c r="I2969" t="e">
        <f t="shared" si="48"/>
        <v>#VALUE!</v>
      </c>
    </row>
    <row r="2970" spans="1:9">
      <c r="A2970" s="1">
        <v>42570.556944444441</v>
      </c>
      <c r="B2970" s="19">
        <v>42660</v>
      </c>
      <c r="C2970" s="21">
        <v>0.47291666666666665</v>
      </c>
      <c r="D2970" s="20" t="s">
        <v>3037</v>
      </c>
      <c r="E2970" t="s">
        <v>0</v>
      </c>
      <c r="G2970" t="s">
        <v>1180</v>
      </c>
      <c r="H2970" t="e">
        <v>#VALUE!</v>
      </c>
      <c r="I2970" t="e">
        <f t="shared" si="48"/>
        <v>#VALUE!</v>
      </c>
    </row>
    <row r="2971" spans="1:9">
      <c r="A2971" s="1">
        <v>42570.543055555558</v>
      </c>
      <c r="B2971" s="19">
        <v>42660</v>
      </c>
      <c r="C2971" s="21">
        <v>0.41805555555555557</v>
      </c>
      <c r="D2971" s="20" t="s">
        <v>3036</v>
      </c>
      <c r="E2971" t="s">
        <v>18</v>
      </c>
      <c r="F2971" t="s">
        <v>71</v>
      </c>
      <c r="G2971" t="s">
        <v>1181</v>
      </c>
      <c r="H2971">
        <v>75</v>
      </c>
      <c r="I2971">
        <f t="shared" si="48"/>
        <v>93</v>
      </c>
    </row>
    <row r="2972" spans="1:9">
      <c r="A2972" s="1">
        <v>42570.220138888886</v>
      </c>
      <c r="B2972" s="19">
        <v>42660</v>
      </c>
      <c r="C2972" s="21">
        <v>0.33402777777777776</v>
      </c>
      <c r="D2972" s="20" t="s">
        <v>3034</v>
      </c>
      <c r="E2972" t="s">
        <v>0</v>
      </c>
      <c r="G2972" t="s">
        <v>1182</v>
      </c>
      <c r="H2972">
        <v>50</v>
      </c>
      <c r="I2972">
        <f t="shared" si="48"/>
        <v>62</v>
      </c>
    </row>
    <row r="2973" spans="1:9">
      <c r="A2973" s="1">
        <v>42570.043749999997</v>
      </c>
      <c r="B2973" s="19">
        <v>42660</v>
      </c>
      <c r="C2973" s="21">
        <v>0.33402777777777776</v>
      </c>
      <c r="D2973" s="20" t="s">
        <v>3034</v>
      </c>
      <c r="E2973" t="s">
        <v>77</v>
      </c>
      <c r="G2973" t="s">
        <v>1183</v>
      </c>
      <c r="H2973">
        <v>69</v>
      </c>
      <c r="I2973">
        <f t="shared" si="48"/>
        <v>86</v>
      </c>
    </row>
    <row r="2974" spans="1:9">
      <c r="A2974" s="1">
        <v>42570.004166666666</v>
      </c>
      <c r="B2974" s="19">
        <v>42661</v>
      </c>
      <c r="C2974" s="21">
        <v>0.97430555555555554</v>
      </c>
      <c r="D2974" s="20" t="s">
        <v>3063</v>
      </c>
      <c r="E2974" t="s">
        <v>6</v>
      </c>
      <c r="F2974" t="s">
        <v>12</v>
      </c>
      <c r="G2974" t="s">
        <v>1159</v>
      </c>
      <c r="H2974">
        <v>7</v>
      </c>
      <c r="I2974">
        <f t="shared" si="48"/>
        <v>9</v>
      </c>
    </row>
    <row r="2975" spans="1:9">
      <c r="A2975" s="1">
        <v>42569.958333333336</v>
      </c>
      <c r="B2975" s="19">
        <v>42661</v>
      </c>
      <c r="C2975" s="21">
        <v>0.8881944444444444</v>
      </c>
      <c r="D2975" s="20" t="s">
        <v>3048</v>
      </c>
      <c r="E2975" t="s">
        <v>6</v>
      </c>
      <c r="F2975" t="s">
        <v>26</v>
      </c>
      <c r="G2975" t="s">
        <v>1163</v>
      </c>
      <c r="H2975">
        <v>13</v>
      </c>
      <c r="I2975">
        <f t="shared" si="48"/>
        <v>17</v>
      </c>
    </row>
    <row r="2976" spans="1:9">
      <c r="A2976" s="1">
        <v>42569.915972222225</v>
      </c>
      <c r="B2976" s="19">
        <v>42661</v>
      </c>
      <c r="C2976" s="21">
        <v>0.84652777777777777</v>
      </c>
      <c r="D2976" s="20" t="s">
        <v>3047</v>
      </c>
      <c r="E2976" t="s">
        <v>6</v>
      </c>
      <c r="F2976" t="s">
        <v>12</v>
      </c>
      <c r="G2976" t="s">
        <v>1164</v>
      </c>
      <c r="H2976">
        <v>4</v>
      </c>
      <c r="I2976">
        <f t="shared" si="48"/>
        <v>5</v>
      </c>
    </row>
    <row r="2977" spans="1:9">
      <c r="A2977" s="1">
        <v>42569.893750000003</v>
      </c>
      <c r="B2977" s="19">
        <v>42661</v>
      </c>
      <c r="C2977" s="21">
        <v>0.54305555555555551</v>
      </c>
      <c r="D2977" s="20" t="s">
        <v>3039</v>
      </c>
      <c r="E2977" t="s">
        <v>6</v>
      </c>
      <c r="F2977" t="s">
        <v>15</v>
      </c>
      <c r="G2977" t="s">
        <v>1167</v>
      </c>
      <c r="H2977">
        <v>13</v>
      </c>
      <c r="I2977">
        <f t="shared" si="48"/>
        <v>17</v>
      </c>
    </row>
    <row r="2978" spans="1:9">
      <c r="A2978" s="1">
        <v>42569.831944444442</v>
      </c>
      <c r="B2978" s="19">
        <v>42661</v>
      </c>
      <c r="C2978" s="21">
        <v>0.53194444444444444</v>
      </c>
      <c r="D2978" s="20" t="s">
        <v>3038</v>
      </c>
      <c r="E2978" t="s">
        <v>6</v>
      </c>
      <c r="F2978" t="s">
        <v>15</v>
      </c>
      <c r="G2978" t="s">
        <v>83</v>
      </c>
      <c r="H2978">
        <v>18</v>
      </c>
      <c r="I2978">
        <f t="shared" si="48"/>
        <v>23</v>
      </c>
    </row>
    <row r="2979" spans="1:9">
      <c r="A2979" s="1">
        <v>42569.583333333336</v>
      </c>
      <c r="B2979" s="19">
        <v>42661</v>
      </c>
      <c r="C2979" s="21">
        <v>0.45833333333333331</v>
      </c>
      <c r="D2979" s="20" t="s">
        <v>3037</v>
      </c>
      <c r="E2979" t="s">
        <v>6</v>
      </c>
      <c r="F2979" t="s">
        <v>12</v>
      </c>
      <c r="G2979" t="s">
        <v>1168</v>
      </c>
      <c r="H2979">
        <v>10</v>
      </c>
      <c r="I2979">
        <f t="shared" si="48"/>
        <v>13</v>
      </c>
    </row>
    <row r="2980" spans="1:9">
      <c r="A2980" s="1">
        <v>42569.855555555558</v>
      </c>
      <c r="B2980" s="19">
        <v>42661</v>
      </c>
      <c r="C2980" s="21">
        <v>0.13055555555555556</v>
      </c>
      <c r="D2980" s="20" t="s">
        <v>3053</v>
      </c>
      <c r="E2980" t="s">
        <v>6</v>
      </c>
      <c r="F2980" t="s">
        <v>12</v>
      </c>
      <c r="G2980" t="s">
        <v>1170</v>
      </c>
      <c r="H2980">
        <v>5</v>
      </c>
      <c r="I2980">
        <f t="shared" si="48"/>
        <v>7</v>
      </c>
    </row>
    <row r="2981" spans="1:9">
      <c r="A2981" s="1">
        <v>42569.724305555559</v>
      </c>
      <c r="B2981" s="19">
        <v>42661</v>
      </c>
      <c r="C2981" s="21">
        <v>5.9027777777777776E-2</v>
      </c>
      <c r="D2981" s="20" t="s">
        <v>3051</v>
      </c>
      <c r="E2981" t="s">
        <v>6</v>
      </c>
      <c r="F2981" t="s">
        <v>21</v>
      </c>
      <c r="G2981" t="s">
        <v>1172</v>
      </c>
      <c r="H2981">
        <v>13</v>
      </c>
      <c r="I2981">
        <f t="shared" si="48"/>
        <v>17</v>
      </c>
    </row>
    <row r="2982" spans="1:9">
      <c r="A2982" s="1">
        <v>42569.713194444441</v>
      </c>
      <c r="B2982" s="19">
        <v>42661</v>
      </c>
      <c r="C2982" s="21">
        <v>0.97430555555555554</v>
      </c>
      <c r="D2982" s="20" t="s">
        <v>3063</v>
      </c>
      <c r="E2982" t="s">
        <v>33</v>
      </c>
      <c r="F2982" t="s">
        <v>155</v>
      </c>
      <c r="G2982" t="s">
        <v>1160</v>
      </c>
      <c r="H2982">
        <v>10</v>
      </c>
      <c r="I2982">
        <f t="shared" si="48"/>
        <v>13</v>
      </c>
    </row>
    <row r="2983" spans="1:9">
      <c r="A2983" s="1">
        <v>42569.704861111109</v>
      </c>
      <c r="B2983" s="19">
        <v>42661</v>
      </c>
      <c r="C2983" s="21">
        <v>0.91597222222222219</v>
      </c>
      <c r="D2983" s="20" t="s">
        <v>3048</v>
      </c>
      <c r="E2983" t="s">
        <v>0</v>
      </c>
      <c r="G2983" t="s">
        <v>1161</v>
      </c>
      <c r="H2983">
        <v>12</v>
      </c>
      <c r="I2983">
        <f t="shared" si="48"/>
        <v>15</v>
      </c>
    </row>
    <row r="2984" spans="1:9">
      <c r="A2984" s="1">
        <v>42569.665972222225</v>
      </c>
      <c r="B2984" s="19">
        <v>42661</v>
      </c>
      <c r="C2984" s="21">
        <v>0.9145833333333333</v>
      </c>
      <c r="D2984" s="20" t="s">
        <v>3048</v>
      </c>
      <c r="E2984" t="s">
        <v>18</v>
      </c>
      <c r="F2984" t="s">
        <v>100</v>
      </c>
      <c r="G2984" t="s">
        <v>1162</v>
      </c>
      <c r="H2984" t="e">
        <v>#VALUE!</v>
      </c>
      <c r="I2984" t="e">
        <f t="shared" si="48"/>
        <v>#VALUE!</v>
      </c>
    </row>
    <row r="2985" spans="1:9">
      <c r="A2985" s="1">
        <v>42567.052777777775</v>
      </c>
      <c r="B2985" s="19">
        <v>42661</v>
      </c>
      <c r="C2985" s="21">
        <v>0.60763888888888884</v>
      </c>
      <c r="D2985" s="20" t="s">
        <v>3040</v>
      </c>
      <c r="E2985" t="s">
        <v>18</v>
      </c>
      <c r="F2985" t="s">
        <v>100</v>
      </c>
      <c r="G2985" t="s">
        <v>1165</v>
      </c>
      <c r="H2985" t="e">
        <v>#VALUE!</v>
      </c>
      <c r="I2985" t="e">
        <f t="shared" si="48"/>
        <v>#VALUE!</v>
      </c>
    </row>
    <row r="2986" spans="1:9">
      <c r="A2986" s="1">
        <v>42566.918055555558</v>
      </c>
      <c r="B2986" s="19">
        <v>42661</v>
      </c>
      <c r="C2986" s="21">
        <v>0.59166666666666667</v>
      </c>
      <c r="D2986" s="20" t="s">
        <v>3040</v>
      </c>
      <c r="E2986" t="s">
        <v>18</v>
      </c>
      <c r="F2986" t="s">
        <v>100</v>
      </c>
      <c r="G2986" t="s">
        <v>1166</v>
      </c>
      <c r="H2986" t="e">
        <v>#VALUE!</v>
      </c>
      <c r="I2986" t="e">
        <f t="shared" si="48"/>
        <v>#VALUE!</v>
      </c>
    </row>
    <row r="2987" spans="1:9">
      <c r="A2987" s="1">
        <v>42566.757638888892</v>
      </c>
      <c r="B2987" s="19">
        <v>42661</v>
      </c>
      <c r="C2987" s="21">
        <v>0.25486111111111109</v>
      </c>
      <c r="D2987" s="20" t="s">
        <v>3031</v>
      </c>
      <c r="E2987" t="s">
        <v>33</v>
      </c>
      <c r="G2987" t="s">
        <v>9</v>
      </c>
      <c r="H2987">
        <v>17</v>
      </c>
      <c r="I2987">
        <f t="shared" si="48"/>
        <v>22</v>
      </c>
    </row>
    <row r="2988" spans="1:9">
      <c r="A2988" s="1">
        <v>42566.694444444445</v>
      </c>
      <c r="B2988" s="19">
        <v>42661</v>
      </c>
      <c r="C2988" s="21">
        <v>0.16666666666666666</v>
      </c>
      <c r="D2988" s="20" t="s">
        <v>3054</v>
      </c>
      <c r="E2988" t="s">
        <v>33</v>
      </c>
      <c r="F2988" t="s">
        <v>155</v>
      </c>
      <c r="G2988" t="s">
        <v>1169</v>
      </c>
      <c r="H2988">
        <v>9</v>
      </c>
      <c r="I2988">
        <f t="shared" si="48"/>
        <v>12</v>
      </c>
    </row>
    <row r="2989" spans="1:9">
      <c r="A2989" s="1">
        <v>42566.676388888889</v>
      </c>
      <c r="B2989" s="19">
        <v>42661</v>
      </c>
      <c r="C2989" s="21">
        <v>9.7916666666666666E-2</v>
      </c>
      <c r="D2989" s="20" t="s">
        <v>3052</v>
      </c>
      <c r="E2989" t="s">
        <v>33</v>
      </c>
      <c r="F2989" t="s">
        <v>34</v>
      </c>
      <c r="G2989" t="s">
        <v>1171</v>
      </c>
      <c r="H2989">
        <v>13</v>
      </c>
      <c r="I2989">
        <f t="shared" si="48"/>
        <v>17</v>
      </c>
    </row>
    <row r="2990" spans="1:9">
      <c r="A2990" s="1">
        <v>42566.366666666669</v>
      </c>
      <c r="B2990" s="19">
        <v>42662</v>
      </c>
      <c r="C2990" s="21">
        <v>0.64444444444444449</v>
      </c>
      <c r="D2990" s="20" t="s">
        <v>3042</v>
      </c>
      <c r="E2990" t="s">
        <v>6</v>
      </c>
      <c r="F2990" t="s">
        <v>12</v>
      </c>
      <c r="G2990" t="s">
        <v>1156</v>
      </c>
      <c r="H2990">
        <v>4</v>
      </c>
      <c r="I2990">
        <f t="shared" si="48"/>
        <v>5</v>
      </c>
    </row>
    <row r="2991" spans="1:9">
      <c r="A2991" s="1">
        <v>42566.365972222222</v>
      </c>
      <c r="B2991" s="19">
        <v>42662</v>
      </c>
      <c r="C2991" s="21">
        <v>0.58333333333333337</v>
      </c>
      <c r="D2991" s="20" t="s">
        <v>3040</v>
      </c>
      <c r="E2991" t="s">
        <v>2</v>
      </c>
      <c r="F2991" t="s">
        <v>48</v>
      </c>
      <c r="H2991">
        <v>13</v>
      </c>
      <c r="I2991">
        <f t="shared" si="48"/>
        <v>17</v>
      </c>
    </row>
    <row r="2992" spans="1:9">
      <c r="A2992" s="1">
        <v>42566.928472222222</v>
      </c>
      <c r="B2992" s="19">
        <v>42662</v>
      </c>
      <c r="C2992" s="21">
        <v>3.5416666666666666E-2</v>
      </c>
      <c r="D2992" s="20" t="s">
        <v>3050</v>
      </c>
      <c r="E2992" t="s">
        <v>6</v>
      </c>
      <c r="F2992" t="s">
        <v>15</v>
      </c>
      <c r="G2992" t="s">
        <v>1158</v>
      </c>
      <c r="H2992">
        <v>24</v>
      </c>
      <c r="I2992">
        <f t="shared" si="48"/>
        <v>30</v>
      </c>
    </row>
    <row r="2993" spans="1:9">
      <c r="A2993" s="1">
        <v>42566.862500000003</v>
      </c>
      <c r="B2993" s="19">
        <v>42662</v>
      </c>
      <c r="C2993" s="21">
        <v>0.91736111111111107</v>
      </c>
      <c r="D2993" s="20" t="s">
        <v>3049</v>
      </c>
      <c r="E2993" t="s">
        <v>0</v>
      </c>
      <c r="G2993" t="s">
        <v>1154</v>
      </c>
      <c r="H2993">
        <v>13</v>
      </c>
      <c r="I2993">
        <f t="shared" si="48"/>
        <v>17</v>
      </c>
    </row>
    <row r="2994" spans="1:9">
      <c r="A2994" s="1">
        <v>42566.854861111111</v>
      </c>
      <c r="B2994" s="19">
        <v>42662</v>
      </c>
      <c r="C2994" s="21">
        <v>0.91666666666666663</v>
      </c>
      <c r="D2994" s="20" t="s">
        <v>3049</v>
      </c>
      <c r="E2994" t="s">
        <v>18</v>
      </c>
      <c r="F2994" t="s">
        <v>100</v>
      </c>
      <c r="G2994" t="s">
        <v>1155</v>
      </c>
      <c r="H2994" t="e">
        <v>#VALUE!</v>
      </c>
      <c r="I2994" t="e">
        <f t="shared" si="48"/>
        <v>#VALUE!</v>
      </c>
    </row>
    <row r="2995" spans="1:9">
      <c r="A2995" s="1">
        <v>42566.847222222219</v>
      </c>
      <c r="B2995" s="19">
        <v>42662</v>
      </c>
      <c r="C2995" s="21">
        <v>0.90972222222222221</v>
      </c>
      <c r="D2995" s="20" t="s">
        <v>3048</v>
      </c>
      <c r="E2995" t="s">
        <v>0</v>
      </c>
      <c r="F2995" t="s">
        <v>10</v>
      </c>
      <c r="G2995" t="s">
        <v>448</v>
      </c>
      <c r="H2995">
        <v>13</v>
      </c>
      <c r="I2995">
        <f t="shared" si="48"/>
        <v>17</v>
      </c>
    </row>
    <row r="2996" spans="1:9">
      <c r="A2996" s="1">
        <v>42566.8</v>
      </c>
      <c r="B2996" s="19">
        <v>42662</v>
      </c>
      <c r="C2996" s="21">
        <v>0.58472222222222225</v>
      </c>
      <c r="D2996" s="20" t="s">
        <v>3040</v>
      </c>
      <c r="E2996" t="s">
        <v>18</v>
      </c>
      <c r="F2996" t="s">
        <v>100</v>
      </c>
      <c r="G2996" t="s">
        <v>1157</v>
      </c>
      <c r="H2996" t="e">
        <v>#VALUE!</v>
      </c>
      <c r="I2996" t="e">
        <f t="shared" si="48"/>
        <v>#VALUE!</v>
      </c>
    </row>
    <row r="2997" spans="1:9">
      <c r="A2997" s="1">
        <v>42566.710416666669</v>
      </c>
      <c r="B2997" s="19">
        <v>42663</v>
      </c>
      <c r="C2997" s="21">
        <v>0.95416666666666672</v>
      </c>
      <c r="D2997" s="20" t="s">
        <v>3049</v>
      </c>
      <c r="E2997" t="s">
        <v>2</v>
      </c>
      <c r="F2997" t="s">
        <v>3</v>
      </c>
      <c r="G2997" t="s">
        <v>1146</v>
      </c>
      <c r="H2997">
        <v>25</v>
      </c>
      <c r="I2997">
        <f t="shared" si="48"/>
        <v>31</v>
      </c>
    </row>
    <row r="2998" spans="1:9">
      <c r="A2998" s="1">
        <v>42566.622916666667</v>
      </c>
      <c r="B2998" s="19">
        <v>42663</v>
      </c>
      <c r="C2998" s="21">
        <v>0.80555555555555558</v>
      </c>
      <c r="D2998" s="20" t="s">
        <v>3046</v>
      </c>
      <c r="E2998" t="s">
        <v>6</v>
      </c>
      <c r="F2998" t="s">
        <v>21</v>
      </c>
      <c r="G2998" t="s">
        <v>538</v>
      </c>
      <c r="H2998">
        <v>12</v>
      </c>
      <c r="I2998">
        <f t="shared" si="48"/>
        <v>15</v>
      </c>
    </row>
    <row r="2999" spans="1:9">
      <c r="A2999" s="1">
        <v>42566.518055555556</v>
      </c>
      <c r="B2999" s="19">
        <v>42663</v>
      </c>
      <c r="C2999" s="21">
        <v>0.58333333333333337</v>
      </c>
      <c r="D2999" s="20" t="s">
        <v>3040</v>
      </c>
      <c r="E2999" t="s">
        <v>2</v>
      </c>
      <c r="F2999" t="s">
        <v>48</v>
      </c>
      <c r="G2999" t="s">
        <v>1149</v>
      </c>
      <c r="H2999">
        <v>10</v>
      </c>
      <c r="I2999">
        <f t="shared" si="48"/>
        <v>13</v>
      </c>
    </row>
    <row r="3000" spans="1:9">
      <c r="A3000" s="1">
        <v>42566.5</v>
      </c>
      <c r="B3000" s="19">
        <v>42663</v>
      </c>
      <c r="C3000" s="21">
        <v>0.54722222222222228</v>
      </c>
      <c r="D3000" s="20" t="s">
        <v>3039</v>
      </c>
      <c r="E3000" t="s">
        <v>2</v>
      </c>
      <c r="F3000" t="s">
        <v>48</v>
      </c>
      <c r="G3000" t="s">
        <v>1150</v>
      </c>
      <c r="H3000">
        <v>75</v>
      </c>
      <c r="I3000">
        <f t="shared" si="48"/>
        <v>93</v>
      </c>
    </row>
    <row r="3001" spans="1:9">
      <c r="A3001" s="1">
        <v>42566.446527777778</v>
      </c>
      <c r="B3001" s="19">
        <v>42663</v>
      </c>
      <c r="C3001" s="21">
        <v>0.50972222222222219</v>
      </c>
      <c r="D3001" s="20" t="s">
        <v>3038</v>
      </c>
      <c r="E3001" t="s">
        <v>6</v>
      </c>
      <c r="F3001" t="s">
        <v>46</v>
      </c>
      <c r="G3001" t="s">
        <v>1151</v>
      </c>
      <c r="H3001">
        <v>55</v>
      </c>
      <c r="I3001">
        <f t="shared" si="48"/>
        <v>69</v>
      </c>
    </row>
    <row r="3002" spans="1:9">
      <c r="A3002" s="1">
        <v>42566.376388888886</v>
      </c>
      <c r="B3002" s="19">
        <v>42663</v>
      </c>
      <c r="C3002" s="21">
        <v>0.2902777777777778</v>
      </c>
      <c r="D3002" s="20" t="s">
        <v>3031</v>
      </c>
      <c r="E3002" t="s">
        <v>6</v>
      </c>
      <c r="F3002" t="s">
        <v>21</v>
      </c>
      <c r="G3002" t="s">
        <v>1152</v>
      </c>
      <c r="H3002">
        <v>10</v>
      </c>
      <c r="I3002">
        <f t="shared" si="48"/>
        <v>13</v>
      </c>
    </row>
    <row r="3003" spans="1:9">
      <c r="A3003" s="1">
        <v>42566.365972222222</v>
      </c>
      <c r="B3003" s="19">
        <v>42663</v>
      </c>
      <c r="C3003" s="21">
        <v>0.27708333333333335</v>
      </c>
      <c r="D3003" s="20" t="s">
        <v>3031</v>
      </c>
      <c r="E3003" t="s">
        <v>6</v>
      </c>
      <c r="F3003" t="s">
        <v>21</v>
      </c>
      <c r="G3003">
        <v>5</v>
      </c>
      <c r="H3003">
        <v>38</v>
      </c>
      <c r="I3003">
        <f t="shared" si="48"/>
        <v>48</v>
      </c>
    </row>
    <row r="3004" spans="1:9">
      <c r="A3004" s="1">
        <v>42566.238194444442</v>
      </c>
      <c r="B3004" s="19">
        <v>42663</v>
      </c>
      <c r="C3004" s="21">
        <v>0.26527777777777778</v>
      </c>
      <c r="D3004" s="20" t="s">
        <v>3031</v>
      </c>
      <c r="E3004" t="s">
        <v>6</v>
      </c>
      <c r="F3004" t="s">
        <v>15</v>
      </c>
      <c r="G3004" t="s">
        <v>1153</v>
      </c>
      <c r="H3004">
        <v>10</v>
      </c>
      <c r="I3004">
        <f t="shared" si="48"/>
        <v>13</v>
      </c>
    </row>
    <row r="3005" spans="1:9">
      <c r="A3005" s="1">
        <v>42566.049305555556</v>
      </c>
      <c r="B3005" s="19">
        <v>42663</v>
      </c>
      <c r="C3005" s="21">
        <v>0.1388888888888889</v>
      </c>
      <c r="D3005" s="20" t="s">
        <v>3053</v>
      </c>
      <c r="E3005" t="s">
        <v>6</v>
      </c>
      <c r="F3005" t="s">
        <v>273</v>
      </c>
      <c r="G3005" t="s">
        <v>30</v>
      </c>
      <c r="H3005">
        <v>19</v>
      </c>
      <c r="I3005">
        <f t="shared" si="48"/>
        <v>24</v>
      </c>
    </row>
    <row r="3006" spans="1:9">
      <c r="A3006" s="1">
        <v>42566.030555555553</v>
      </c>
      <c r="B3006" s="19">
        <v>42663</v>
      </c>
      <c r="C3006" s="21">
        <v>0.92083333333333328</v>
      </c>
      <c r="D3006" s="20" t="s">
        <v>3049</v>
      </c>
      <c r="E3006" t="s">
        <v>18</v>
      </c>
      <c r="F3006" t="s">
        <v>100</v>
      </c>
      <c r="G3006" t="s">
        <v>1147</v>
      </c>
      <c r="H3006" t="e">
        <v>#VALUE!</v>
      </c>
      <c r="I3006" t="e">
        <f t="shared" si="48"/>
        <v>#VALUE!</v>
      </c>
    </row>
    <row r="3007" spans="1:9">
      <c r="A3007" s="1">
        <v>42565.938194444447</v>
      </c>
      <c r="B3007" s="19">
        <v>42663</v>
      </c>
      <c r="C3007" s="21">
        <v>0.92083333333333328</v>
      </c>
      <c r="D3007" s="20" t="s">
        <v>3049</v>
      </c>
      <c r="E3007" t="s">
        <v>0</v>
      </c>
      <c r="G3007" t="s">
        <v>961</v>
      </c>
      <c r="H3007">
        <v>15</v>
      </c>
      <c r="I3007">
        <f t="shared" si="48"/>
        <v>19</v>
      </c>
    </row>
    <row r="3008" spans="1:9">
      <c r="A3008" s="1">
        <v>42565.822916666664</v>
      </c>
      <c r="B3008" s="19">
        <v>42663</v>
      </c>
      <c r="C3008" s="21">
        <v>0.90972222222222221</v>
      </c>
      <c r="D3008" s="20" t="s">
        <v>3048</v>
      </c>
      <c r="E3008" t="s">
        <v>0</v>
      </c>
      <c r="F3008" t="s">
        <v>10</v>
      </c>
      <c r="G3008" t="s">
        <v>255</v>
      </c>
      <c r="H3008">
        <v>13</v>
      </c>
      <c r="I3008">
        <f t="shared" si="48"/>
        <v>17</v>
      </c>
    </row>
    <row r="3009" spans="1:9">
      <c r="A3009" s="1">
        <v>42565.461805555555</v>
      </c>
      <c r="B3009" s="19">
        <v>42663</v>
      </c>
      <c r="C3009" s="21">
        <v>0.60277777777777775</v>
      </c>
      <c r="D3009" s="20" t="s">
        <v>3040</v>
      </c>
      <c r="E3009" t="s">
        <v>18</v>
      </c>
      <c r="F3009" t="s">
        <v>100</v>
      </c>
      <c r="G3009" t="s">
        <v>1148</v>
      </c>
      <c r="H3009" t="e">
        <v>#VALUE!</v>
      </c>
      <c r="I3009" t="e">
        <f t="shared" si="48"/>
        <v>#VALUE!</v>
      </c>
    </row>
    <row r="3010" spans="1:9">
      <c r="A3010" s="1">
        <v>42565.253472222219</v>
      </c>
      <c r="B3010" s="19">
        <v>42663</v>
      </c>
      <c r="C3010" s="21">
        <v>0.25833333333333336</v>
      </c>
      <c r="D3010" s="20" t="s">
        <v>3031</v>
      </c>
      <c r="E3010" t="s">
        <v>33</v>
      </c>
      <c r="G3010" t="s">
        <v>193</v>
      </c>
      <c r="H3010">
        <v>17</v>
      </c>
      <c r="I3010">
        <f t="shared" si="48"/>
        <v>22</v>
      </c>
    </row>
    <row r="3011" spans="1:9">
      <c r="A3011" s="1">
        <v>42565.853472222225</v>
      </c>
      <c r="B3011" s="19">
        <v>42664</v>
      </c>
      <c r="C3011" s="21">
        <v>0.96666666666666667</v>
      </c>
      <c r="D3011" s="20" t="s">
        <v>3063</v>
      </c>
      <c r="E3011" t="s">
        <v>6</v>
      </c>
      <c r="F3011" t="s">
        <v>12</v>
      </c>
      <c r="G3011" t="s">
        <v>1129</v>
      </c>
      <c r="H3011">
        <v>38</v>
      </c>
      <c r="I3011">
        <f t="shared" ref="I3011:I3074" si="49">ROUNDUP((H3011*1.24), 0)</f>
        <v>48</v>
      </c>
    </row>
    <row r="3012" spans="1:9">
      <c r="A3012" s="1">
        <v>42565.666666666664</v>
      </c>
      <c r="B3012" s="19">
        <v>42664</v>
      </c>
      <c r="C3012" s="21">
        <v>0.93402777777777779</v>
      </c>
      <c r="D3012" s="20" t="s">
        <v>3049</v>
      </c>
      <c r="E3012" t="s">
        <v>6</v>
      </c>
      <c r="F3012" t="s">
        <v>21</v>
      </c>
      <c r="G3012" t="s">
        <v>1130</v>
      </c>
      <c r="H3012" t="e">
        <v>#VALUE!</v>
      </c>
      <c r="I3012" t="e">
        <f t="shared" si="49"/>
        <v>#VALUE!</v>
      </c>
    </row>
    <row r="3013" spans="1:9">
      <c r="A3013" s="1">
        <v>42565.658333333333</v>
      </c>
      <c r="B3013" s="19">
        <v>42664</v>
      </c>
      <c r="C3013" s="21">
        <v>0.92777777777777781</v>
      </c>
      <c r="D3013" s="20" t="s">
        <v>3049</v>
      </c>
      <c r="E3013" t="s">
        <v>6</v>
      </c>
      <c r="F3013" t="s">
        <v>12</v>
      </c>
      <c r="G3013" t="s">
        <v>1131</v>
      </c>
      <c r="H3013">
        <v>9</v>
      </c>
      <c r="I3013">
        <f t="shared" si="49"/>
        <v>12</v>
      </c>
    </row>
    <row r="3014" spans="1:9">
      <c r="A3014" s="1">
        <v>42565.506249999999</v>
      </c>
      <c r="B3014" s="19">
        <v>42664</v>
      </c>
      <c r="C3014" s="21">
        <v>0.87013888888888891</v>
      </c>
      <c r="D3014" s="20" t="s">
        <v>3047</v>
      </c>
      <c r="E3014" t="s">
        <v>2</v>
      </c>
      <c r="F3014" t="s">
        <v>5</v>
      </c>
      <c r="G3014" t="s">
        <v>1134</v>
      </c>
      <c r="H3014">
        <v>38</v>
      </c>
      <c r="I3014">
        <f t="shared" si="49"/>
        <v>48</v>
      </c>
    </row>
    <row r="3015" spans="1:9">
      <c r="A3015" s="1">
        <v>42565.495833333334</v>
      </c>
      <c r="B3015" s="19">
        <v>42664</v>
      </c>
      <c r="C3015" s="21">
        <v>0.85555555555555551</v>
      </c>
      <c r="D3015" s="20" t="s">
        <v>3047</v>
      </c>
      <c r="E3015" t="s">
        <v>6</v>
      </c>
      <c r="F3015" t="s">
        <v>46</v>
      </c>
      <c r="G3015" t="s">
        <v>65</v>
      </c>
      <c r="H3015">
        <v>27</v>
      </c>
      <c r="I3015">
        <f t="shared" si="49"/>
        <v>34</v>
      </c>
    </row>
    <row r="3016" spans="1:9">
      <c r="A3016" s="1">
        <v>42565.463888888888</v>
      </c>
      <c r="B3016" s="19">
        <v>42664</v>
      </c>
      <c r="C3016" s="21">
        <v>0.83611111111111114</v>
      </c>
      <c r="D3016" s="20" t="s">
        <v>3047</v>
      </c>
      <c r="E3016" t="s">
        <v>2</v>
      </c>
      <c r="F3016" t="s">
        <v>5</v>
      </c>
      <c r="G3016" t="s">
        <v>1135</v>
      </c>
      <c r="H3016">
        <v>8</v>
      </c>
      <c r="I3016">
        <f t="shared" si="49"/>
        <v>10</v>
      </c>
    </row>
    <row r="3017" spans="1:9">
      <c r="A3017" s="1">
        <v>42565.366666666669</v>
      </c>
      <c r="B3017" s="19">
        <v>42664</v>
      </c>
      <c r="C3017" s="21">
        <v>0.81527777777777777</v>
      </c>
      <c r="D3017" s="20" t="s">
        <v>3046</v>
      </c>
      <c r="E3017" t="s">
        <v>6</v>
      </c>
      <c r="F3017" t="s">
        <v>15</v>
      </c>
      <c r="G3017" t="s">
        <v>1136</v>
      </c>
      <c r="H3017">
        <v>38</v>
      </c>
      <c r="I3017">
        <f t="shared" si="49"/>
        <v>48</v>
      </c>
    </row>
    <row r="3018" spans="1:9">
      <c r="A3018" s="1">
        <v>42565.337500000001</v>
      </c>
      <c r="B3018" s="19">
        <v>42664</v>
      </c>
      <c r="C3018" s="21">
        <v>0.80763888888888891</v>
      </c>
      <c r="D3018" s="20" t="s">
        <v>3046</v>
      </c>
      <c r="E3018" t="s">
        <v>6</v>
      </c>
      <c r="F3018" t="s">
        <v>21</v>
      </c>
      <c r="G3018" t="s">
        <v>1137</v>
      </c>
      <c r="H3018">
        <v>13</v>
      </c>
      <c r="I3018">
        <f t="shared" si="49"/>
        <v>17</v>
      </c>
    </row>
    <row r="3019" spans="1:9">
      <c r="A3019" s="1">
        <v>42565.303472222222</v>
      </c>
      <c r="B3019" s="19">
        <v>42664</v>
      </c>
      <c r="C3019" s="21">
        <v>0.71458333333333335</v>
      </c>
      <c r="D3019" s="20" t="s">
        <v>3044</v>
      </c>
      <c r="E3019" t="s">
        <v>6</v>
      </c>
      <c r="F3019" t="s">
        <v>21</v>
      </c>
      <c r="G3019" t="s">
        <v>538</v>
      </c>
      <c r="H3019">
        <v>8</v>
      </c>
      <c r="I3019">
        <f t="shared" si="49"/>
        <v>10</v>
      </c>
    </row>
    <row r="3020" spans="1:9">
      <c r="A3020" s="1">
        <v>42565.226388888892</v>
      </c>
      <c r="B3020" s="19">
        <v>42664</v>
      </c>
      <c r="C3020" s="21">
        <v>0.54097222222222219</v>
      </c>
      <c r="D3020" s="20" t="s">
        <v>3038</v>
      </c>
      <c r="E3020" t="s">
        <v>2</v>
      </c>
      <c r="F3020" t="s">
        <v>48</v>
      </c>
      <c r="G3020" t="s">
        <v>1140</v>
      </c>
      <c r="H3020">
        <v>13</v>
      </c>
      <c r="I3020">
        <f t="shared" si="49"/>
        <v>17</v>
      </c>
    </row>
    <row r="3021" spans="1:9">
      <c r="A3021" s="1">
        <v>42565.209722222222</v>
      </c>
      <c r="B3021" s="19">
        <v>42664</v>
      </c>
      <c r="C3021" s="21">
        <v>0.41805555555555557</v>
      </c>
      <c r="D3021" s="20" t="s">
        <v>3036</v>
      </c>
      <c r="E3021" t="s">
        <v>2</v>
      </c>
      <c r="F3021" t="s">
        <v>3</v>
      </c>
      <c r="G3021" t="s">
        <v>1142</v>
      </c>
      <c r="H3021">
        <v>40</v>
      </c>
      <c r="I3021">
        <f t="shared" si="49"/>
        <v>50</v>
      </c>
    </row>
    <row r="3022" spans="1:9">
      <c r="A3022" s="1">
        <v>42565.101388888892</v>
      </c>
      <c r="B3022" s="19">
        <v>42664</v>
      </c>
      <c r="C3022" s="21">
        <v>0.375</v>
      </c>
      <c r="D3022" s="20" t="s">
        <v>3035</v>
      </c>
      <c r="E3022" t="s">
        <v>6</v>
      </c>
      <c r="F3022" t="s">
        <v>15</v>
      </c>
      <c r="G3022" t="s">
        <v>1143</v>
      </c>
      <c r="H3022">
        <v>7</v>
      </c>
      <c r="I3022">
        <f t="shared" si="49"/>
        <v>9</v>
      </c>
    </row>
    <row r="3023" spans="1:9">
      <c r="A3023" s="1">
        <v>42565.088888888888</v>
      </c>
      <c r="B3023" s="19">
        <v>42664</v>
      </c>
      <c r="C3023" s="21">
        <v>0.35902777777777778</v>
      </c>
      <c r="D3023" s="20" t="s">
        <v>3034</v>
      </c>
      <c r="E3023" t="s">
        <v>6</v>
      </c>
      <c r="F3023" t="s">
        <v>15</v>
      </c>
      <c r="G3023" t="s">
        <v>1144</v>
      </c>
      <c r="H3023">
        <v>29</v>
      </c>
      <c r="I3023">
        <f t="shared" si="49"/>
        <v>36</v>
      </c>
    </row>
    <row r="3024" spans="1:9">
      <c r="A3024" s="1">
        <v>42564.931250000001</v>
      </c>
      <c r="B3024" s="19">
        <v>42664</v>
      </c>
      <c r="C3024" s="21">
        <v>0.34027777777777779</v>
      </c>
      <c r="D3024" s="20" t="s">
        <v>3034</v>
      </c>
      <c r="E3024" t="s">
        <v>6</v>
      </c>
      <c r="F3024" t="s">
        <v>15</v>
      </c>
      <c r="G3024" t="s">
        <v>1145</v>
      </c>
      <c r="H3024">
        <v>34</v>
      </c>
      <c r="I3024">
        <f t="shared" si="49"/>
        <v>43</v>
      </c>
    </row>
    <row r="3025" spans="1:9">
      <c r="A3025" s="1">
        <v>42564.509027777778</v>
      </c>
      <c r="B3025" s="19">
        <v>42664</v>
      </c>
      <c r="C3025" s="21">
        <v>0.1736111111111111</v>
      </c>
      <c r="D3025" s="20" t="s">
        <v>3054</v>
      </c>
      <c r="E3025" t="s">
        <v>6</v>
      </c>
      <c r="F3025" t="s">
        <v>26</v>
      </c>
      <c r="G3025" t="s">
        <v>120</v>
      </c>
      <c r="H3025">
        <v>9</v>
      </c>
      <c r="I3025">
        <f t="shared" si="49"/>
        <v>12</v>
      </c>
    </row>
    <row r="3026" spans="1:9">
      <c r="A3026" s="1">
        <v>42564.352777777778</v>
      </c>
      <c r="B3026" s="19">
        <v>42664</v>
      </c>
      <c r="C3026" s="21">
        <v>3.1944444444444442E-2</v>
      </c>
      <c r="D3026" s="20" t="s">
        <v>3050</v>
      </c>
      <c r="E3026" t="s">
        <v>6</v>
      </c>
      <c r="F3026" t="s">
        <v>26</v>
      </c>
      <c r="G3026" t="s">
        <v>120</v>
      </c>
      <c r="H3026">
        <v>13</v>
      </c>
      <c r="I3026">
        <f t="shared" si="49"/>
        <v>17</v>
      </c>
    </row>
    <row r="3027" spans="1:9">
      <c r="A3027" s="1">
        <v>42564.254861111112</v>
      </c>
      <c r="B3027" s="19">
        <v>42664</v>
      </c>
      <c r="C3027" s="21">
        <v>0.91666666666666663</v>
      </c>
      <c r="D3027" s="20" t="s">
        <v>3049</v>
      </c>
      <c r="E3027" t="s">
        <v>0</v>
      </c>
      <c r="G3027" t="s">
        <v>1132</v>
      </c>
      <c r="H3027">
        <v>13</v>
      </c>
      <c r="I3027">
        <f t="shared" si="49"/>
        <v>17</v>
      </c>
    </row>
    <row r="3028" spans="1:9">
      <c r="A3028" s="1">
        <v>42564.25</v>
      </c>
      <c r="B3028" s="19">
        <v>42664</v>
      </c>
      <c r="C3028" s="21">
        <v>0.91666666666666663</v>
      </c>
      <c r="D3028" s="20" t="s">
        <v>3049</v>
      </c>
      <c r="E3028" t="s">
        <v>18</v>
      </c>
      <c r="F3028" t="s">
        <v>100</v>
      </c>
      <c r="G3028" t="s">
        <v>1133</v>
      </c>
      <c r="H3028" t="e">
        <v>#VALUE!</v>
      </c>
      <c r="I3028" t="e">
        <f t="shared" si="49"/>
        <v>#VALUE!</v>
      </c>
    </row>
    <row r="3029" spans="1:9">
      <c r="A3029" s="1">
        <v>42564.851388888892</v>
      </c>
      <c r="B3029" s="19">
        <v>42664</v>
      </c>
      <c r="C3029" s="21">
        <v>0.90972222222222221</v>
      </c>
      <c r="D3029" s="20" t="s">
        <v>3048</v>
      </c>
      <c r="E3029" t="s">
        <v>0</v>
      </c>
      <c r="F3029" t="s">
        <v>10</v>
      </c>
      <c r="G3029" t="s">
        <v>84</v>
      </c>
      <c r="H3029">
        <v>13</v>
      </c>
      <c r="I3029">
        <f t="shared" si="49"/>
        <v>17</v>
      </c>
    </row>
    <row r="3030" spans="1:9">
      <c r="A3030" s="1">
        <v>42564.70208333333</v>
      </c>
      <c r="B3030" s="19">
        <v>42664</v>
      </c>
      <c r="C3030" s="21">
        <v>0.65555555555555556</v>
      </c>
      <c r="D3030" s="20" t="s">
        <v>3042</v>
      </c>
      <c r="E3030" t="s">
        <v>0</v>
      </c>
      <c r="G3030" t="s">
        <v>1138</v>
      </c>
      <c r="H3030">
        <v>13</v>
      </c>
      <c r="I3030">
        <f t="shared" si="49"/>
        <v>17</v>
      </c>
    </row>
    <row r="3031" spans="1:9" ht="43.2">
      <c r="A3031" s="1">
        <v>42564.582638888889</v>
      </c>
      <c r="B3031" s="19">
        <v>42664</v>
      </c>
      <c r="C3031" s="21">
        <v>0.58402777777777781</v>
      </c>
      <c r="D3031" s="20" t="s">
        <v>3040</v>
      </c>
      <c r="E3031" t="s">
        <v>18</v>
      </c>
      <c r="F3031" t="s">
        <v>100</v>
      </c>
      <c r="G3031" s="2" t="s">
        <v>1139</v>
      </c>
      <c r="H3031" t="e">
        <v>#VALUE!</v>
      </c>
      <c r="I3031" t="e">
        <f t="shared" si="49"/>
        <v>#VALUE!</v>
      </c>
    </row>
    <row r="3032" spans="1:9">
      <c r="A3032" s="1">
        <v>42564.563194444447</v>
      </c>
      <c r="B3032" s="19">
        <v>42664</v>
      </c>
      <c r="C3032" s="21">
        <v>0.43888888888888888</v>
      </c>
      <c r="D3032" s="20" t="s">
        <v>3036</v>
      </c>
      <c r="E3032" t="s">
        <v>0</v>
      </c>
      <c r="F3032" t="s">
        <v>1</v>
      </c>
      <c r="G3032" t="s">
        <v>1141</v>
      </c>
      <c r="H3032">
        <v>13</v>
      </c>
      <c r="I3032">
        <f t="shared" si="49"/>
        <v>17</v>
      </c>
    </row>
    <row r="3033" spans="1:9">
      <c r="A3033" s="1">
        <v>42564.365277777775</v>
      </c>
      <c r="B3033" s="19">
        <v>42664</v>
      </c>
      <c r="C3033" s="21">
        <v>0.2590277777777778</v>
      </c>
      <c r="D3033" s="20" t="s">
        <v>3031</v>
      </c>
      <c r="E3033" t="s">
        <v>33</v>
      </c>
      <c r="G3033" t="s">
        <v>9</v>
      </c>
      <c r="H3033">
        <v>17</v>
      </c>
      <c r="I3033">
        <f t="shared" si="49"/>
        <v>22</v>
      </c>
    </row>
    <row r="3034" spans="1:9">
      <c r="A3034" s="1">
        <v>42564.350694444445</v>
      </c>
      <c r="B3034" s="19">
        <v>42665</v>
      </c>
      <c r="C3034" s="21">
        <v>0.23749999999999999</v>
      </c>
      <c r="D3034" s="20" t="s">
        <v>3055</v>
      </c>
      <c r="E3034" t="s">
        <v>6</v>
      </c>
      <c r="F3034" t="s">
        <v>26</v>
      </c>
      <c r="G3034" t="s">
        <v>1121</v>
      </c>
      <c r="H3034">
        <v>25</v>
      </c>
      <c r="I3034">
        <f t="shared" si="49"/>
        <v>31</v>
      </c>
    </row>
    <row r="3035" spans="1:9">
      <c r="A3035" s="1">
        <v>42564.295138888891</v>
      </c>
      <c r="B3035" s="19">
        <v>42665</v>
      </c>
      <c r="C3035" s="21">
        <v>0.21597222222222223</v>
      </c>
      <c r="D3035" s="20" t="s">
        <v>3055</v>
      </c>
      <c r="E3035" t="s">
        <v>6</v>
      </c>
      <c r="F3035" t="s">
        <v>21</v>
      </c>
      <c r="G3035" t="s">
        <v>1122</v>
      </c>
      <c r="H3035">
        <v>25</v>
      </c>
      <c r="I3035">
        <f t="shared" si="49"/>
        <v>31</v>
      </c>
    </row>
    <row r="3036" spans="1:9">
      <c r="A3036" s="1">
        <v>42563.92291666667</v>
      </c>
      <c r="B3036" s="19">
        <v>42665</v>
      </c>
      <c r="C3036" s="21">
        <v>0.16111111111111112</v>
      </c>
      <c r="D3036" s="20" t="s">
        <v>3053</v>
      </c>
      <c r="E3036" t="s">
        <v>6</v>
      </c>
      <c r="F3036" t="s">
        <v>15</v>
      </c>
      <c r="G3036" t="s">
        <v>1123</v>
      </c>
      <c r="H3036" t="e">
        <v>#VALUE!</v>
      </c>
      <c r="I3036" t="e">
        <f t="shared" si="49"/>
        <v>#VALUE!</v>
      </c>
    </row>
    <row r="3037" spans="1:9">
      <c r="A3037" s="1">
        <v>42563.850694444445</v>
      </c>
      <c r="B3037" s="19">
        <v>42665</v>
      </c>
      <c r="C3037" s="21">
        <v>0.10555555555555556</v>
      </c>
      <c r="D3037" s="20" t="s">
        <v>3052</v>
      </c>
      <c r="E3037" t="s">
        <v>2</v>
      </c>
      <c r="F3037" t="s">
        <v>5</v>
      </c>
      <c r="G3037" t="s">
        <v>1124</v>
      </c>
      <c r="H3037">
        <v>7</v>
      </c>
      <c r="I3037">
        <f t="shared" si="49"/>
        <v>9</v>
      </c>
    </row>
    <row r="3038" spans="1:9">
      <c r="A3038" s="1">
        <v>42563.59375</v>
      </c>
      <c r="B3038" s="19">
        <v>42665</v>
      </c>
      <c r="C3038" s="21">
        <v>9.7916666666666666E-2</v>
      </c>
      <c r="D3038" s="20" t="s">
        <v>3052</v>
      </c>
      <c r="E3038" t="s">
        <v>6</v>
      </c>
      <c r="F3038" t="s">
        <v>21</v>
      </c>
      <c r="G3038" t="s">
        <v>1125</v>
      </c>
      <c r="H3038">
        <v>22</v>
      </c>
      <c r="I3038">
        <f t="shared" si="49"/>
        <v>28</v>
      </c>
    </row>
    <row r="3039" spans="1:9">
      <c r="A3039" s="1">
        <v>42563.593055555553</v>
      </c>
      <c r="B3039" s="19">
        <v>42665</v>
      </c>
      <c r="C3039" s="21">
        <v>4.3055555555555555E-2</v>
      </c>
      <c r="D3039" s="20" t="s">
        <v>3051</v>
      </c>
      <c r="E3039" t="s">
        <v>2</v>
      </c>
      <c r="F3039" t="s">
        <v>5</v>
      </c>
      <c r="G3039" t="s">
        <v>934</v>
      </c>
      <c r="H3039">
        <v>9</v>
      </c>
      <c r="I3039">
        <f t="shared" si="49"/>
        <v>12</v>
      </c>
    </row>
    <row r="3040" spans="1:9">
      <c r="A3040" s="1">
        <v>42563.446527777778</v>
      </c>
      <c r="B3040" s="19">
        <v>42665</v>
      </c>
      <c r="C3040" s="21">
        <v>1.9444444444444445E-2</v>
      </c>
      <c r="D3040" s="20" t="s">
        <v>3050</v>
      </c>
      <c r="E3040" t="s">
        <v>6</v>
      </c>
      <c r="F3040" t="s">
        <v>21</v>
      </c>
      <c r="G3040" t="s">
        <v>1126</v>
      </c>
      <c r="H3040">
        <v>40</v>
      </c>
      <c r="I3040">
        <f t="shared" si="49"/>
        <v>50</v>
      </c>
    </row>
    <row r="3041" spans="1:9">
      <c r="A3041" s="1">
        <v>42563.42291666667</v>
      </c>
      <c r="B3041" s="19">
        <v>42665</v>
      </c>
      <c r="C3041" s="21">
        <v>2.0833333333333333E-3</v>
      </c>
      <c r="D3041" s="20" t="s">
        <v>3050</v>
      </c>
      <c r="E3041" t="s">
        <v>2</v>
      </c>
      <c r="F3041" t="s">
        <v>5</v>
      </c>
      <c r="G3041" t="s">
        <v>1128</v>
      </c>
      <c r="H3041">
        <v>4</v>
      </c>
      <c r="I3041">
        <f t="shared" si="49"/>
        <v>5</v>
      </c>
    </row>
    <row r="3042" spans="1:9">
      <c r="A3042" s="1">
        <v>42563.337500000001</v>
      </c>
      <c r="B3042" s="19">
        <v>42665</v>
      </c>
      <c r="C3042" s="21">
        <v>7.6388888888888886E-3</v>
      </c>
      <c r="D3042" s="20" t="s">
        <v>3050</v>
      </c>
      <c r="E3042" t="s">
        <v>33</v>
      </c>
      <c r="F3042" t="s">
        <v>155</v>
      </c>
      <c r="G3042" t="s">
        <v>1127</v>
      </c>
      <c r="H3042">
        <v>13</v>
      </c>
      <c r="I3042">
        <f t="shared" si="49"/>
        <v>17</v>
      </c>
    </row>
    <row r="3043" spans="1:9">
      <c r="A3043" s="1">
        <v>42563.297222222223</v>
      </c>
      <c r="B3043" s="19">
        <v>42667</v>
      </c>
      <c r="C3043" s="21">
        <v>0.95972222222222225</v>
      </c>
      <c r="D3043" s="20" t="s">
        <v>3063</v>
      </c>
      <c r="E3043" t="s">
        <v>6</v>
      </c>
      <c r="F3043" t="s">
        <v>26</v>
      </c>
      <c r="G3043" t="s">
        <v>1110</v>
      </c>
      <c r="H3043">
        <v>13</v>
      </c>
      <c r="I3043">
        <f t="shared" si="49"/>
        <v>17</v>
      </c>
    </row>
    <row r="3044" spans="1:9">
      <c r="A3044" s="1">
        <v>42563.147222222222</v>
      </c>
      <c r="B3044" s="19">
        <v>42667</v>
      </c>
      <c r="C3044" s="21">
        <v>0.93958333333333333</v>
      </c>
      <c r="D3044" s="20" t="s">
        <v>3049</v>
      </c>
      <c r="E3044" t="s">
        <v>6</v>
      </c>
      <c r="F3044" t="s">
        <v>26</v>
      </c>
      <c r="G3044" t="s">
        <v>1111</v>
      </c>
      <c r="H3044">
        <v>13</v>
      </c>
      <c r="I3044">
        <f t="shared" si="49"/>
        <v>17</v>
      </c>
    </row>
    <row r="3045" spans="1:9">
      <c r="A3045" s="1">
        <v>42563.12222222222</v>
      </c>
      <c r="B3045" s="19">
        <v>42667</v>
      </c>
      <c r="C3045" s="21">
        <v>0.72430555555555554</v>
      </c>
      <c r="D3045" s="20" t="s">
        <v>3044</v>
      </c>
      <c r="E3045" t="s">
        <v>2</v>
      </c>
      <c r="F3045" t="s">
        <v>5</v>
      </c>
      <c r="G3045" t="s">
        <v>1112</v>
      </c>
      <c r="H3045">
        <v>65</v>
      </c>
      <c r="I3045">
        <f t="shared" si="49"/>
        <v>81</v>
      </c>
    </row>
    <row r="3046" spans="1:9">
      <c r="A3046" s="1">
        <v>42563.027777777781</v>
      </c>
      <c r="B3046" s="19">
        <v>42667</v>
      </c>
      <c r="C3046" s="21">
        <v>0.61250000000000004</v>
      </c>
      <c r="D3046" s="20" t="s">
        <v>3040</v>
      </c>
      <c r="E3046" t="s">
        <v>2</v>
      </c>
      <c r="F3046" t="s">
        <v>48</v>
      </c>
      <c r="G3046" t="s">
        <v>178</v>
      </c>
      <c r="H3046">
        <v>75</v>
      </c>
      <c r="I3046">
        <f t="shared" si="49"/>
        <v>93</v>
      </c>
    </row>
    <row r="3047" spans="1:9">
      <c r="A3047" s="1">
        <v>42563.961805555555</v>
      </c>
      <c r="B3047" s="19">
        <v>42667</v>
      </c>
      <c r="C3047" s="21">
        <v>0.60902777777777772</v>
      </c>
      <c r="D3047" s="20" t="s">
        <v>3040</v>
      </c>
      <c r="E3047" t="s">
        <v>6</v>
      </c>
      <c r="F3047" t="s">
        <v>21</v>
      </c>
      <c r="G3047" t="s">
        <v>1113</v>
      </c>
      <c r="H3047">
        <v>7</v>
      </c>
      <c r="I3047">
        <f t="shared" si="49"/>
        <v>9</v>
      </c>
    </row>
    <row r="3048" spans="1:9">
      <c r="A3048" s="1">
        <v>42563.863194444442</v>
      </c>
      <c r="B3048" s="19">
        <v>42667</v>
      </c>
      <c r="C3048" s="21">
        <v>0.47361111111111109</v>
      </c>
      <c r="D3048" s="20" t="s">
        <v>3037</v>
      </c>
      <c r="E3048" t="s">
        <v>6</v>
      </c>
      <c r="F3048" t="s">
        <v>21</v>
      </c>
      <c r="G3048" t="s">
        <v>1115</v>
      </c>
      <c r="H3048" t="e">
        <v>#VALUE!</v>
      </c>
      <c r="I3048" t="e">
        <f t="shared" si="49"/>
        <v>#VALUE!</v>
      </c>
    </row>
    <row r="3049" spans="1:9">
      <c r="A3049" s="1">
        <v>42563.700694444444</v>
      </c>
      <c r="B3049" s="19">
        <v>42667</v>
      </c>
      <c r="C3049" s="21">
        <v>0.38124999999999998</v>
      </c>
      <c r="D3049" s="20" t="s">
        <v>3035</v>
      </c>
      <c r="E3049" t="s">
        <v>2</v>
      </c>
      <c r="F3049" t="s">
        <v>5</v>
      </c>
      <c r="G3049" t="s">
        <v>746</v>
      </c>
      <c r="H3049">
        <v>69</v>
      </c>
      <c r="I3049">
        <f t="shared" si="49"/>
        <v>86</v>
      </c>
    </row>
    <row r="3050" spans="1:9">
      <c r="A3050" s="1">
        <v>42563.630555555559</v>
      </c>
      <c r="B3050" s="19">
        <v>42667</v>
      </c>
      <c r="C3050" s="21">
        <v>0.36736111111111114</v>
      </c>
      <c r="D3050" s="20" t="s">
        <v>3034</v>
      </c>
      <c r="E3050" t="s">
        <v>2</v>
      </c>
      <c r="F3050" t="s">
        <v>48</v>
      </c>
      <c r="G3050" t="s">
        <v>453</v>
      </c>
      <c r="H3050">
        <v>8</v>
      </c>
      <c r="I3050">
        <f t="shared" si="49"/>
        <v>10</v>
      </c>
    </row>
    <row r="3051" spans="1:9">
      <c r="A3051" s="1">
        <v>42563.604861111111</v>
      </c>
      <c r="B3051" s="19">
        <v>42667</v>
      </c>
      <c r="C3051" s="21">
        <v>0.33263888888888887</v>
      </c>
      <c r="D3051" s="20" t="s">
        <v>3033</v>
      </c>
      <c r="E3051" t="s">
        <v>2</v>
      </c>
      <c r="F3051" t="s">
        <v>48</v>
      </c>
      <c r="G3051" t="s">
        <v>1116</v>
      </c>
      <c r="H3051">
        <v>35</v>
      </c>
      <c r="I3051">
        <f t="shared" si="49"/>
        <v>44</v>
      </c>
    </row>
    <row r="3052" spans="1:9">
      <c r="A3052" s="1">
        <v>42563.586805555555</v>
      </c>
      <c r="B3052" s="19">
        <v>42667</v>
      </c>
      <c r="C3052" s="21">
        <v>0.32708333333333334</v>
      </c>
      <c r="D3052" s="20" t="s">
        <v>3033</v>
      </c>
      <c r="E3052" t="s">
        <v>6</v>
      </c>
      <c r="F3052" t="s">
        <v>12</v>
      </c>
      <c r="G3052" t="s">
        <v>1117</v>
      </c>
      <c r="H3052">
        <v>2</v>
      </c>
      <c r="I3052">
        <f t="shared" si="49"/>
        <v>3</v>
      </c>
    </row>
    <row r="3053" spans="1:9">
      <c r="A3053" s="1">
        <v>42563.561111111114</v>
      </c>
      <c r="B3053" s="19">
        <v>42667</v>
      </c>
      <c r="C3053" s="21">
        <v>0.27638888888888891</v>
      </c>
      <c r="D3053" s="20" t="s">
        <v>3031</v>
      </c>
      <c r="E3053" t="s">
        <v>2</v>
      </c>
      <c r="F3053" t="s">
        <v>56</v>
      </c>
      <c r="G3053" t="s">
        <v>1118</v>
      </c>
      <c r="H3053" t="e">
        <v>#VALUE!</v>
      </c>
      <c r="I3053" t="e">
        <f t="shared" si="49"/>
        <v>#VALUE!</v>
      </c>
    </row>
    <row r="3054" spans="1:9">
      <c r="A3054" s="1">
        <v>42563.425000000003</v>
      </c>
      <c r="B3054" s="19">
        <v>42667</v>
      </c>
      <c r="C3054" s="21">
        <v>0.95902777777777781</v>
      </c>
      <c r="D3054" s="20" t="s">
        <v>3063</v>
      </c>
      <c r="E3054" t="s">
        <v>0</v>
      </c>
      <c r="F3054" t="s">
        <v>10</v>
      </c>
      <c r="G3054" t="s">
        <v>965</v>
      </c>
      <c r="H3054">
        <v>13</v>
      </c>
      <c r="I3054">
        <f t="shared" si="49"/>
        <v>17</v>
      </c>
    </row>
    <row r="3055" spans="1:9">
      <c r="A3055" s="1">
        <v>42563.422222222223</v>
      </c>
      <c r="B3055" s="19">
        <v>42667</v>
      </c>
      <c r="C3055" s="21">
        <v>0.90833333333333333</v>
      </c>
      <c r="D3055" s="20" t="s">
        <v>3048</v>
      </c>
      <c r="E3055" t="s">
        <v>0</v>
      </c>
      <c r="F3055" t="s">
        <v>10</v>
      </c>
      <c r="G3055" t="s">
        <v>255</v>
      </c>
      <c r="H3055">
        <v>13</v>
      </c>
      <c r="I3055">
        <f t="shared" si="49"/>
        <v>17</v>
      </c>
    </row>
    <row r="3056" spans="1:9">
      <c r="A3056" s="1">
        <v>42563.371527777781</v>
      </c>
      <c r="B3056" s="19">
        <v>42667</v>
      </c>
      <c r="C3056" s="21">
        <v>0.58402777777777781</v>
      </c>
      <c r="D3056" s="20" t="s">
        <v>3040</v>
      </c>
      <c r="E3056" t="s">
        <v>18</v>
      </c>
      <c r="F3056" t="s">
        <v>100</v>
      </c>
      <c r="G3056" t="s">
        <v>1114</v>
      </c>
      <c r="H3056" t="e">
        <v>#VALUE!</v>
      </c>
      <c r="I3056" t="e">
        <f t="shared" si="49"/>
        <v>#VALUE!</v>
      </c>
    </row>
    <row r="3057" spans="1:9">
      <c r="A3057" s="1">
        <v>42563.337500000001</v>
      </c>
      <c r="B3057" s="19">
        <v>42667</v>
      </c>
      <c r="C3057" s="21">
        <v>0.58402777777777781</v>
      </c>
      <c r="D3057" s="20" t="s">
        <v>3040</v>
      </c>
      <c r="E3057" t="s">
        <v>0</v>
      </c>
      <c r="G3057" t="s">
        <v>961</v>
      </c>
      <c r="H3057">
        <v>13</v>
      </c>
      <c r="I3057">
        <f t="shared" si="49"/>
        <v>17</v>
      </c>
    </row>
    <row r="3058" spans="1:9">
      <c r="A3058" s="1">
        <v>42562.925694444442</v>
      </c>
      <c r="B3058" s="19">
        <v>42667</v>
      </c>
      <c r="C3058" s="21">
        <v>0.41944444444444445</v>
      </c>
      <c r="D3058" s="20" t="s">
        <v>3036</v>
      </c>
      <c r="E3058" t="s">
        <v>0</v>
      </c>
      <c r="F3058" t="s">
        <v>1</v>
      </c>
      <c r="H3058">
        <v>15</v>
      </c>
      <c r="I3058">
        <f t="shared" si="49"/>
        <v>19</v>
      </c>
    </row>
    <row r="3059" spans="1:9" ht="43.2">
      <c r="A3059" s="1">
        <v>42562.583333333336</v>
      </c>
      <c r="B3059" s="19">
        <v>42667</v>
      </c>
      <c r="C3059" s="21">
        <v>0.25277777777777777</v>
      </c>
      <c r="D3059" s="20" t="s">
        <v>3031</v>
      </c>
      <c r="E3059" t="s">
        <v>18</v>
      </c>
      <c r="F3059" t="s">
        <v>100</v>
      </c>
      <c r="G3059" s="2" t="s">
        <v>1119</v>
      </c>
      <c r="H3059" t="e">
        <v>#VALUE!</v>
      </c>
      <c r="I3059" t="e">
        <f t="shared" si="49"/>
        <v>#VALUE!</v>
      </c>
    </row>
    <row r="3060" spans="1:9" ht="28.8">
      <c r="A3060" s="1">
        <v>42562.554166666669</v>
      </c>
      <c r="B3060" s="19">
        <v>42667</v>
      </c>
      <c r="C3060" s="21">
        <v>0.25138888888888888</v>
      </c>
      <c r="D3060" s="20" t="s">
        <v>3031</v>
      </c>
      <c r="E3060" t="s">
        <v>0</v>
      </c>
      <c r="G3060" s="2" t="s">
        <v>1120</v>
      </c>
      <c r="H3060">
        <v>56</v>
      </c>
      <c r="I3060">
        <f t="shared" si="49"/>
        <v>70</v>
      </c>
    </row>
    <row r="3061" spans="1:9">
      <c r="A3061" s="1">
        <v>42562.51666666667</v>
      </c>
      <c r="B3061" s="19">
        <v>42668</v>
      </c>
      <c r="C3061" s="21">
        <v>0.81944444444444442</v>
      </c>
      <c r="D3061" s="20" t="s">
        <v>3046</v>
      </c>
      <c r="E3061" t="s">
        <v>6</v>
      </c>
      <c r="G3061" t="s">
        <v>1104</v>
      </c>
      <c r="H3061">
        <v>19</v>
      </c>
      <c r="I3061">
        <f t="shared" si="49"/>
        <v>24</v>
      </c>
    </row>
    <row r="3062" spans="1:9">
      <c r="A3062" s="1">
        <v>42562.427777777775</v>
      </c>
      <c r="B3062" s="19">
        <v>42668</v>
      </c>
      <c r="C3062" s="21">
        <v>0.68055555555555558</v>
      </c>
      <c r="D3062" s="20" t="s">
        <v>3043</v>
      </c>
      <c r="E3062" t="s">
        <v>6</v>
      </c>
      <c r="F3062" t="s">
        <v>12</v>
      </c>
      <c r="G3062" t="s">
        <v>45</v>
      </c>
      <c r="H3062">
        <v>3</v>
      </c>
      <c r="I3062">
        <f t="shared" si="49"/>
        <v>4</v>
      </c>
    </row>
    <row r="3063" spans="1:9" ht="43.2">
      <c r="A3063" s="1">
        <v>42562.36041666667</v>
      </c>
      <c r="B3063" s="19">
        <v>42668</v>
      </c>
      <c r="C3063" s="21">
        <v>0.25486111111111109</v>
      </c>
      <c r="D3063" s="20" t="s">
        <v>3031</v>
      </c>
      <c r="E3063" t="s">
        <v>6</v>
      </c>
      <c r="F3063" t="s">
        <v>21</v>
      </c>
      <c r="G3063" s="2" t="s">
        <v>1106</v>
      </c>
      <c r="H3063" t="e">
        <v>#VALUE!</v>
      </c>
      <c r="I3063" t="e">
        <f t="shared" si="49"/>
        <v>#VALUE!</v>
      </c>
    </row>
    <row r="3064" spans="1:9">
      <c r="A3064" s="1">
        <v>42562.25277777778</v>
      </c>
      <c r="B3064" s="19">
        <v>42668</v>
      </c>
      <c r="C3064" s="21">
        <v>0.14861111111111111</v>
      </c>
      <c r="D3064" s="20" t="s">
        <v>3053</v>
      </c>
      <c r="E3064" t="s">
        <v>6</v>
      </c>
      <c r="F3064" t="s">
        <v>21</v>
      </c>
      <c r="G3064" t="s">
        <v>1107</v>
      </c>
      <c r="H3064">
        <v>0</v>
      </c>
      <c r="I3064">
        <f t="shared" si="49"/>
        <v>0</v>
      </c>
    </row>
    <row r="3065" spans="1:9">
      <c r="A3065" s="1">
        <v>42562.830555555556</v>
      </c>
      <c r="B3065" s="19">
        <v>42668</v>
      </c>
      <c r="C3065" s="21">
        <v>8.8888888888888892E-2</v>
      </c>
      <c r="D3065" s="20" t="s">
        <v>3052</v>
      </c>
      <c r="E3065" t="s">
        <v>6</v>
      </c>
      <c r="F3065" t="s">
        <v>21</v>
      </c>
      <c r="G3065" t="s">
        <v>103</v>
      </c>
      <c r="H3065">
        <v>10</v>
      </c>
      <c r="I3065">
        <f t="shared" si="49"/>
        <v>13</v>
      </c>
    </row>
    <row r="3066" spans="1:9">
      <c r="A3066" s="1">
        <v>42562.814583333333</v>
      </c>
      <c r="B3066" s="19">
        <v>42668</v>
      </c>
      <c r="C3066" s="21">
        <v>4.3055555555555555E-2</v>
      </c>
      <c r="D3066" s="20" t="s">
        <v>3051</v>
      </c>
      <c r="E3066" t="s">
        <v>6</v>
      </c>
      <c r="F3066" t="s">
        <v>21</v>
      </c>
      <c r="G3066" t="s">
        <v>1108</v>
      </c>
      <c r="H3066">
        <v>100</v>
      </c>
      <c r="I3066">
        <f t="shared" si="49"/>
        <v>124</v>
      </c>
    </row>
    <row r="3067" spans="1:9">
      <c r="A3067" s="1">
        <v>42562.671527777777</v>
      </c>
      <c r="B3067" s="19">
        <v>42668</v>
      </c>
      <c r="C3067" s="21">
        <v>2.2222222222222223E-2</v>
      </c>
      <c r="D3067" s="20" t="s">
        <v>3050</v>
      </c>
      <c r="E3067" t="s">
        <v>6</v>
      </c>
      <c r="F3067" t="s">
        <v>26</v>
      </c>
      <c r="G3067" t="s">
        <v>103</v>
      </c>
      <c r="H3067">
        <v>13</v>
      </c>
      <c r="I3067">
        <f t="shared" si="49"/>
        <v>17</v>
      </c>
    </row>
    <row r="3068" spans="1:9">
      <c r="A3068" s="1">
        <v>42562.633333333331</v>
      </c>
      <c r="B3068" s="19">
        <v>42668</v>
      </c>
      <c r="C3068" s="21">
        <v>0.92291666666666672</v>
      </c>
      <c r="D3068" s="20" t="s">
        <v>3049</v>
      </c>
      <c r="E3068" t="s">
        <v>33</v>
      </c>
      <c r="G3068" t="s">
        <v>9</v>
      </c>
      <c r="H3068">
        <v>13</v>
      </c>
      <c r="I3068">
        <f t="shared" si="49"/>
        <v>17</v>
      </c>
    </row>
    <row r="3069" spans="1:9">
      <c r="A3069" s="1">
        <v>42562.618750000001</v>
      </c>
      <c r="B3069" s="19">
        <v>42668</v>
      </c>
      <c r="C3069" s="21">
        <v>0.58333333333333337</v>
      </c>
      <c r="D3069" s="20" t="s">
        <v>3040</v>
      </c>
      <c r="E3069" t="s">
        <v>0</v>
      </c>
      <c r="G3069" t="s">
        <v>961</v>
      </c>
      <c r="H3069">
        <v>13</v>
      </c>
      <c r="I3069">
        <f t="shared" si="49"/>
        <v>17</v>
      </c>
    </row>
    <row r="3070" spans="1:9">
      <c r="A3070" s="1">
        <v>42562.595138888886</v>
      </c>
      <c r="B3070" s="19">
        <v>42668</v>
      </c>
      <c r="C3070" s="21">
        <v>0.58263888888888893</v>
      </c>
      <c r="D3070" s="20" t="s">
        <v>3039</v>
      </c>
      <c r="E3070" t="s">
        <v>18</v>
      </c>
      <c r="F3070" t="s">
        <v>100</v>
      </c>
      <c r="G3070" t="s">
        <v>1105</v>
      </c>
      <c r="H3070" t="e">
        <v>#VALUE!</v>
      </c>
      <c r="I3070" t="e">
        <f t="shared" si="49"/>
        <v>#VALUE!</v>
      </c>
    </row>
    <row r="3071" spans="1:9">
      <c r="A3071" s="1">
        <v>42562.556944444441</v>
      </c>
      <c r="B3071" s="19">
        <v>42668</v>
      </c>
      <c r="C3071" s="21">
        <v>0.25069444444444444</v>
      </c>
      <c r="D3071" s="20" t="s">
        <v>3031</v>
      </c>
      <c r="E3071" t="s">
        <v>18</v>
      </c>
      <c r="F3071" t="s">
        <v>100</v>
      </c>
      <c r="G3071" t="s">
        <v>391</v>
      </c>
      <c r="H3071" t="e">
        <v>#VALUE!</v>
      </c>
      <c r="I3071" t="e">
        <f t="shared" si="49"/>
        <v>#VALUE!</v>
      </c>
    </row>
    <row r="3072" spans="1:9">
      <c r="A3072" s="1">
        <v>42562.515972222223</v>
      </c>
      <c r="B3072" s="19">
        <v>42668</v>
      </c>
      <c r="C3072" s="21">
        <v>4.3055555555555555E-2</v>
      </c>
      <c r="D3072" s="20" t="s">
        <v>3051</v>
      </c>
      <c r="E3072" t="s">
        <v>33</v>
      </c>
      <c r="F3072" t="s">
        <v>44</v>
      </c>
      <c r="G3072" t="s">
        <v>1109</v>
      </c>
      <c r="H3072">
        <v>0</v>
      </c>
      <c r="I3072">
        <f t="shared" si="49"/>
        <v>0</v>
      </c>
    </row>
    <row r="3073" spans="1:9">
      <c r="A3073" s="1">
        <v>42562.375</v>
      </c>
      <c r="B3073" s="19">
        <v>42668</v>
      </c>
      <c r="C3073" s="21">
        <v>0</v>
      </c>
      <c r="D3073" s="20" t="s">
        <v>3050</v>
      </c>
      <c r="E3073" t="s">
        <v>33</v>
      </c>
      <c r="F3073" t="s">
        <v>44</v>
      </c>
      <c r="G3073" t="s">
        <v>1109</v>
      </c>
      <c r="H3073">
        <v>0</v>
      </c>
      <c r="I3073">
        <f t="shared" si="49"/>
        <v>0</v>
      </c>
    </row>
    <row r="3074" spans="1:9">
      <c r="A3074" s="1">
        <v>42560.119444444441</v>
      </c>
      <c r="B3074" s="19">
        <v>42669</v>
      </c>
      <c r="C3074" s="21">
        <v>0.94236111111111109</v>
      </c>
      <c r="D3074" s="20" t="s">
        <v>3049</v>
      </c>
      <c r="E3074" t="s">
        <v>6</v>
      </c>
      <c r="F3074" t="s">
        <v>7</v>
      </c>
      <c r="G3074" t="s">
        <v>120</v>
      </c>
      <c r="H3074">
        <v>7</v>
      </c>
      <c r="I3074">
        <f t="shared" si="49"/>
        <v>9</v>
      </c>
    </row>
    <row r="3075" spans="1:9">
      <c r="A3075" s="1">
        <v>42560.085416666669</v>
      </c>
      <c r="B3075" s="19">
        <v>42669</v>
      </c>
      <c r="C3075" s="21">
        <v>0.84027777777777779</v>
      </c>
      <c r="D3075" s="20" t="s">
        <v>3047</v>
      </c>
      <c r="E3075" t="s">
        <v>6</v>
      </c>
      <c r="F3075" t="s">
        <v>273</v>
      </c>
      <c r="G3075" t="s">
        <v>307</v>
      </c>
      <c r="H3075">
        <v>7</v>
      </c>
      <c r="I3075">
        <f t="shared" ref="I3075:I3138" si="50">ROUNDUP((H3075*1.24), 0)</f>
        <v>9</v>
      </c>
    </row>
    <row r="3076" spans="1:9">
      <c r="A3076" s="1">
        <v>42560.040277777778</v>
      </c>
      <c r="B3076" s="19">
        <v>42669</v>
      </c>
      <c r="C3076" s="21">
        <v>0.68333333333333335</v>
      </c>
      <c r="D3076" s="20" t="s">
        <v>3043</v>
      </c>
      <c r="E3076" t="s">
        <v>6</v>
      </c>
      <c r="F3076" t="s">
        <v>12</v>
      </c>
      <c r="G3076" t="s">
        <v>1098</v>
      </c>
      <c r="H3076">
        <v>15</v>
      </c>
      <c r="I3076">
        <f t="shared" si="50"/>
        <v>19</v>
      </c>
    </row>
    <row r="3077" spans="1:9">
      <c r="A3077" s="1">
        <v>42559.768055555556</v>
      </c>
      <c r="B3077" s="19">
        <v>42669</v>
      </c>
      <c r="C3077" s="21">
        <v>0.65</v>
      </c>
      <c r="D3077" s="20" t="s">
        <v>3042</v>
      </c>
      <c r="E3077" t="s">
        <v>6</v>
      </c>
      <c r="F3077" t="s">
        <v>12</v>
      </c>
      <c r="G3077" t="s">
        <v>45</v>
      </c>
      <c r="H3077">
        <v>4</v>
      </c>
      <c r="I3077">
        <f t="shared" si="50"/>
        <v>5</v>
      </c>
    </row>
    <row r="3078" spans="1:9">
      <c r="A3078" s="1">
        <v>42559.513888888891</v>
      </c>
      <c r="B3078" s="19">
        <v>42669</v>
      </c>
      <c r="C3078" s="21">
        <v>0.58888888888888891</v>
      </c>
      <c r="D3078" s="20" t="s">
        <v>3040</v>
      </c>
      <c r="E3078" t="s">
        <v>6</v>
      </c>
      <c r="F3078" t="s">
        <v>21</v>
      </c>
      <c r="G3078" t="s">
        <v>1099</v>
      </c>
      <c r="H3078">
        <v>50</v>
      </c>
      <c r="I3078">
        <f t="shared" si="50"/>
        <v>62</v>
      </c>
    </row>
    <row r="3079" spans="1:9">
      <c r="A3079" s="1">
        <v>42559.261111111111</v>
      </c>
      <c r="B3079" s="19">
        <v>42669</v>
      </c>
      <c r="C3079" s="21">
        <v>0.47569444444444442</v>
      </c>
      <c r="D3079" s="20" t="s">
        <v>3037</v>
      </c>
      <c r="E3079" t="s">
        <v>6</v>
      </c>
      <c r="F3079" t="s">
        <v>21</v>
      </c>
      <c r="G3079" t="s">
        <v>1100</v>
      </c>
      <c r="H3079" t="e">
        <v>#VALUE!</v>
      </c>
      <c r="I3079" t="e">
        <f t="shared" si="50"/>
        <v>#VALUE!</v>
      </c>
    </row>
    <row r="3080" spans="1:9">
      <c r="A3080" s="1">
        <v>42559.253472222219</v>
      </c>
      <c r="B3080" s="19">
        <v>42669</v>
      </c>
      <c r="C3080" s="21">
        <v>5.486111111111111E-2</v>
      </c>
      <c r="D3080" s="20" t="s">
        <v>3051</v>
      </c>
      <c r="E3080" t="s">
        <v>6</v>
      </c>
      <c r="F3080" t="s">
        <v>21</v>
      </c>
      <c r="G3080" t="s">
        <v>1103</v>
      </c>
      <c r="H3080" t="e">
        <v>#VALUE!</v>
      </c>
      <c r="I3080" t="e">
        <f t="shared" si="50"/>
        <v>#VALUE!</v>
      </c>
    </row>
    <row r="3081" spans="1:9">
      <c r="A3081" s="1">
        <v>42559.90902777778</v>
      </c>
      <c r="B3081" s="19">
        <v>42669</v>
      </c>
      <c r="C3081" s="21">
        <v>0.91874999999999996</v>
      </c>
      <c r="D3081" s="20" t="s">
        <v>3049</v>
      </c>
      <c r="E3081" t="s">
        <v>33</v>
      </c>
      <c r="G3081" t="s">
        <v>9</v>
      </c>
      <c r="H3081">
        <v>13</v>
      </c>
      <c r="I3081">
        <f t="shared" si="50"/>
        <v>17</v>
      </c>
    </row>
    <row r="3082" spans="1:9">
      <c r="A3082" s="1">
        <v>42559.893055555556</v>
      </c>
      <c r="B3082" s="19">
        <v>42669</v>
      </c>
      <c r="C3082" s="21">
        <v>0.58472222222222225</v>
      </c>
      <c r="D3082" s="20" t="s">
        <v>3040</v>
      </c>
      <c r="E3082" t="s">
        <v>0</v>
      </c>
      <c r="G3082" t="s">
        <v>961</v>
      </c>
      <c r="H3082">
        <v>12</v>
      </c>
      <c r="I3082">
        <f t="shared" si="50"/>
        <v>15</v>
      </c>
    </row>
    <row r="3083" spans="1:9">
      <c r="A3083" s="1">
        <v>42559.647222222222</v>
      </c>
      <c r="B3083" s="19">
        <v>42669</v>
      </c>
      <c r="C3083" s="21">
        <v>0.58263888888888893</v>
      </c>
      <c r="D3083" s="20" t="s">
        <v>3039</v>
      </c>
      <c r="E3083" t="s">
        <v>18</v>
      </c>
      <c r="F3083" t="s">
        <v>100</v>
      </c>
      <c r="G3083" t="s">
        <v>1084</v>
      </c>
      <c r="H3083" t="e">
        <v>#VALUE!</v>
      </c>
      <c r="I3083" t="e">
        <f t="shared" si="50"/>
        <v>#VALUE!</v>
      </c>
    </row>
    <row r="3084" spans="1:9">
      <c r="A3084" s="1">
        <v>42559.289583333331</v>
      </c>
      <c r="B3084" s="19">
        <v>42669</v>
      </c>
      <c r="C3084" s="21">
        <v>0.34513888888888888</v>
      </c>
      <c r="D3084" s="20" t="s">
        <v>3034</v>
      </c>
      <c r="E3084" t="s">
        <v>0</v>
      </c>
      <c r="F3084" t="s">
        <v>75</v>
      </c>
      <c r="G3084" t="s">
        <v>1101</v>
      </c>
      <c r="H3084">
        <v>9</v>
      </c>
      <c r="I3084">
        <f t="shared" si="50"/>
        <v>12</v>
      </c>
    </row>
    <row r="3085" spans="1:9">
      <c r="A3085" s="1">
        <v>42559.045138888891</v>
      </c>
      <c r="B3085" s="19">
        <v>42669</v>
      </c>
      <c r="C3085" s="21">
        <v>0.32291666666666669</v>
      </c>
      <c r="D3085" s="20" t="s">
        <v>3033</v>
      </c>
      <c r="E3085" t="s">
        <v>0</v>
      </c>
      <c r="G3085" t="s">
        <v>1102</v>
      </c>
      <c r="H3085">
        <v>14</v>
      </c>
      <c r="I3085">
        <f t="shared" si="50"/>
        <v>18</v>
      </c>
    </row>
    <row r="3086" spans="1:9">
      <c r="A3086" s="1">
        <v>42559.038194444445</v>
      </c>
      <c r="B3086" s="19">
        <v>42669</v>
      </c>
      <c r="C3086" s="21">
        <v>0.24791666666666667</v>
      </c>
      <c r="D3086" s="20" t="s">
        <v>3055</v>
      </c>
      <c r="E3086" t="s">
        <v>18</v>
      </c>
      <c r="F3086" t="s">
        <v>100</v>
      </c>
      <c r="G3086" t="s">
        <v>362</v>
      </c>
      <c r="H3086" t="e">
        <v>#VALUE!</v>
      </c>
      <c r="I3086" t="e">
        <f t="shared" si="50"/>
        <v>#VALUE!</v>
      </c>
    </row>
    <row r="3087" spans="1:9">
      <c r="A3087" s="1">
        <v>42558.701388888891</v>
      </c>
      <c r="B3087" s="19">
        <v>42670</v>
      </c>
      <c r="C3087" s="21">
        <v>0.96666666666666667</v>
      </c>
      <c r="D3087" s="20" t="s">
        <v>3063</v>
      </c>
      <c r="E3087" t="s">
        <v>6</v>
      </c>
      <c r="F3087" t="s">
        <v>26</v>
      </c>
      <c r="G3087" t="s">
        <v>1092</v>
      </c>
      <c r="H3087">
        <v>9</v>
      </c>
      <c r="I3087">
        <f t="shared" si="50"/>
        <v>12</v>
      </c>
    </row>
    <row r="3088" spans="1:9">
      <c r="A3088" s="1">
        <v>42558.642361111109</v>
      </c>
      <c r="B3088" s="19">
        <v>42670</v>
      </c>
      <c r="C3088" s="21">
        <v>0.95763888888888893</v>
      </c>
      <c r="D3088" s="20" t="s">
        <v>3049</v>
      </c>
      <c r="E3088" t="s">
        <v>6</v>
      </c>
      <c r="F3088" t="s">
        <v>21</v>
      </c>
      <c r="G3088" t="s">
        <v>103</v>
      </c>
      <c r="H3088">
        <v>8</v>
      </c>
      <c r="I3088">
        <f t="shared" si="50"/>
        <v>10</v>
      </c>
    </row>
    <row r="3089" spans="1:9">
      <c r="A3089" s="1">
        <v>42558.589583333334</v>
      </c>
      <c r="B3089" s="19">
        <v>42670</v>
      </c>
      <c r="C3089" s="21">
        <v>0.9194444444444444</v>
      </c>
      <c r="D3089" s="20" t="s">
        <v>3049</v>
      </c>
      <c r="E3089" t="s">
        <v>2</v>
      </c>
      <c r="G3089" t="s">
        <v>9</v>
      </c>
      <c r="H3089">
        <v>13</v>
      </c>
      <c r="I3089">
        <f t="shared" si="50"/>
        <v>17</v>
      </c>
    </row>
    <row r="3090" spans="1:9">
      <c r="A3090" s="1">
        <v>42558.588888888888</v>
      </c>
      <c r="B3090" s="19">
        <v>42670</v>
      </c>
      <c r="C3090" s="21">
        <v>0.8881944444444444</v>
      </c>
      <c r="D3090" s="20" t="s">
        <v>3048</v>
      </c>
      <c r="E3090" t="s">
        <v>6</v>
      </c>
      <c r="F3090" t="s">
        <v>12</v>
      </c>
      <c r="G3090" t="s">
        <v>65</v>
      </c>
      <c r="H3090">
        <v>5</v>
      </c>
      <c r="I3090">
        <f t="shared" si="50"/>
        <v>7</v>
      </c>
    </row>
    <row r="3091" spans="1:9">
      <c r="A3091" s="1">
        <v>42558.317361111112</v>
      </c>
      <c r="B3091" s="19">
        <v>42670</v>
      </c>
      <c r="C3091" s="21">
        <v>0.62638888888888888</v>
      </c>
      <c r="D3091" s="20" t="s">
        <v>3042</v>
      </c>
      <c r="E3091" t="s">
        <v>2</v>
      </c>
      <c r="G3091" t="s">
        <v>1093</v>
      </c>
      <c r="H3091" t="e">
        <v>#VALUE!</v>
      </c>
      <c r="I3091" t="e">
        <f t="shared" si="50"/>
        <v>#VALUE!</v>
      </c>
    </row>
    <row r="3092" spans="1:9">
      <c r="A3092" s="1">
        <v>42558.294444444444</v>
      </c>
      <c r="B3092" s="19">
        <v>42670</v>
      </c>
      <c r="C3092" s="21">
        <v>0.35138888888888886</v>
      </c>
      <c r="D3092" s="20" t="s">
        <v>3034</v>
      </c>
      <c r="E3092" t="s">
        <v>2</v>
      </c>
      <c r="F3092" t="s">
        <v>5</v>
      </c>
      <c r="G3092" t="s">
        <v>1096</v>
      </c>
      <c r="H3092" t="e">
        <v>#VALUE!</v>
      </c>
      <c r="I3092" t="e">
        <f t="shared" si="50"/>
        <v>#VALUE!</v>
      </c>
    </row>
    <row r="3093" spans="1:9">
      <c r="A3093" s="1">
        <v>42558.284722222219</v>
      </c>
      <c r="B3093" s="19">
        <v>42670</v>
      </c>
      <c r="C3093" s="21">
        <v>0.31458333333333333</v>
      </c>
      <c r="D3093" s="20" t="s">
        <v>3033</v>
      </c>
      <c r="E3093" t="s">
        <v>6</v>
      </c>
      <c r="F3093" t="s">
        <v>12</v>
      </c>
      <c r="G3093" t="s">
        <v>711</v>
      </c>
      <c r="H3093">
        <v>3</v>
      </c>
      <c r="I3093">
        <f t="shared" si="50"/>
        <v>4</v>
      </c>
    </row>
    <row r="3094" spans="1:9">
      <c r="A3094" s="1">
        <v>42558.182638888888</v>
      </c>
      <c r="B3094" s="19">
        <v>42670</v>
      </c>
      <c r="C3094" s="21">
        <v>0.28472222222222221</v>
      </c>
      <c r="D3094" s="20" t="s">
        <v>3031</v>
      </c>
      <c r="E3094" t="s">
        <v>6</v>
      </c>
      <c r="F3094" t="s">
        <v>26</v>
      </c>
      <c r="G3094" t="s">
        <v>453</v>
      </c>
      <c r="H3094">
        <v>3</v>
      </c>
      <c r="I3094">
        <f t="shared" si="50"/>
        <v>4</v>
      </c>
    </row>
    <row r="3095" spans="1:9">
      <c r="A3095" s="1">
        <v>42558.181944444441</v>
      </c>
      <c r="B3095" s="19">
        <v>42670</v>
      </c>
      <c r="C3095" s="21">
        <v>0.10902777777777778</v>
      </c>
      <c r="D3095" s="20" t="s">
        <v>3052</v>
      </c>
      <c r="E3095" t="s">
        <v>6</v>
      </c>
      <c r="F3095" t="s">
        <v>15</v>
      </c>
      <c r="G3095" t="s">
        <v>1097</v>
      </c>
      <c r="H3095" t="e">
        <v>#VALUE!</v>
      </c>
      <c r="I3095" t="e">
        <f t="shared" si="50"/>
        <v>#VALUE!</v>
      </c>
    </row>
    <row r="3096" spans="1:9">
      <c r="A3096" s="1">
        <v>42558.918749999997</v>
      </c>
      <c r="B3096" s="19">
        <v>42670</v>
      </c>
      <c r="C3096" s="21">
        <v>0.58750000000000002</v>
      </c>
      <c r="D3096" s="20" t="s">
        <v>3040</v>
      </c>
      <c r="E3096" t="s">
        <v>0</v>
      </c>
      <c r="G3096" t="s">
        <v>961</v>
      </c>
      <c r="H3096">
        <v>18</v>
      </c>
      <c r="I3096">
        <f t="shared" si="50"/>
        <v>23</v>
      </c>
    </row>
    <row r="3097" spans="1:9">
      <c r="A3097" s="1">
        <v>42558.802777777775</v>
      </c>
      <c r="B3097" s="19">
        <v>42670</v>
      </c>
      <c r="C3097" s="21">
        <v>0.58680555555555558</v>
      </c>
      <c r="D3097" s="20" t="s">
        <v>3040</v>
      </c>
      <c r="E3097" t="s">
        <v>18</v>
      </c>
      <c r="F3097" t="s">
        <v>100</v>
      </c>
      <c r="G3097" t="s">
        <v>1094</v>
      </c>
      <c r="H3097" t="e">
        <v>#VALUE!</v>
      </c>
      <c r="I3097" t="e">
        <f t="shared" si="50"/>
        <v>#VALUE!</v>
      </c>
    </row>
    <row r="3098" spans="1:9">
      <c r="A3098" s="1">
        <v>42558.719444444447</v>
      </c>
      <c r="B3098" s="19">
        <v>42670</v>
      </c>
      <c r="C3098" s="21">
        <v>0.45902777777777776</v>
      </c>
      <c r="D3098" s="20" t="s">
        <v>3037</v>
      </c>
      <c r="E3098" t="s">
        <v>149</v>
      </c>
      <c r="F3098" t="s">
        <v>150</v>
      </c>
      <c r="G3098" t="s">
        <v>1095</v>
      </c>
      <c r="H3098" t="e">
        <v>#VALUE!</v>
      </c>
      <c r="I3098" t="e">
        <f t="shared" si="50"/>
        <v>#VALUE!</v>
      </c>
    </row>
    <row r="3099" spans="1:9">
      <c r="A3099" s="1">
        <v>42558.714583333334</v>
      </c>
      <c r="B3099" s="19">
        <v>42670</v>
      </c>
      <c r="C3099" s="21">
        <v>0.25138888888888888</v>
      </c>
      <c r="D3099" s="20" t="s">
        <v>3031</v>
      </c>
      <c r="E3099" t="s">
        <v>18</v>
      </c>
      <c r="F3099" t="s">
        <v>100</v>
      </c>
      <c r="G3099" t="s">
        <v>399</v>
      </c>
      <c r="H3099" t="e">
        <v>#VALUE!</v>
      </c>
      <c r="I3099" t="e">
        <f t="shared" si="50"/>
        <v>#VALUE!</v>
      </c>
    </row>
    <row r="3100" spans="1:9">
      <c r="A3100" s="1">
        <v>42558.59652777778</v>
      </c>
      <c r="B3100" s="19">
        <v>42671</v>
      </c>
      <c r="C3100" s="21">
        <v>0.92291666666666672</v>
      </c>
      <c r="D3100" s="20" t="s">
        <v>3049</v>
      </c>
      <c r="E3100" t="s">
        <v>6</v>
      </c>
      <c r="F3100" t="s">
        <v>21</v>
      </c>
      <c r="G3100" t="s">
        <v>1082</v>
      </c>
      <c r="H3100" t="e">
        <v>#VALUE!</v>
      </c>
      <c r="I3100" t="e">
        <f t="shared" si="50"/>
        <v>#VALUE!</v>
      </c>
    </row>
    <row r="3101" spans="1:9">
      <c r="A3101" s="1">
        <v>42558.43472222222</v>
      </c>
      <c r="B3101" s="19">
        <v>42671</v>
      </c>
      <c r="C3101" s="21">
        <v>0.92291666666666672</v>
      </c>
      <c r="D3101" s="20" t="s">
        <v>3049</v>
      </c>
      <c r="E3101" t="s">
        <v>2</v>
      </c>
      <c r="G3101" t="s">
        <v>193</v>
      </c>
      <c r="H3101">
        <v>13</v>
      </c>
      <c r="I3101">
        <f t="shared" si="50"/>
        <v>17</v>
      </c>
    </row>
    <row r="3102" spans="1:9">
      <c r="A3102" s="1">
        <v>42558.371527777781</v>
      </c>
      <c r="B3102" s="19">
        <v>42671</v>
      </c>
      <c r="C3102" s="21">
        <v>0.80833333333333335</v>
      </c>
      <c r="D3102" s="20" t="s">
        <v>3046</v>
      </c>
      <c r="E3102" t="s">
        <v>2</v>
      </c>
      <c r="F3102" t="s">
        <v>5</v>
      </c>
      <c r="G3102" t="s">
        <v>1083</v>
      </c>
      <c r="H3102" t="e">
        <v>#VALUE!</v>
      </c>
      <c r="I3102" t="e">
        <f t="shared" si="50"/>
        <v>#VALUE!</v>
      </c>
    </row>
    <row r="3103" spans="1:9">
      <c r="A3103" s="1">
        <v>42558.361805555556</v>
      </c>
      <c r="B3103" s="19">
        <v>42671</v>
      </c>
      <c r="C3103" s="21">
        <v>0.58611111111111114</v>
      </c>
      <c r="D3103" s="20" t="s">
        <v>3040</v>
      </c>
      <c r="E3103" t="s">
        <v>6</v>
      </c>
      <c r="F3103" t="s">
        <v>21</v>
      </c>
      <c r="G3103" t="s">
        <v>1085</v>
      </c>
      <c r="H3103" t="e">
        <v>#VALUE!</v>
      </c>
      <c r="I3103" t="e">
        <f t="shared" si="50"/>
        <v>#VALUE!</v>
      </c>
    </row>
    <row r="3104" spans="1:9">
      <c r="A3104" s="1">
        <v>42558.180555555555</v>
      </c>
      <c r="B3104" s="19">
        <v>42671</v>
      </c>
      <c r="C3104" s="21">
        <v>0.56527777777777777</v>
      </c>
      <c r="D3104" s="20" t="s">
        <v>3039</v>
      </c>
      <c r="E3104" t="s">
        <v>2</v>
      </c>
      <c r="F3104" t="s">
        <v>48</v>
      </c>
      <c r="G3104" t="s">
        <v>1086</v>
      </c>
      <c r="H3104">
        <v>14</v>
      </c>
      <c r="I3104">
        <f t="shared" si="50"/>
        <v>18</v>
      </c>
    </row>
    <row r="3105" spans="1:9">
      <c r="A3105" s="1">
        <v>42557.688194444447</v>
      </c>
      <c r="B3105" s="19">
        <v>42671</v>
      </c>
      <c r="C3105" s="21">
        <v>0.50486111111111109</v>
      </c>
      <c r="D3105" s="20" t="s">
        <v>3038</v>
      </c>
      <c r="E3105" t="s">
        <v>6</v>
      </c>
      <c r="F3105" t="s">
        <v>21</v>
      </c>
      <c r="G3105" t="s">
        <v>1087</v>
      </c>
      <c r="H3105" t="e">
        <v>#VALUE!</v>
      </c>
      <c r="I3105" t="e">
        <f t="shared" si="50"/>
        <v>#VALUE!</v>
      </c>
    </row>
    <row r="3106" spans="1:9">
      <c r="A3106" s="1">
        <v>42557.818055555559</v>
      </c>
      <c r="B3106" s="19">
        <v>42671</v>
      </c>
      <c r="C3106" s="21">
        <v>0.49444444444444446</v>
      </c>
      <c r="D3106" s="20" t="s">
        <v>3037</v>
      </c>
      <c r="E3106" t="s">
        <v>2</v>
      </c>
      <c r="F3106" t="s">
        <v>3</v>
      </c>
      <c r="G3106" t="s">
        <v>1088</v>
      </c>
      <c r="H3106">
        <v>24</v>
      </c>
      <c r="I3106">
        <f t="shared" si="50"/>
        <v>30</v>
      </c>
    </row>
    <row r="3107" spans="1:9">
      <c r="A3107" s="1">
        <v>42557.772916666669</v>
      </c>
      <c r="B3107" s="19">
        <v>42671</v>
      </c>
      <c r="C3107" s="21">
        <v>0.49375000000000002</v>
      </c>
      <c r="D3107" s="20" t="s">
        <v>3037</v>
      </c>
      <c r="E3107" t="s">
        <v>2</v>
      </c>
      <c r="F3107" t="s">
        <v>48</v>
      </c>
      <c r="G3107" t="s">
        <v>1089</v>
      </c>
      <c r="H3107">
        <v>10</v>
      </c>
      <c r="I3107">
        <f t="shared" si="50"/>
        <v>13</v>
      </c>
    </row>
    <row r="3108" spans="1:9">
      <c r="A3108" s="1">
        <v>42557.76666666667</v>
      </c>
      <c r="B3108" s="19">
        <v>42671</v>
      </c>
      <c r="C3108" s="21">
        <v>0.25624999999999998</v>
      </c>
      <c r="D3108" s="20" t="s">
        <v>3031</v>
      </c>
      <c r="E3108" t="s">
        <v>6</v>
      </c>
      <c r="F3108" t="s">
        <v>21</v>
      </c>
      <c r="G3108" t="s">
        <v>1090</v>
      </c>
      <c r="H3108">
        <v>38</v>
      </c>
      <c r="I3108">
        <f t="shared" si="50"/>
        <v>48</v>
      </c>
    </row>
    <row r="3109" spans="1:9">
      <c r="A3109" s="1">
        <v>42557.762499999997</v>
      </c>
      <c r="B3109" s="19">
        <v>42671</v>
      </c>
      <c r="C3109" s="21">
        <v>0.58750000000000002</v>
      </c>
      <c r="D3109" s="20" t="s">
        <v>3040</v>
      </c>
      <c r="E3109" t="s">
        <v>0</v>
      </c>
      <c r="G3109" t="s">
        <v>961</v>
      </c>
      <c r="H3109">
        <v>13</v>
      </c>
      <c r="I3109">
        <f t="shared" si="50"/>
        <v>17</v>
      </c>
    </row>
    <row r="3110" spans="1:9">
      <c r="A3110" s="1">
        <v>42557.715277777781</v>
      </c>
      <c r="B3110" s="19">
        <v>42671</v>
      </c>
      <c r="C3110" s="21">
        <v>0.58680555555555558</v>
      </c>
      <c r="D3110" s="20" t="s">
        <v>3040</v>
      </c>
      <c r="E3110" t="s">
        <v>18</v>
      </c>
      <c r="F3110" t="s">
        <v>100</v>
      </c>
      <c r="G3110" t="s">
        <v>1084</v>
      </c>
      <c r="H3110" t="e">
        <v>#VALUE!</v>
      </c>
      <c r="I3110" t="e">
        <f t="shared" si="50"/>
        <v>#VALUE!</v>
      </c>
    </row>
    <row r="3111" spans="1:9">
      <c r="A3111" s="1">
        <v>42557.712500000001</v>
      </c>
      <c r="B3111" s="19">
        <v>42671</v>
      </c>
      <c r="C3111" s="21">
        <v>0.25347222222222221</v>
      </c>
      <c r="D3111" s="20" t="s">
        <v>3031</v>
      </c>
      <c r="E3111" t="s">
        <v>18</v>
      </c>
      <c r="F3111" t="s">
        <v>100</v>
      </c>
      <c r="G3111" t="s">
        <v>1091</v>
      </c>
      <c r="H3111" t="e">
        <v>#VALUE!</v>
      </c>
      <c r="I3111" t="e">
        <f t="shared" si="50"/>
        <v>#VALUE!</v>
      </c>
    </row>
    <row r="3112" spans="1:9">
      <c r="A3112" s="1">
        <v>42557.7</v>
      </c>
      <c r="B3112" s="19">
        <v>42676</v>
      </c>
      <c r="C3112" s="21">
        <v>0.99444444444444446</v>
      </c>
      <c r="D3112" s="20" t="s">
        <v>3063</v>
      </c>
      <c r="E3112" t="s">
        <v>6</v>
      </c>
      <c r="F3112" t="s">
        <v>15</v>
      </c>
      <c r="G3112" t="s">
        <v>538</v>
      </c>
      <c r="H3112">
        <v>9</v>
      </c>
      <c r="I3112">
        <f t="shared" si="50"/>
        <v>12</v>
      </c>
    </row>
    <row r="3113" spans="1:9">
      <c r="A3113" s="1">
        <v>42557.6875</v>
      </c>
      <c r="B3113" s="19">
        <v>42676</v>
      </c>
      <c r="C3113" s="21">
        <v>0.92291666666666672</v>
      </c>
      <c r="D3113" s="20" t="s">
        <v>3049</v>
      </c>
      <c r="E3113" t="s">
        <v>6</v>
      </c>
      <c r="F3113" t="s">
        <v>21</v>
      </c>
      <c r="G3113" t="s">
        <v>1073</v>
      </c>
      <c r="H3113" t="e">
        <v>#VALUE!</v>
      </c>
      <c r="I3113" t="e">
        <f t="shared" si="50"/>
        <v>#VALUE!</v>
      </c>
    </row>
    <row r="3114" spans="1:9">
      <c r="A3114" s="1">
        <v>42557.677777777775</v>
      </c>
      <c r="B3114" s="19">
        <v>42676</v>
      </c>
      <c r="C3114" s="21">
        <v>0.79166666666666663</v>
      </c>
      <c r="D3114" s="20" t="s">
        <v>3046</v>
      </c>
      <c r="E3114" t="s">
        <v>6</v>
      </c>
      <c r="F3114" t="s">
        <v>21</v>
      </c>
      <c r="G3114" t="s">
        <v>1075</v>
      </c>
      <c r="H3114">
        <v>25</v>
      </c>
      <c r="I3114">
        <f t="shared" si="50"/>
        <v>31</v>
      </c>
    </row>
    <row r="3115" spans="1:9">
      <c r="A3115" s="1">
        <v>42557.67291666667</v>
      </c>
      <c r="B3115" s="19">
        <v>42676</v>
      </c>
      <c r="C3115" s="21">
        <v>0.72569444444444442</v>
      </c>
      <c r="D3115" s="20" t="s">
        <v>3044</v>
      </c>
      <c r="E3115" t="s">
        <v>6</v>
      </c>
      <c r="F3115" t="s">
        <v>21</v>
      </c>
      <c r="G3115" t="s">
        <v>83</v>
      </c>
      <c r="H3115">
        <v>9</v>
      </c>
      <c r="I3115">
        <f t="shared" si="50"/>
        <v>12</v>
      </c>
    </row>
    <row r="3116" spans="1:9">
      <c r="A3116" s="1">
        <v>42557.543055555558</v>
      </c>
      <c r="B3116" s="19">
        <v>42676</v>
      </c>
      <c r="C3116" s="21">
        <v>0.66666666666666663</v>
      </c>
      <c r="D3116" s="20" t="s">
        <v>3043</v>
      </c>
      <c r="E3116" t="s">
        <v>2</v>
      </c>
      <c r="G3116" t="s">
        <v>529</v>
      </c>
      <c r="H3116">
        <v>24</v>
      </c>
      <c r="I3116">
        <f t="shared" si="50"/>
        <v>30</v>
      </c>
    </row>
    <row r="3117" spans="1:9">
      <c r="A3117" s="1">
        <v>42557.532638888886</v>
      </c>
      <c r="B3117" s="19">
        <v>42676</v>
      </c>
      <c r="C3117" s="21">
        <v>0.58402777777777781</v>
      </c>
      <c r="D3117" s="20" t="s">
        <v>3040</v>
      </c>
      <c r="E3117" t="s">
        <v>2</v>
      </c>
      <c r="G3117" t="s">
        <v>9</v>
      </c>
      <c r="H3117">
        <v>13</v>
      </c>
      <c r="I3117">
        <f t="shared" si="50"/>
        <v>17</v>
      </c>
    </row>
    <row r="3118" spans="1:9">
      <c r="A3118" s="1">
        <v>42557.499305555553</v>
      </c>
      <c r="B3118" s="19">
        <v>42676</v>
      </c>
      <c r="C3118" s="21">
        <v>0.4777777777777778</v>
      </c>
      <c r="D3118" s="20" t="s">
        <v>3037</v>
      </c>
      <c r="E3118" t="s">
        <v>2</v>
      </c>
      <c r="F3118" t="s">
        <v>5</v>
      </c>
      <c r="G3118" t="s">
        <v>1076</v>
      </c>
      <c r="H3118" t="e">
        <v>#VALUE!</v>
      </c>
      <c r="I3118" t="e">
        <f t="shared" si="50"/>
        <v>#VALUE!</v>
      </c>
    </row>
    <row r="3119" spans="1:9">
      <c r="A3119" s="1">
        <v>42557.380555555559</v>
      </c>
      <c r="B3119" s="19">
        <v>42676</v>
      </c>
      <c r="C3119" s="21">
        <v>0.42222222222222222</v>
      </c>
      <c r="D3119" s="20" t="s">
        <v>3036</v>
      </c>
      <c r="E3119" t="s">
        <v>6</v>
      </c>
      <c r="F3119" t="s">
        <v>15</v>
      </c>
      <c r="G3119" t="s">
        <v>1077</v>
      </c>
      <c r="H3119">
        <v>7</v>
      </c>
      <c r="I3119">
        <f t="shared" si="50"/>
        <v>9</v>
      </c>
    </row>
    <row r="3120" spans="1:9">
      <c r="A3120" s="1">
        <v>42557.192361111112</v>
      </c>
      <c r="B3120" s="19">
        <v>42676</v>
      </c>
      <c r="C3120" s="21">
        <v>0.37222222222222223</v>
      </c>
      <c r="D3120" s="20" t="s">
        <v>3034</v>
      </c>
      <c r="E3120" t="s">
        <v>6</v>
      </c>
      <c r="F3120" t="s">
        <v>7</v>
      </c>
      <c r="G3120" t="s">
        <v>1078</v>
      </c>
      <c r="H3120">
        <v>9</v>
      </c>
      <c r="I3120">
        <f t="shared" si="50"/>
        <v>12</v>
      </c>
    </row>
    <row r="3121" spans="1:9">
      <c r="A3121" s="1">
        <v>42557.175000000003</v>
      </c>
      <c r="B3121" s="19">
        <v>42676</v>
      </c>
      <c r="C3121" s="21">
        <v>0.32291666666666669</v>
      </c>
      <c r="D3121" s="20" t="s">
        <v>3033</v>
      </c>
      <c r="E3121" t="s">
        <v>2</v>
      </c>
      <c r="F3121" t="s">
        <v>5</v>
      </c>
      <c r="H3121">
        <v>19</v>
      </c>
      <c r="I3121">
        <f t="shared" si="50"/>
        <v>24</v>
      </c>
    </row>
    <row r="3122" spans="1:9">
      <c r="A3122" s="1">
        <v>42557.048611111109</v>
      </c>
      <c r="B3122" s="19">
        <v>42676</v>
      </c>
      <c r="C3122" s="21">
        <v>0.28263888888888888</v>
      </c>
      <c r="D3122" s="20" t="s">
        <v>3031</v>
      </c>
      <c r="E3122" t="s">
        <v>6</v>
      </c>
      <c r="F3122" t="s">
        <v>21</v>
      </c>
      <c r="G3122" t="s">
        <v>1079</v>
      </c>
      <c r="H3122" t="e">
        <v>#VALUE!</v>
      </c>
      <c r="I3122" t="e">
        <f t="shared" si="50"/>
        <v>#VALUE!</v>
      </c>
    </row>
    <row r="3123" spans="1:9">
      <c r="A3123" s="1">
        <v>42557.006944444445</v>
      </c>
      <c r="B3123" s="19">
        <v>42676</v>
      </c>
      <c r="C3123" s="21">
        <v>0.28125</v>
      </c>
      <c r="D3123" s="20" t="s">
        <v>3031</v>
      </c>
      <c r="E3123" t="s">
        <v>6</v>
      </c>
      <c r="F3123" t="s">
        <v>26</v>
      </c>
      <c r="G3123" t="s">
        <v>1080</v>
      </c>
      <c r="H3123">
        <v>75</v>
      </c>
      <c r="I3123">
        <f t="shared" si="50"/>
        <v>93</v>
      </c>
    </row>
    <row r="3124" spans="1:9">
      <c r="A3124" s="1">
        <v>42556.981944444444</v>
      </c>
      <c r="B3124" s="19">
        <v>42676</v>
      </c>
      <c r="C3124" s="21">
        <v>0.91736111111111107</v>
      </c>
      <c r="D3124" s="20" t="s">
        <v>3049</v>
      </c>
      <c r="E3124" t="s">
        <v>18</v>
      </c>
      <c r="F3124" t="s">
        <v>100</v>
      </c>
      <c r="G3124" t="s">
        <v>1074</v>
      </c>
      <c r="H3124" t="e">
        <v>#VALUE!</v>
      </c>
      <c r="I3124" t="e">
        <f t="shared" si="50"/>
        <v>#VALUE!</v>
      </c>
    </row>
    <row r="3125" spans="1:9">
      <c r="A3125" s="1">
        <v>42556.95416666667</v>
      </c>
      <c r="B3125" s="19">
        <v>42676</v>
      </c>
      <c r="C3125" s="21">
        <v>0.25</v>
      </c>
      <c r="D3125" s="20" t="s">
        <v>3031</v>
      </c>
      <c r="E3125" t="s">
        <v>18</v>
      </c>
      <c r="F3125" t="s">
        <v>100</v>
      </c>
      <c r="H3125" t="e">
        <v>#VALUE!</v>
      </c>
      <c r="I3125" t="e">
        <f t="shared" si="50"/>
        <v>#VALUE!</v>
      </c>
    </row>
    <row r="3126" spans="1:9">
      <c r="A3126" s="1">
        <v>42556.899305555555</v>
      </c>
      <c r="B3126" s="19">
        <v>42676</v>
      </c>
      <c r="C3126" s="21">
        <v>0.24861111111111112</v>
      </c>
      <c r="D3126" s="20" t="s">
        <v>3055</v>
      </c>
      <c r="E3126" t="s">
        <v>0</v>
      </c>
      <c r="G3126" t="s">
        <v>1081</v>
      </c>
      <c r="H3126">
        <v>56</v>
      </c>
      <c r="I3126">
        <f t="shared" si="50"/>
        <v>70</v>
      </c>
    </row>
    <row r="3127" spans="1:9">
      <c r="A3127" s="1">
        <v>42556.625694444447</v>
      </c>
      <c r="B3127" s="19">
        <v>42677</v>
      </c>
      <c r="C3127" s="21">
        <v>0.99652777777777779</v>
      </c>
      <c r="D3127" s="20" t="s">
        <v>3063</v>
      </c>
      <c r="E3127" t="s">
        <v>6</v>
      </c>
      <c r="F3127" t="s">
        <v>21</v>
      </c>
      <c r="G3127" t="s">
        <v>1054</v>
      </c>
      <c r="H3127">
        <v>7</v>
      </c>
      <c r="I3127">
        <f t="shared" si="50"/>
        <v>9</v>
      </c>
    </row>
    <row r="3128" spans="1:9">
      <c r="A3128" s="1">
        <v>42556.623611111114</v>
      </c>
      <c r="B3128" s="19">
        <v>42677</v>
      </c>
      <c r="C3128" s="21">
        <v>0.95833333333333337</v>
      </c>
      <c r="D3128" s="20" t="s">
        <v>3063</v>
      </c>
      <c r="E3128" t="s">
        <v>6</v>
      </c>
      <c r="F3128" t="s">
        <v>12</v>
      </c>
      <c r="G3128" t="s">
        <v>1055</v>
      </c>
      <c r="H3128" t="e">
        <v>#VALUE!</v>
      </c>
      <c r="I3128" t="e">
        <f t="shared" si="50"/>
        <v>#VALUE!</v>
      </c>
    </row>
    <row r="3129" spans="1:9">
      <c r="A3129" s="1">
        <v>42556.595833333333</v>
      </c>
      <c r="B3129" s="19">
        <v>42677</v>
      </c>
      <c r="C3129" s="21">
        <v>0.71944444444444444</v>
      </c>
      <c r="D3129" s="20" t="s">
        <v>3044</v>
      </c>
      <c r="E3129" t="s">
        <v>6</v>
      </c>
      <c r="F3129" t="s">
        <v>12</v>
      </c>
      <c r="G3129" t="s">
        <v>1057</v>
      </c>
      <c r="H3129" t="e">
        <v>#VALUE!</v>
      </c>
      <c r="I3129" t="e">
        <f t="shared" si="50"/>
        <v>#VALUE!</v>
      </c>
    </row>
    <row r="3130" spans="1:9">
      <c r="A3130" s="1">
        <v>42556.581250000003</v>
      </c>
      <c r="B3130" s="19">
        <v>42677</v>
      </c>
      <c r="C3130" s="21">
        <v>0.64861111111111114</v>
      </c>
      <c r="D3130" s="20" t="s">
        <v>3042</v>
      </c>
      <c r="E3130" t="s">
        <v>2</v>
      </c>
      <c r="F3130" t="s">
        <v>48</v>
      </c>
      <c r="G3130" t="s">
        <v>1046</v>
      </c>
      <c r="H3130">
        <v>19</v>
      </c>
      <c r="I3130">
        <f t="shared" si="50"/>
        <v>24</v>
      </c>
    </row>
    <row r="3131" spans="1:9">
      <c r="A3131" s="1">
        <v>42556.524305555555</v>
      </c>
      <c r="B3131" s="19">
        <v>42677</v>
      </c>
      <c r="C3131" s="21">
        <v>0.62430555555555556</v>
      </c>
      <c r="D3131" s="20" t="s">
        <v>3040</v>
      </c>
      <c r="E3131" t="s">
        <v>6</v>
      </c>
      <c r="F3131" t="s">
        <v>7</v>
      </c>
      <c r="G3131" t="s">
        <v>65</v>
      </c>
      <c r="H3131">
        <v>7</v>
      </c>
      <c r="I3131">
        <f t="shared" si="50"/>
        <v>9</v>
      </c>
    </row>
    <row r="3132" spans="1:9">
      <c r="A3132" s="1">
        <v>42556.462500000001</v>
      </c>
      <c r="B3132" s="19">
        <v>42677</v>
      </c>
      <c r="C3132" s="21">
        <v>0.52430555555555558</v>
      </c>
      <c r="D3132" s="20" t="s">
        <v>3038</v>
      </c>
      <c r="E3132" t="s">
        <v>6</v>
      </c>
      <c r="F3132" t="s">
        <v>7</v>
      </c>
      <c r="G3132" t="s">
        <v>1060</v>
      </c>
      <c r="H3132">
        <v>31</v>
      </c>
      <c r="I3132">
        <f t="shared" si="50"/>
        <v>39</v>
      </c>
    </row>
    <row r="3133" spans="1:9">
      <c r="A3133" s="1">
        <v>42556.456250000003</v>
      </c>
      <c r="B3133" s="19">
        <v>42677</v>
      </c>
      <c r="C3133" s="21">
        <v>0.51041666666666663</v>
      </c>
      <c r="D3133" s="20" t="s">
        <v>3038</v>
      </c>
      <c r="E3133" t="s">
        <v>6</v>
      </c>
      <c r="F3133" t="s">
        <v>12</v>
      </c>
      <c r="G3133" t="s">
        <v>65</v>
      </c>
      <c r="H3133">
        <v>4</v>
      </c>
      <c r="I3133">
        <f t="shared" si="50"/>
        <v>5</v>
      </c>
    </row>
    <row r="3134" spans="1:9">
      <c r="A3134" s="1">
        <v>42556.395138888889</v>
      </c>
      <c r="B3134" s="19">
        <v>42677</v>
      </c>
      <c r="C3134" s="21">
        <v>0.47847222222222224</v>
      </c>
      <c r="D3134" s="20" t="s">
        <v>3037</v>
      </c>
      <c r="E3134" t="s">
        <v>6</v>
      </c>
      <c r="F3134" t="s">
        <v>46</v>
      </c>
      <c r="G3134" t="s">
        <v>1062</v>
      </c>
      <c r="H3134">
        <v>50</v>
      </c>
      <c r="I3134">
        <f t="shared" si="50"/>
        <v>62</v>
      </c>
    </row>
    <row r="3135" spans="1:9">
      <c r="A3135" s="1">
        <v>42556.09375</v>
      </c>
      <c r="B3135" s="19">
        <v>42677</v>
      </c>
      <c r="C3135" s="21">
        <v>0.44513888888888886</v>
      </c>
      <c r="D3135" s="20" t="s">
        <v>3036</v>
      </c>
      <c r="E3135" t="s">
        <v>2</v>
      </c>
      <c r="F3135" t="s">
        <v>5</v>
      </c>
      <c r="G3135" t="s">
        <v>1063</v>
      </c>
      <c r="H3135">
        <v>10</v>
      </c>
      <c r="I3135">
        <f t="shared" si="50"/>
        <v>13</v>
      </c>
    </row>
    <row r="3136" spans="1:9">
      <c r="A3136" s="1">
        <v>42556.968055555553</v>
      </c>
      <c r="B3136" s="19">
        <v>42677</v>
      </c>
      <c r="C3136" s="21">
        <v>0.36180555555555555</v>
      </c>
      <c r="D3136" s="20" t="s">
        <v>3034</v>
      </c>
      <c r="E3136" t="s">
        <v>6</v>
      </c>
      <c r="F3136" t="s">
        <v>46</v>
      </c>
      <c r="G3136" t="s">
        <v>1064</v>
      </c>
      <c r="H3136">
        <v>13</v>
      </c>
      <c r="I3136">
        <f t="shared" si="50"/>
        <v>17</v>
      </c>
    </row>
    <row r="3137" spans="1:9">
      <c r="A3137" s="1">
        <v>42556.961111111108</v>
      </c>
      <c r="B3137" s="19">
        <v>42677</v>
      </c>
      <c r="C3137" s="21">
        <v>0.31180555555555556</v>
      </c>
      <c r="D3137" s="20" t="s">
        <v>3033</v>
      </c>
      <c r="E3137" t="s">
        <v>2</v>
      </c>
      <c r="F3137" t="s">
        <v>5</v>
      </c>
      <c r="G3137" t="s">
        <v>103</v>
      </c>
      <c r="H3137">
        <v>75</v>
      </c>
      <c r="I3137">
        <f t="shared" si="50"/>
        <v>93</v>
      </c>
    </row>
    <row r="3138" spans="1:9">
      <c r="A3138" s="1">
        <v>42556.868055555555</v>
      </c>
      <c r="B3138" s="19">
        <v>42677</v>
      </c>
      <c r="C3138" s="21">
        <v>0.29652777777777778</v>
      </c>
      <c r="D3138" s="20" t="s">
        <v>3033</v>
      </c>
      <c r="E3138" t="s">
        <v>6</v>
      </c>
      <c r="F3138" t="s">
        <v>21</v>
      </c>
      <c r="G3138" t="s">
        <v>1065</v>
      </c>
      <c r="H3138" t="e">
        <v>#VALUE!</v>
      </c>
      <c r="I3138" t="e">
        <f t="shared" si="50"/>
        <v>#VALUE!</v>
      </c>
    </row>
    <row r="3139" spans="1:9">
      <c r="A3139" s="1">
        <v>42556.839583333334</v>
      </c>
      <c r="B3139" s="19">
        <v>42677</v>
      </c>
      <c r="C3139" s="21">
        <v>0.28888888888888886</v>
      </c>
      <c r="D3139" s="20" t="s">
        <v>3031</v>
      </c>
      <c r="E3139" t="s">
        <v>6</v>
      </c>
      <c r="F3139" t="s">
        <v>7</v>
      </c>
      <c r="G3139" t="s">
        <v>1066</v>
      </c>
      <c r="H3139">
        <v>3</v>
      </c>
      <c r="I3139">
        <f t="shared" ref="I3139:I3202" si="51">ROUNDUP((H3139*1.24), 0)</f>
        <v>4</v>
      </c>
    </row>
    <row r="3140" spans="1:9">
      <c r="A3140" s="1">
        <v>42556.826388888891</v>
      </c>
      <c r="B3140" s="19">
        <v>42677</v>
      </c>
      <c r="C3140" s="21">
        <v>0.28819444444444442</v>
      </c>
      <c r="D3140" s="20" t="s">
        <v>3031</v>
      </c>
      <c r="E3140" t="s">
        <v>6</v>
      </c>
      <c r="F3140" t="s">
        <v>12</v>
      </c>
      <c r="G3140" t="s">
        <v>1067</v>
      </c>
      <c r="H3140">
        <v>4</v>
      </c>
      <c r="I3140">
        <f t="shared" si="51"/>
        <v>5</v>
      </c>
    </row>
    <row r="3141" spans="1:9">
      <c r="A3141" s="1">
        <v>42556.779861111114</v>
      </c>
      <c r="B3141" s="19">
        <v>42677</v>
      </c>
      <c r="C3141" s="21">
        <v>0.27430555555555558</v>
      </c>
      <c r="D3141" s="20" t="s">
        <v>3031</v>
      </c>
      <c r="E3141" t="s">
        <v>2</v>
      </c>
      <c r="F3141" t="s">
        <v>5</v>
      </c>
      <c r="H3141">
        <v>8</v>
      </c>
      <c r="I3141">
        <f t="shared" si="51"/>
        <v>10</v>
      </c>
    </row>
    <row r="3142" spans="1:9">
      <c r="A3142" s="1">
        <v>42556.722916666666</v>
      </c>
      <c r="B3142" s="19">
        <v>42677</v>
      </c>
      <c r="C3142" s="21">
        <v>0.25</v>
      </c>
      <c r="D3142" s="20" t="s">
        <v>3031</v>
      </c>
      <c r="E3142" t="s">
        <v>6</v>
      </c>
      <c r="F3142" t="s">
        <v>21</v>
      </c>
      <c r="G3142" t="s">
        <v>1069</v>
      </c>
      <c r="H3142">
        <v>62</v>
      </c>
      <c r="I3142">
        <f t="shared" si="51"/>
        <v>77</v>
      </c>
    </row>
    <row r="3143" spans="1:9" ht="43.2">
      <c r="A3143" s="1">
        <v>42556.719444444447</v>
      </c>
      <c r="B3143" s="19">
        <v>42677</v>
      </c>
      <c r="C3143" s="21">
        <v>0.14027777777777778</v>
      </c>
      <c r="D3143" s="20" t="s">
        <v>3053</v>
      </c>
      <c r="E3143" t="s">
        <v>6</v>
      </c>
      <c r="F3143" t="s">
        <v>21</v>
      </c>
      <c r="G3143" s="2" t="s">
        <v>1070</v>
      </c>
      <c r="H3143" t="e">
        <v>#VALUE!</v>
      </c>
      <c r="I3143" t="e">
        <f t="shared" si="51"/>
        <v>#VALUE!</v>
      </c>
    </row>
    <row r="3144" spans="1:9">
      <c r="A3144" s="1">
        <v>42556.652777777781</v>
      </c>
      <c r="B3144" s="19">
        <v>42677</v>
      </c>
      <c r="C3144" s="21">
        <v>3.8194444444444448E-2</v>
      </c>
      <c r="D3144" s="20" t="s">
        <v>3050</v>
      </c>
      <c r="E3144" t="s">
        <v>2</v>
      </c>
      <c r="F3144" t="s">
        <v>5</v>
      </c>
      <c r="G3144" t="s">
        <v>1071</v>
      </c>
      <c r="H3144">
        <v>75</v>
      </c>
      <c r="I3144">
        <f t="shared" si="51"/>
        <v>93</v>
      </c>
    </row>
    <row r="3145" spans="1:9">
      <c r="A3145" s="1">
        <v>42556.588888888888</v>
      </c>
      <c r="B3145" s="19">
        <v>42677</v>
      </c>
      <c r="C3145" s="21">
        <v>4.8611111111111112E-3</v>
      </c>
      <c r="D3145" s="20" t="s">
        <v>3050</v>
      </c>
      <c r="E3145" t="s">
        <v>6</v>
      </c>
      <c r="F3145" t="s">
        <v>15</v>
      </c>
      <c r="G3145" t="s">
        <v>538</v>
      </c>
      <c r="H3145">
        <v>10</v>
      </c>
      <c r="I3145">
        <f t="shared" si="51"/>
        <v>13</v>
      </c>
    </row>
    <row r="3146" spans="1:9" ht="28.8">
      <c r="A3146" s="1">
        <v>42556.530555555553</v>
      </c>
      <c r="B3146" s="19">
        <v>42677</v>
      </c>
      <c r="C3146" s="21">
        <v>0.91874999999999996</v>
      </c>
      <c r="D3146" s="20" t="s">
        <v>3049</v>
      </c>
      <c r="E3146" t="s">
        <v>18</v>
      </c>
      <c r="F3146" t="s">
        <v>100</v>
      </c>
      <c r="G3146" s="2" t="s">
        <v>1056</v>
      </c>
      <c r="H3146" t="e">
        <v>#VALUE!</v>
      </c>
      <c r="I3146" t="e">
        <f t="shared" si="51"/>
        <v>#VALUE!</v>
      </c>
    </row>
    <row r="3147" spans="1:9">
      <c r="A3147" s="1">
        <v>42556.465277777781</v>
      </c>
      <c r="B3147" s="19">
        <v>42677</v>
      </c>
      <c r="C3147" s="21">
        <v>0.58888888888888891</v>
      </c>
      <c r="D3147" s="20" t="s">
        <v>3040</v>
      </c>
      <c r="E3147" t="s">
        <v>33</v>
      </c>
      <c r="G3147" t="s">
        <v>9</v>
      </c>
      <c r="H3147">
        <v>13</v>
      </c>
      <c r="I3147">
        <f t="shared" si="51"/>
        <v>17</v>
      </c>
    </row>
    <row r="3148" spans="1:9">
      <c r="A3148" s="1">
        <v>42556.381944444445</v>
      </c>
      <c r="B3148" s="19">
        <v>42677</v>
      </c>
      <c r="C3148" s="21">
        <v>0.57847222222222228</v>
      </c>
      <c r="D3148" s="20" t="s">
        <v>3039</v>
      </c>
      <c r="E3148" t="s">
        <v>0</v>
      </c>
      <c r="G3148" t="s">
        <v>1058</v>
      </c>
      <c r="H3148">
        <v>50</v>
      </c>
      <c r="I3148">
        <f t="shared" si="51"/>
        <v>62</v>
      </c>
    </row>
    <row r="3149" spans="1:9">
      <c r="A3149" s="1">
        <v>42556.368055555555</v>
      </c>
      <c r="B3149" s="19">
        <v>42677</v>
      </c>
      <c r="C3149" s="21">
        <v>0.52500000000000002</v>
      </c>
      <c r="D3149" s="20" t="s">
        <v>3038</v>
      </c>
      <c r="E3149" t="s">
        <v>0</v>
      </c>
      <c r="F3149" t="s">
        <v>75</v>
      </c>
      <c r="G3149" t="s">
        <v>1059</v>
      </c>
      <c r="H3149">
        <v>5</v>
      </c>
      <c r="I3149">
        <f t="shared" si="51"/>
        <v>7</v>
      </c>
    </row>
    <row r="3150" spans="1:9">
      <c r="A3150" s="1">
        <v>42556.27847222222</v>
      </c>
      <c r="B3150" s="19">
        <v>42677</v>
      </c>
      <c r="C3150" s="21">
        <v>0.51666666666666672</v>
      </c>
      <c r="D3150" s="20" t="s">
        <v>3038</v>
      </c>
      <c r="E3150" t="s">
        <v>33</v>
      </c>
      <c r="F3150" t="s">
        <v>155</v>
      </c>
      <c r="G3150" t="s">
        <v>1061</v>
      </c>
      <c r="H3150">
        <v>9</v>
      </c>
      <c r="I3150">
        <f t="shared" si="51"/>
        <v>12</v>
      </c>
    </row>
    <row r="3151" spans="1:9">
      <c r="A3151" s="1">
        <v>42556.177083333336</v>
      </c>
      <c r="B3151" s="19">
        <v>42677</v>
      </c>
      <c r="C3151" s="21">
        <v>0.25069444444444444</v>
      </c>
      <c r="D3151" s="20" t="s">
        <v>3031</v>
      </c>
      <c r="E3151" t="s">
        <v>18</v>
      </c>
      <c r="F3151" t="s">
        <v>100</v>
      </c>
      <c r="G3151" t="s">
        <v>1068</v>
      </c>
      <c r="H3151" t="e">
        <v>#VALUE!</v>
      </c>
      <c r="I3151" t="e">
        <f t="shared" si="51"/>
        <v>#VALUE!</v>
      </c>
    </row>
    <row r="3152" spans="1:9">
      <c r="A3152" s="1">
        <v>42555.947222222225</v>
      </c>
      <c r="B3152" s="19">
        <v>42677</v>
      </c>
      <c r="C3152" s="21">
        <v>1.0416666666666666E-2</v>
      </c>
      <c r="D3152" s="20" t="s">
        <v>3050</v>
      </c>
      <c r="E3152" t="s">
        <v>0</v>
      </c>
      <c r="G3152" t="s">
        <v>1072</v>
      </c>
      <c r="H3152">
        <v>14</v>
      </c>
      <c r="I3152">
        <f t="shared" si="51"/>
        <v>18</v>
      </c>
    </row>
    <row r="3153" spans="1:9">
      <c r="A3153" s="1">
        <v>42555.665972222225</v>
      </c>
      <c r="B3153" s="19">
        <v>42678</v>
      </c>
      <c r="C3153" s="21">
        <v>0.94444444444444442</v>
      </c>
      <c r="D3153" s="20" t="s">
        <v>3049</v>
      </c>
      <c r="E3153" t="s">
        <v>2</v>
      </c>
      <c r="F3153" t="s">
        <v>5</v>
      </c>
      <c r="G3153" t="s">
        <v>67</v>
      </c>
      <c r="H3153">
        <v>81</v>
      </c>
      <c r="I3153">
        <f t="shared" si="51"/>
        <v>101</v>
      </c>
    </row>
    <row r="3154" spans="1:9">
      <c r="A3154" s="1">
        <v>42555.665277777778</v>
      </c>
      <c r="B3154" s="19">
        <v>42678</v>
      </c>
      <c r="C3154" s="21">
        <v>0.92361111111111116</v>
      </c>
      <c r="D3154" s="20" t="s">
        <v>3049</v>
      </c>
      <c r="E3154" t="s">
        <v>6</v>
      </c>
      <c r="F3154" t="s">
        <v>12</v>
      </c>
      <c r="G3154" t="s">
        <v>65</v>
      </c>
      <c r="H3154" t="e">
        <v>#VALUE!</v>
      </c>
      <c r="I3154" t="e">
        <f t="shared" si="51"/>
        <v>#VALUE!</v>
      </c>
    </row>
    <row r="3155" spans="1:9">
      <c r="A3155" s="1">
        <v>42555.601388888892</v>
      </c>
      <c r="B3155" s="19">
        <v>42678</v>
      </c>
      <c r="C3155" s="21">
        <v>0.72499999999999998</v>
      </c>
      <c r="D3155" s="20" t="s">
        <v>3044</v>
      </c>
      <c r="E3155" t="s">
        <v>2</v>
      </c>
      <c r="F3155" t="s">
        <v>5</v>
      </c>
      <c r="G3155" t="s">
        <v>1044</v>
      </c>
      <c r="H3155">
        <v>13</v>
      </c>
      <c r="I3155">
        <f t="shared" si="51"/>
        <v>17</v>
      </c>
    </row>
    <row r="3156" spans="1:9">
      <c r="A3156" s="1">
        <v>42555.592361111114</v>
      </c>
      <c r="B3156" s="19">
        <v>42678</v>
      </c>
      <c r="C3156" s="21">
        <v>0.62569444444444444</v>
      </c>
      <c r="D3156" s="20" t="s">
        <v>3042</v>
      </c>
      <c r="E3156" t="s">
        <v>6</v>
      </c>
      <c r="F3156" t="s">
        <v>12</v>
      </c>
      <c r="G3156" t="s">
        <v>1045</v>
      </c>
      <c r="H3156" t="e">
        <v>#VALUE!</v>
      </c>
      <c r="I3156" t="e">
        <f t="shared" si="51"/>
        <v>#VALUE!</v>
      </c>
    </row>
    <row r="3157" spans="1:9">
      <c r="A3157" s="1">
        <v>42555.573611111111</v>
      </c>
      <c r="B3157" s="19">
        <v>42678</v>
      </c>
      <c r="C3157" s="21">
        <v>0.59791666666666665</v>
      </c>
      <c r="D3157" s="20" t="s">
        <v>3040</v>
      </c>
      <c r="E3157" t="s">
        <v>2</v>
      </c>
      <c r="F3157" t="s">
        <v>48</v>
      </c>
      <c r="G3157" t="s">
        <v>1046</v>
      </c>
      <c r="H3157">
        <v>50</v>
      </c>
      <c r="I3157">
        <f t="shared" si="51"/>
        <v>62</v>
      </c>
    </row>
    <row r="3158" spans="1:9">
      <c r="A3158" s="1">
        <v>42555.560416666667</v>
      </c>
      <c r="B3158" s="19">
        <v>42678</v>
      </c>
      <c r="C3158" s="21">
        <v>0.51666666666666672</v>
      </c>
      <c r="D3158" s="20" t="s">
        <v>3038</v>
      </c>
      <c r="E3158" t="s">
        <v>2</v>
      </c>
      <c r="F3158" t="s">
        <v>48</v>
      </c>
      <c r="G3158" t="s">
        <v>1047</v>
      </c>
      <c r="H3158">
        <v>25</v>
      </c>
      <c r="I3158">
        <f t="shared" si="51"/>
        <v>31</v>
      </c>
    </row>
    <row r="3159" spans="1:9">
      <c r="A3159" s="1">
        <v>42555.990972222222</v>
      </c>
      <c r="B3159" s="19">
        <v>42678</v>
      </c>
      <c r="C3159" s="21">
        <v>0.48958333333333331</v>
      </c>
      <c r="D3159" s="20" t="s">
        <v>3037</v>
      </c>
      <c r="E3159" t="s">
        <v>2</v>
      </c>
      <c r="F3159" t="s">
        <v>3</v>
      </c>
      <c r="G3159" t="s">
        <v>1048</v>
      </c>
      <c r="H3159">
        <v>7</v>
      </c>
      <c r="I3159">
        <f t="shared" si="51"/>
        <v>9</v>
      </c>
    </row>
    <row r="3160" spans="1:9">
      <c r="A3160" s="1">
        <v>42555.965277777781</v>
      </c>
      <c r="B3160" s="19">
        <v>42678</v>
      </c>
      <c r="C3160" s="21">
        <v>0.33819444444444446</v>
      </c>
      <c r="D3160" s="20" t="s">
        <v>3034</v>
      </c>
      <c r="E3160" t="s">
        <v>6</v>
      </c>
      <c r="F3160" t="s">
        <v>15</v>
      </c>
      <c r="G3160" t="s">
        <v>1050</v>
      </c>
      <c r="H3160">
        <v>13</v>
      </c>
      <c r="I3160">
        <f t="shared" si="51"/>
        <v>17</v>
      </c>
    </row>
    <row r="3161" spans="1:9">
      <c r="A3161" s="1">
        <v>42555.850694444445</v>
      </c>
      <c r="B3161" s="19">
        <v>42678</v>
      </c>
      <c r="C3161" s="21">
        <v>0.3298611111111111</v>
      </c>
      <c r="D3161" s="20" t="s">
        <v>3033</v>
      </c>
      <c r="E3161" t="s">
        <v>2</v>
      </c>
      <c r="F3161" t="s">
        <v>48</v>
      </c>
      <c r="G3161" t="s">
        <v>1051</v>
      </c>
      <c r="H3161">
        <v>5</v>
      </c>
      <c r="I3161">
        <f t="shared" si="51"/>
        <v>7</v>
      </c>
    </row>
    <row r="3162" spans="1:9">
      <c r="A3162" s="1">
        <v>42555.838194444441</v>
      </c>
      <c r="B3162" s="19">
        <v>42678</v>
      </c>
      <c r="C3162" s="21">
        <v>0.3215277777777778</v>
      </c>
      <c r="D3162" s="20" t="s">
        <v>3033</v>
      </c>
      <c r="E3162" t="s">
        <v>6</v>
      </c>
      <c r="F3162" t="s">
        <v>21</v>
      </c>
      <c r="G3162" t="s">
        <v>1050</v>
      </c>
      <c r="H3162">
        <v>13</v>
      </c>
      <c r="I3162">
        <f t="shared" si="51"/>
        <v>17</v>
      </c>
    </row>
    <row r="3163" spans="1:9">
      <c r="A3163" s="1">
        <v>42555.795138888891</v>
      </c>
      <c r="B3163" s="19">
        <v>42678</v>
      </c>
      <c r="C3163" s="21">
        <v>0.2722222222222222</v>
      </c>
      <c r="D3163" s="20" t="s">
        <v>3031</v>
      </c>
      <c r="E3163" t="s">
        <v>6</v>
      </c>
      <c r="F3163" t="s">
        <v>12</v>
      </c>
      <c r="G3163" t="s">
        <v>65</v>
      </c>
      <c r="H3163" t="e">
        <v>#VALUE!</v>
      </c>
      <c r="I3163" t="e">
        <f t="shared" si="51"/>
        <v>#VALUE!</v>
      </c>
    </row>
    <row r="3164" spans="1:9">
      <c r="A3164" s="1">
        <v>42555.784722222219</v>
      </c>
      <c r="B3164" s="19">
        <v>42678</v>
      </c>
      <c r="C3164" s="21">
        <v>0.16319444444444445</v>
      </c>
      <c r="D3164" s="20" t="s">
        <v>3053</v>
      </c>
      <c r="E3164" t="s">
        <v>6</v>
      </c>
      <c r="F3164" t="s">
        <v>12</v>
      </c>
      <c r="G3164" t="s">
        <v>1053</v>
      </c>
      <c r="H3164">
        <v>8</v>
      </c>
      <c r="I3164">
        <f t="shared" si="51"/>
        <v>10</v>
      </c>
    </row>
    <row r="3165" spans="1:9" ht="43.2">
      <c r="A3165" s="1">
        <v>42555.706250000003</v>
      </c>
      <c r="B3165" s="19">
        <v>42678</v>
      </c>
      <c r="C3165" s="21">
        <v>0.92083333333333328</v>
      </c>
      <c r="D3165" s="20" t="s">
        <v>3049</v>
      </c>
      <c r="E3165" t="s">
        <v>18</v>
      </c>
      <c r="F3165" t="s">
        <v>100</v>
      </c>
      <c r="G3165" s="2" t="s">
        <v>1042</v>
      </c>
      <c r="H3165" t="e">
        <v>#VALUE!</v>
      </c>
      <c r="I3165" t="e">
        <f t="shared" si="51"/>
        <v>#VALUE!</v>
      </c>
    </row>
    <row r="3166" spans="1:9">
      <c r="A3166" s="1">
        <v>42551.413194444445</v>
      </c>
      <c r="B3166" s="19">
        <v>42678</v>
      </c>
      <c r="C3166" s="21">
        <v>0.89652777777777781</v>
      </c>
      <c r="D3166" s="20" t="s">
        <v>3048</v>
      </c>
      <c r="E3166" t="s">
        <v>77</v>
      </c>
      <c r="F3166" t="s">
        <v>78</v>
      </c>
      <c r="G3166" t="s">
        <v>1043</v>
      </c>
      <c r="H3166">
        <v>10</v>
      </c>
      <c r="I3166">
        <f t="shared" si="51"/>
        <v>13</v>
      </c>
    </row>
    <row r="3167" spans="1:9">
      <c r="A3167" s="1">
        <v>42551.324999999997</v>
      </c>
      <c r="B3167" s="19">
        <v>42678</v>
      </c>
      <c r="C3167" s="21">
        <v>0.58680555555555558</v>
      </c>
      <c r="D3167" s="20" t="s">
        <v>3040</v>
      </c>
      <c r="E3167" t="s">
        <v>33</v>
      </c>
      <c r="G3167" t="s">
        <v>9</v>
      </c>
      <c r="H3167">
        <v>10</v>
      </c>
      <c r="I3167">
        <f t="shared" si="51"/>
        <v>13</v>
      </c>
    </row>
    <row r="3168" spans="1:9">
      <c r="A3168" s="1">
        <v>42550.56527777778</v>
      </c>
      <c r="B3168" s="19">
        <v>42678</v>
      </c>
      <c r="C3168" s="21">
        <v>0.48888888888888887</v>
      </c>
      <c r="D3168" s="20" t="s">
        <v>3037</v>
      </c>
      <c r="E3168" t="s">
        <v>0</v>
      </c>
      <c r="G3168" t="s">
        <v>1049</v>
      </c>
      <c r="H3168">
        <v>7</v>
      </c>
      <c r="I3168">
        <f t="shared" si="51"/>
        <v>9</v>
      </c>
    </row>
    <row r="3169" spans="1:9">
      <c r="A3169" s="1">
        <v>42550.452777777777</v>
      </c>
      <c r="B3169" s="19">
        <v>42678</v>
      </c>
      <c r="C3169" s="21">
        <v>0.25555555555555554</v>
      </c>
      <c r="D3169" s="20" t="s">
        <v>3031</v>
      </c>
      <c r="E3169" t="s">
        <v>0</v>
      </c>
      <c r="G3169" t="s">
        <v>961</v>
      </c>
      <c r="H3169">
        <v>19</v>
      </c>
      <c r="I3169">
        <f t="shared" si="51"/>
        <v>24</v>
      </c>
    </row>
    <row r="3170" spans="1:9">
      <c r="A3170" s="1">
        <v>42550.436111111114</v>
      </c>
      <c r="B3170" s="19">
        <v>42678</v>
      </c>
      <c r="C3170" s="21">
        <v>0.24861111111111112</v>
      </c>
      <c r="D3170" s="20" t="s">
        <v>3055</v>
      </c>
      <c r="E3170" t="s">
        <v>18</v>
      </c>
      <c r="F3170" t="s">
        <v>100</v>
      </c>
      <c r="G3170" t="s">
        <v>1052</v>
      </c>
      <c r="H3170" t="e">
        <v>#VALUE!</v>
      </c>
      <c r="I3170" t="e">
        <f t="shared" si="51"/>
        <v>#VALUE!</v>
      </c>
    </row>
    <row r="3171" spans="1:9">
      <c r="A3171" s="1">
        <v>42550.392361111109</v>
      </c>
      <c r="B3171" s="19">
        <v>42679</v>
      </c>
      <c r="C3171" s="21">
        <v>0.51041666666666663</v>
      </c>
      <c r="D3171" s="20" t="s">
        <v>3038</v>
      </c>
      <c r="E3171" t="s">
        <v>6</v>
      </c>
      <c r="F3171" t="s">
        <v>12</v>
      </c>
      <c r="G3171" t="s">
        <v>1032</v>
      </c>
      <c r="H3171" t="e">
        <v>#VALUE!</v>
      </c>
      <c r="I3171" t="e">
        <f t="shared" si="51"/>
        <v>#VALUE!</v>
      </c>
    </row>
    <row r="3172" spans="1:9">
      <c r="A3172" s="1">
        <v>42550.058333333334</v>
      </c>
      <c r="B3172" s="19">
        <v>42679</v>
      </c>
      <c r="C3172" s="21">
        <v>0.47361111111111109</v>
      </c>
      <c r="D3172" s="20" t="s">
        <v>3037</v>
      </c>
      <c r="E3172" t="s">
        <v>2</v>
      </c>
      <c r="F3172" t="s">
        <v>5</v>
      </c>
      <c r="G3172" t="s">
        <v>1033</v>
      </c>
      <c r="H3172">
        <v>31</v>
      </c>
      <c r="I3172">
        <f t="shared" si="51"/>
        <v>39</v>
      </c>
    </row>
    <row r="3173" spans="1:9">
      <c r="A3173" s="1">
        <v>42550.052777777775</v>
      </c>
      <c r="B3173" s="19">
        <v>42679</v>
      </c>
      <c r="C3173" s="21">
        <v>0.4</v>
      </c>
      <c r="D3173" s="20" t="s">
        <v>3035</v>
      </c>
      <c r="E3173" t="s">
        <v>6</v>
      </c>
      <c r="F3173" t="s">
        <v>7</v>
      </c>
      <c r="G3173" t="s">
        <v>1034</v>
      </c>
      <c r="H3173">
        <v>30</v>
      </c>
      <c r="I3173">
        <f t="shared" si="51"/>
        <v>38</v>
      </c>
    </row>
    <row r="3174" spans="1:9">
      <c r="A3174" s="1">
        <v>42549.920138888891</v>
      </c>
      <c r="B3174" s="19">
        <v>42679</v>
      </c>
      <c r="C3174" s="21">
        <v>0.28749999999999998</v>
      </c>
      <c r="D3174" s="20" t="s">
        <v>3031</v>
      </c>
      <c r="E3174" t="s">
        <v>2</v>
      </c>
      <c r="F3174" t="s">
        <v>5</v>
      </c>
      <c r="G3174" t="s">
        <v>1035</v>
      </c>
      <c r="H3174">
        <v>13</v>
      </c>
      <c r="I3174">
        <f t="shared" si="51"/>
        <v>17</v>
      </c>
    </row>
    <row r="3175" spans="1:9">
      <c r="A3175" s="1">
        <v>42549.831250000003</v>
      </c>
      <c r="B3175" s="19">
        <v>42679</v>
      </c>
      <c r="C3175" s="21">
        <v>0.25</v>
      </c>
      <c r="D3175" s="20" t="s">
        <v>3031</v>
      </c>
      <c r="E3175" t="s">
        <v>6</v>
      </c>
      <c r="F3175" t="s">
        <v>15</v>
      </c>
      <c r="G3175" t="s">
        <v>1037</v>
      </c>
      <c r="H3175">
        <v>62</v>
      </c>
      <c r="I3175">
        <f t="shared" si="51"/>
        <v>77</v>
      </c>
    </row>
    <row r="3176" spans="1:9">
      <c r="A3176" s="1">
        <v>42549.647222222222</v>
      </c>
      <c r="B3176" s="19">
        <v>42679</v>
      </c>
      <c r="C3176" s="21">
        <v>0.17916666666666667</v>
      </c>
      <c r="D3176" s="20" t="s">
        <v>3054</v>
      </c>
      <c r="E3176" t="s">
        <v>2</v>
      </c>
      <c r="F3176" t="s">
        <v>5</v>
      </c>
      <c r="G3176" t="s">
        <v>1038</v>
      </c>
      <c r="H3176">
        <v>69</v>
      </c>
      <c r="I3176">
        <f t="shared" si="51"/>
        <v>86</v>
      </c>
    </row>
    <row r="3177" spans="1:9">
      <c r="A3177" s="1">
        <v>42549.584027777775</v>
      </c>
      <c r="B3177" s="19">
        <v>42679</v>
      </c>
      <c r="C3177" s="21">
        <v>0.16875000000000001</v>
      </c>
      <c r="D3177" s="20" t="s">
        <v>3054</v>
      </c>
      <c r="E3177" t="s">
        <v>6</v>
      </c>
      <c r="F3177" t="s">
        <v>15</v>
      </c>
      <c r="G3177" t="s">
        <v>1039</v>
      </c>
      <c r="H3177">
        <v>19</v>
      </c>
      <c r="I3177">
        <f t="shared" si="51"/>
        <v>24</v>
      </c>
    </row>
    <row r="3178" spans="1:9">
      <c r="A3178" s="1">
        <v>42549.57708333333</v>
      </c>
      <c r="B3178" s="19">
        <v>42679</v>
      </c>
      <c r="C3178" s="21">
        <v>0.15694444444444444</v>
      </c>
      <c r="D3178" s="20" t="s">
        <v>3053</v>
      </c>
      <c r="E3178" t="s">
        <v>6</v>
      </c>
      <c r="F3178" t="s">
        <v>7</v>
      </c>
      <c r="G3178" t="s">
        <v>1040</v>
      </c>
      <c r="H3178">
        <v>8</v>
      </c>
      <c r="I3178">
        <f t="shared" si="51"/>
        <v>10</v>
      </c>
    </row>
    <row r="3179" spans="1:9">
      <c r="A3179" s="1">
        <v>42549.553472222222</v>
      </c>
      <c r="B3179" s="19">
        <v>42679</v>
      </c>
      <c r="C3179" s="21">
        <v>0.25555555555555554</v>
      </c>
      <c r="D3179" s="20" t="s">
        <v>3031</v>
      </c>
      <c r="E3179" t="s">
        <v>0</v>
      </c>
      <c r="G3179" t="s">
        <v>961</v>
      </c>
      <c r="H3179">
        <v>13</v>
      </c>
      <c r="I3179">
        <f t="shared" si="51"/>
        <v>17</v>
      </c>
    </row>
    <row r="3180" spans="1:9">
      <c r="A3180" s="1">
        <v>42549.498611111114</v>
      </c>
      <c r="B3180" s="19">
        <v>42679</v>
      </c>
      <c r="C3180" s="21">
        <v>0.25555555555555554</v>
      </c>
      <c r="D3180" s="20" t="s">
        <v>3031</v>
      </c>
      <c r="E3180" t="s">
        <v>18</v>
      </c>
      <c r="F3180" t="s">
        <v>100</v>
      </c>
      <c r="G3180" t="s">
        <v>1036</v>
      </c>
      <c r="H3180" t="e">
        <v>#VALUE!</v>
      </c>
      <c r="I3180" t="e">
        <f t="shared" si="51"/>
        <v>#VALUE!</v>
      </c>
    </row>
    <row r="3181" spans="1:9">
      <c r="A3181" s="1">
        <v>42549.442361111112</v>
      </c>
      <c r="B3181" s="19">
        <v>42679</v>
      </c>
      <c r="C3181" s="21">
        <v>4.2361111111111113E-2</v>
      </c>
      <c r="D3181" s="20" t="s">
        <v>3051</v>
      </c>
      <c r="E3181" t="s">
        <v>18</v>
      </c>
      <c r="F3181" t="s">
        <v>100</v>
      </c>
      <c r="G3181" t="s">
        <v>1041</v>
      </c>
      <c r="H3181">
        <v>75</v>
      </c>
      <c r="I3181">
        <f t="shared" si="51"/>
        <v>93</v>
      </c>
    </row>
    <row r="3182" spans="1:9">
      <c r="A3182" s="1">
        <v>42549.007638888892</v>
      </c>
      <c r="B3182" s="19">
        <v>42681</v>
      </c>
      <c r="C3182" s="21">
        <v>0.96180555555555558</v>
      </c>
      <c r="D3182" s="20" t="s">
        <v>3063</v>
      </c>
      <c r="E3182" t="s">
        <v>6</v>
      </c>
      <c r="F3182" t="s">
        <v>21</v>
      </c>
      <c r="G3182" t="s">
        <v>126</v>
      </c>
      <c r="H3182">
        <v>10</v>
      </c>
      <c r="I3182">
        <f t="shared" si="51"/>
        <v>13</v>
      </c>
    </row>
    <row r="3183" spans="1:9">
      <c r="A3183" s="1">
        <v>42549.981249999997</v>
      </c>
      <c r="B3183" s="19">
        <v>42681</v>
      </c>
      <c r="C3183" s="21">
        <v>0.58958333333333335</v>
      </c>
      <c r="D3183" s="20" t="s">
        <v>3040</v>
      </c>
      <c r="E3183" t="s">
        <v>6</v>
      </c>
      <c r="F3183" t="s">
        <v>12</v>
      </c>
      <c r="G3183" t="s">
        <v>1027</v>
      </c>
      <c r="H3183" t="e">
        <v>#VALUE!</v>
      </c>
      <c r="I3183" t="e">
        <f t="shared" si="51"/>
        <v>#VALUE!</v>
      </c>
    </row>
    <row r="3184" spans="1:9">
      <c r="A3184" s="1">
        <v>42549.961805555555</v>
      </c>
      <c r="B3184" s="19">
        <v>42681</v>
      </c>
      <c r="C3184" s="21">
        <v>0.43125000000000002</v>
      </c>
      <c r="D3184" s="20" t="s">
        <v>3036</v>
      </c>
      <c r="E3184" t="s">
        <v>6</v>
      </c>
      <c r="F3184" t="s">
        <v>12</v>
      </c>
      <c r="G3184" t="s">
        <v>65</v>
      </c>
      <c r="H3184">
        <v>0</v>
      </c>
      <c r="I3184">
        <f t="shared" si="51"/>
        <v>0</v>
      </c>
    </row>
    <row r="3185" spans="1:9">
      <c r="A3185" s="1">
        <v>42549.90347222222</v>
      </c>
      <c r="B3185" s="19">
        <v>42681</v>
      </c>
      <c r="C3185" s="21">
        <v>0.35555555555555557</v>
      </c>
      <c r="D3185" s="20" t="s">
        <v>3034</v>
      </c>
      <c r="E3185" t="s">
        <v>6</v>
      </c>
      <c r="F3185" t="s">
        <v>7</v>
      </c>
      <c r="G3185" t="s">
        <v>1028</v>
      </c>
      <c r="H3185">
        <v>38</v>
      </c>
      <c r="I3185">
        <f t="shared" si="51"/>
        <v>48</v>
      </c>
    </row>
    <row r="3186" spans="1:9">
      <c r="A3186" s="1">
        <v>42549.640277777777</v>
      </c>
      <c r="B3186" s="19">
        <v>42681</v>
      </c>
      <c r="C3186" s="21">
        <v>0.30555555555555558</v>
      </c>
      <c r="D3186" s="20" t="s">
        <v>3033</v>
      </c>
      <c r="E3186" t="s">
        <v>2</v>
      </c>
      <c r="F3186" t="s">
        <v>5</v>
      </c>
      <c r="G3186" t="s">
        <v>1029</v>
      </c>
      <c r="H3186">
        <v>14</v>
      </c>
      <c r="I3186">
        <f t="shared" si="51"/>
        <v>18</v>
      </c>
    </row>
    <row r="3187" spans="1:9">
      <c r="A3187" s="1">
        <v>42549.51458333333</v>
      </c>
      <c r="B3187" s="19">
        <v>42681</v>
      </c>
      <c r="C3187" s="21">
        <v>0.2722222222222222</v>
      </c>
      <c r="D3187" s="20" t="s">
        <v>3031</v>
      </c>
      <c r="E3187" t="s">
        <v>2</v>
      </c>
      <c r="F3187" t="s">
        <v>5</v>
      </c>
      <c r="G3187" t="s">
        <v>1030</v>
      </c>
      <c r="H3187">
        <v>62</v>
      </c>
      <c r="I3187">
        <f t="shared" si="51"/>
        <v>77</v>
      </c>
    </row>
    <row r="3188" spans="1:9">
      <c r="A3188" s="1">
        <v>42549.366666666669</v>
      </c>
      <c r="B3188" s="19">
        <v>42681</v>
      </c>
      <c r="C3188" s="21">
        <v>0.25277777777777777</v>
      </c>
      <c r="D3188" s="20" t="s">
        <v>3031</v>
      </c>
      <c r="E3188" t="s">
        <v>6</v>
      </c>
      <c r="F3188" t="s">
        <v>15</v>
      </c>
      <c r="G3188" t="s">
        <v>1031</v>
      </c>
      <c r="H3188">
        <v>33</v>
      </c>
      <c r="I3188">
        <f t="shared" si="51"/>
        <v>41</v>
      </c>
    </row>
    <row r="3189" spans="1:9">
      <c r="A3189" s="1">
        <v>42549.331250000003</v>
      </c>
      <c r="B3189" s="19">
        <v>42681</v>
      </c>
      <c r="C3189" s="21">
        <v>0.9194444444444444</v>
      </c>
      <c r="D3189" s="20" t="s">
        <v>3049</v>
      </c>
      <c r="E3189" t="s">
        <v>0</v>
      </c>
      <c r="G3189" t="s">
        <v>525</v>
      </c>
      <c r="H3189">
        <v>13</v>
      </c>
      <c r="I3189">
        <f t="shared" si="51"/>
        <v>17</v>
      </c>
    </row>
    <row r="3190" spans="1:9">
      <c r="A3190" s="1">
        <v>42549.309027777781</v>
      </c>
      <c r="B3190" s="19">
        <v>42681</v>
      </c>
      <c r="C3190" s="21">
        <v>0.91736111111111107</v>
      </c>
      <c r="D3190" s="20" t="s">
        <v>3049</v>
      </c>
      <c r="E3190" t="s">
        <v>18</v>
      </c>
      <c r="F3190" t="s">
        <v>100</v>
      </c>
      <c r="G3190" t="s">
        <v>1025</v>
      </c>
      <c r="H3190" t="e">
        <v>#VALUE!</v>
      </c>
      <c r="I3190" t="e">
        <f t="shared" si="51"/>
        <v>#VALUE!</v>
      </c>
    </row>
    <row r="3191" spans="1:9">
      <c r="A3191" s="1">
        <v>42549.286111111112</v>
      </c>
      <c r="B3191" s="19">
        <v>42681</v>
      </c>
      <c r="C3191" s="21">
        <v>0.78055555555555556</v>
      </c>
      <c r="D3191" s="20" t="s">
        <v>3045</v>
      </c>
      <c r="E3191" t="s">
        <v>0</v>
      </c>
      <c r="G3191" t="s">
        <v>889</v>
      </c>
      <c r="H3191">
        <v>25</v>
      </c>
      <c r="I3191">
        <f t="shared" si="51"/>
        <v>31</v>
      </c>
    </row>
    <row r="3192" spans="1:9">
      <c r="A3192" s="1">
        <v>42549.276388888888</v>
      </c>
      <c r="B3192" s="19">
        <v>42681</v>
      </c>
      <c r="C3192" s="21">
        <v>0.7104166666666667</v>
      </c>
      <c r="D3192" s="20" t="s">
        <v>3044</v>
      </c>
      <c r="E3192" t="s">
        <v>33</v>
      </c>
      <c r="F3192" t="s">
        <v>44</v>
      </c>
      <c r="G3192" t="s">
        <v>1026</v>
      </c>
      <c r="H3192">
        <v>2</v>
      </c>
      <c r="I3192">
        <f t="shared" si="51"/>
        <v>3</v>
      </c>
    </row>
    <row r="3193" spans="1:9" ht="43.2">
      <c r="A3193" s="1">
        <v>42549.257638888892</v>
      </c>
      <c r="B3193" s="19">
        <v>42681</v>
      </c>
      <c r="C3193" s="21">
        <v>0.58958333333333335</v>
      </c>
      <c r="D3193" s="20" t="s">
        <v>3040</v>
      </c>
      <c r="E3193" t="s">
        <v>18</v>
      </c>
      <c r="F3193" t="s">
        <v>100</v>
      </c>
      <c r="G3193" s="2" t="s">
        <v>999</v>
      </c>
      <c r="H3193" t="e">
        <v>#VALUE!</v>
      </c>
      <c r="I3193" t="e">
        <f t="shared" si="51"/>
        <v>#VALUE!</v>
      </c>
    </row>
    <row r="3194" spans="1:9">
      <c r="A3194" s="1">
        <v>42549.2</v>
      </c>
      <c r="B3194" s="19">
        <v>42681</v>
      </c>
      <c r="C3194" s="21">
        <v>0.25277777777777777</v>
      </c>
      <c r="D3194" s="20" t="s">
        <v>3031</v>
      </c>
      <c r="E3194" t="s">
        <v>33</v>
      </c>
      <c r="G3194" t="s">
        <v>9</v>
      </c>
      <c r="H3194">
        <v>48</v>
      </c>
      <c r="I3194">
        <f t="shared" si="51"/>
        <v>60</v>
      </c>
    </row>
    <row r="3195" spans="1:9">
      <c r="A3195" s="1">
        <v>42549.165277777778</v>
      </c>
      <c r="B3195" s="19">
        <v>42682</v>
      </c>
      <c r="C3195" s="21">
        <v>0.91597222222222219</v>
      </c>
      <c r="D3195" s="20" t="s">
        <v>3048</v>
      </c>
      <c r="E3195" t="s">
        <v>6</v>
      </c>
      <c r="F3195" t="s">
        <v>12</v>
      </c>
      <c r="G3195" t="s">
        <v>1013</v>
      </c>
      <c r="H3195" t="e">
        <v>#VALUE!</v>
      </c>
      <c r="I3195" t="e">
        <f t="shared" si="51"/>
        <v>#VALUE!</v>
      </c>
    </row>
    <row r="3196" spans="1:9">
      <c r="A3196" s="1">
        <v>42549.121527777781</v>
      </c>
      <c r="B3196" s="19">
        <v>42682</v>
      </c>
      <c r="C3196" s="21">
        <v>0.65694444444444444</v>
      </c>
      <c r="D3196" s="20" t="s">
        <v>3042</v>
      </c>
      <c r="E3196" t="s">
        <v>2</v>
      </c>
      <c r="F3196" t="s">
        <v>3</v>
      </c>
      <c r="G3196" t="s">
        <v>1015</v>
      </c>
      <c r="H3196">
        <v>27</v>
      </c>
      <c r="I3196">
        <f t="shared" si="51"/>
        <v>34</v>
      </c>
    </row>
    <row r="3197" spans="1:9">
      <c r="A3197" s="1">
        <v>42549.105555555558</v>
      </c>
      <c r="B3197" s="19">
        <v>42682</v>
      </c>
      <c r="C3197" s="21">
        <v>0.63680555555555551</v>
      </c>
      <c r="D3197" s="20" t="s">
        <v>3042</v>
      </c>
      <c r="E3197" t="s">
        <v>6</v>
      </c>
      <c r="F3197" t="s">
        <v>12</v>
      </c>
      <c r="G3197" t="s">
        <v>1016</v>
      </c>
      <c r="H3197" t="e">
        <v>#VALUE!</v>
      </c>
      <c r="I3197" t="e">
        <f t="shared" si="51"/>
        <v>#VALUE!</v>
      </c>
    </row>
    <row r="3198" spans="1:9">
      <c r="A3198" s="1">
        <v>42549.103472222225</v>
      </c>
      <c r="B3198" s="19">
        <v>42682</v>
      </c>
      <c r="C3198" s="21">
        <v>0.18680555555555556</v>
      </c>
      <c r="D3198" s="20" t="s">
        <v>3054</v>
      </c>
      <c r="E3198" t="s">
        <v>6</v>
      </c>
      <c r="F3198" t="s">
        <v>12</v>
      </c>
      <c r="G3198" t="s">
        <v>1022</v>
      </c>
      <c r="H3198" t="e">
        <v>#VALUE!</v>
      </c>
      <c r="I3198" t="e">
        <f t="shared" si="51"/>
        <v>#VALUE!</v>
      </c>
    </row>
    <row r="3199" spans="1:9">
      <c r="A3199" s="1">
        <v>42549.013888888891</v>
      </c>
      <c r="B3199" s="19">
        <v>42682</v>
      </c>
      <c r="C3199" s="21">
        <v>5.5555555555555552E-2</v>
      </c>
      <c r="D3199" s="20" t="s">
        <v>3051</v>
      </c>
      <c r="E3199" t="s">
        <v>2</v>
      </c>
      <c r="G3199" t="s">
        <v>1023</v>
      </c>
      <c r="H3199">
        <v>25</v>
      </c>
      <c r="I3199">
        <f t="shared" si="51"/>
        <v>31</v>
      </c>
    </row>
    <row r="3200" spans="1:9">
      <c r="A3200" s="1">
        <v>42548.834722222222</v>
      </c>
      <c r="B3200" s="19">
        <v>42682</v>
      </c>
      <c r="C3200" s="21">
        <v>3.4027777777777775E-2</v>
      </c>
      <c r="D3200" s="20" t="s">
        <v>3050</v>
      </c>
      <c r="E3200" t="s">
        <v>6</v>
      </c>
      <c r="F3200" t="s">
        <v>12</v>
      </c>
      <c r="G3200" t="s">
        <v>1024</v>
      </c>
      <c r="H3200">
        <v>13</v>
      </c>
      <c r="I3200">
        <f t="shared" si="51"/>
        <v>17</v>
      </c>
    </row>
    <row r="3201" spans="1:9">
      <c r="A3201" s="1">
        <v>42548.833333333336</v>
      </c>
      <c r="B3201" s="19">
        <v>42682</v>
      </c>
      <c r="C3201" s="21">
        <v>0.91666666666666663</v>
      </c>
      <c r="D3201" s="20" t="s">
        <v>3049</v>
      </c>
      <c r="E3201" t="s">
        <v>0</v>
      </c>
      <c r="G3201" t="s">
        <v>525</v>
      </c>
      <c r="H3201">
        <v>13</v>
      </c>
      <c r="I3201">
        <f t="shared" si="51"/>
        <v>17</v>
      </c>
    </row>
    <row r="3202" spans="1:9">
      <c r="A3202" s="1">
        <v>42548.664583333331</v>
      </c>
      <c r="B3202" s="19">
        <v>42682</v>
      </c>
      <c r="C3202" s="21">
        <v>0.91666666666666663</v>
      </c>
      <c r="D3202" s="20" t="s">
        <v>3049</v>
      </c>
      <c r="E3202" t="s">
        <v>18</v>
      </c>
      <c r="F3202" t="s">
        <v>100</v>
      </c>
      <c r="G3202" t="s">
        <v>1012</v>
      </c>
      <c r="H3202" t="e">
        <v>#VALUE!</v>
      </c>
      <c r="I3202" t="e">
        <f t="shared" si="51"/>
        <v>#VALUE!</v>
      </c>
    </row>
    <row r="3203" spans="1:9">
      <c r="A3203" s="1">
        <v>42548.499305555553</v>
      </c>
      <c r="B3203" s="19">
        <v>42682</v>
      </c>
      <c r="C3203" s="21">
        <v>0.90069444444444446</v>
      </c>
      <c r="D3203" s="20" t="s">
        <v>3048</v>
      </c>
      <c r="E3203" t="s">
        <v>33</v>
      </c>
      <c r="F3203" t="s">
        <v>44</v>
      </c>
      <c r="G3203" t="s">
        <v>1014</v>
      </c>
      <c r="H3203">
        <v>2</v>
      </c>
      <c r="I3203">
        <f t="shared" ref="I3203:I3266" si="52">ROUNDUP((H3203*1.24), 0)</f>
        <v>3</v>
      </c>
    </row>
    <row r="3204" spans="1:9" ht="43.2">
      <c r="A3204" s="1">
        <v>42548.382638888892</v>
      </c>
      <c r="B3204" s="19">
        <v>42682</v>
      </c>
      <c r="C3204" s="21">
        <v>0.63680555555555551</v>
      </c>
      <c r="D3204" s="20" t="s">
        <v>3042</v>
      </c>
      <c r="E3204" t="s">
        <v>18</v>
      </c>
      <c r="F3204" t="s">
        <v>100</v>
      </c>
      <c r="G3204" s="2" t="s">
        <v>1017</v>
      </c>
      <c r="H3204" t="e">
        <v>#VALUE!</v>
      </c>
      <c r="I3204" t="e">
        <f t="shared" si="52"/>
        <v>#VALUE!</v>
      </c>
    </row>
    <row r="3205" spans="1:9">
      <c r="A3205" s="1">
        <v>42548.274305555555</v>
      </c>
      <c r="B3205" s="19">
        <v>42682</v>
      </c>
      <c r="C3205" s="21">
        <v>0.63263888888888886</v>
      </c>
      <c r="D3205" s="20" t="s">
        <v>3042</v>
      </c>
      <c r="E3205" t="s">
        <v>0</v>
      </c>
      <c r="F3205" t="s">
        <v>1</v>
      </c>
      <c r="H3205">
        <v>25</v>
      </c>
      <c r="I3205">
        <f t="shared" si="52"/>
        <v>31</v>
      </c>
    </row>
    <row r="3206" spans="1:9">
      <c r="A3206" s="1">
        <v>42548.901388888888</v>
      </c>
      <c r="B3206" s="19">
        <v>42682</v>
      </c>
      <c r="C3206" s="21">
        <v>0.60555555555555551</v>
      </c>
      <c r="D3206" s="20" t="s">
        <v>3040</v>
      </c>
      <c r="E3206" t="s">
        <v>730</v>
      </c>
      <c r="G3206" t="s">
        <v>828</v>
      </c>
      <c r="H3206" t="e">
        <v>#VALUE!</v>
      </c>
      <c r="I3206" t="e">
        <f t="shared" si="52"/>
        <v>#VALUE!</v>
      </c>
    </row>
    <row r="3207" spans="1:9">
      <c r="A3207" s="1">
        <v>42548.649305555555</v>
      </c>
      <c r="B3207" s="19">
        <v>42682</v>
      </c>
      <c r="C3207" s="21">
        <v>0.51180555555555551</v>
      </c>
      <c r="D3207" s="20" t="s">
        <v>3038</v>
      </c>
      <c r="E3207" t="s">
        <v>0</v>
      </c>
      <c r="G3207" t="s">
        <v>1018</v>
      </c>
      <c r="H3207" t="e">
        <v>#VALUE!</v>
      </c>
      <c r="I3207" t="e">
        <f t="shared" si="52"/>
        <v>#VALUE!</v>
      </c>
    </row>
    <row r="3208" spans="1:9">
      <c r="A3208" s="1">
        <v>42548.611111111109</v>
      </c>
      <c r="B3208" s="19">
        <v>42682</v>
      </c>
      <c r="C3208" s="21">
        <v>0.4375</v>
      </c>
      <c r="D3208" s="20" t="s">
        <v>3036</v>
      </c>
      <c r="E3208" t="s">
        <v>0</v>
      </c>
      <c r="G3208" t="s">
        <v>1019</v>
      </c>
      <c r="H3208">
        <v>2</v>
      </c>
      <c r="I3208">
        <f t="shared" si="52"/>
        <v>3</v>
      </c>
    </row>
    <row r="3209" spans="1:9">
      <c r="A3209" s="1">
        <v>42548.55972222222</v>
      </c>
      <c r="B3209" s="19">
        <v>42682</v>
      </c>
      <c r="C3209" s="21">
        <v>0.25416666666666665</v>
      </c>
      <c r="D3209" s="20" t="s">
        <v>3031</v>
      </c>
      <c r="E3209" t="s">
        <v>0</v>
      </c>
      <c r="G3209" t="s">
        <v>1020</v>
      </c>
      <c r="H3209" t="e">
        <v>#VALUE!</v>
      </c>
      <c r="I3209" t="e">
        <f t="shared" si="52"/>
        <v>#VALUE!</v>
      </c>
    </row>
    <row r="3210" spans="1:9">
      <c r="A3210" s="1">
        <v>42548.545138888891</v>
      </c>
      <c r="B3210" s="19">
        <v>42682</v>
      </c>
      <c r="C3210" s="21">
        <v>0.22569444444444445</v>
      </c>
      <c r="D3210" s="20" t="s">
        <v>3055</v>
      </c>
      <c r="E3210" t="s">
        <v>149</v>
      </c>
      <c r="F3210" t="s">
        <v>150</v>
      </c>
      <c r="G3210" t="s">
        <v>1021</v>
      </c>
      <c r="H3210">
        <v>44</v>
      </c>
      <c r="I3210">
        <f t="shared" si="52"/>
        <v>55</v>
      </c>
    </row>
    <row r="3211" spans="1:9">
      <c r="A3211" s="1">
        <v>42548.347222222219</v>
      </c>
      <c r="B3211" s="19">
        <v>42683</v>
      </c>
      <c r="C3211" s="21">
        <v>0.92083333333333328</v>
      </c>
      <c r="D3211" s="20" t="s">
        <v>3049</v>
      </c>
      <c r="E3211" t="s">
        <v>6</v>
      </c>
      <c r="F3211" t="s">
        <v>12</v>
      </c>
      <c r="G3211" t="s">
        <v>996</v>
      </c>
      <c r="H3211" t="e">
        <v>#VALUE!</v>
      </c>
      <c r="I3211" t="e">
        <f t="shared" si="52"/>
        <v>#VALUE!</v>
      </c>
    </row>
    <row r="3212" spans="1:9">
      <c r="A3212" s="1">
        <v>42548.337500000001</v>
      </c>
      <c r="B3212" s="19">
        <v>42683</v>
      </c>
      <c r="C3212" s="21">
        <v>0.89166666666666672</v>
      </c>
      <c r="D3212" s="20" t="s">
        <v>3048</v>
      </c>
      <c r="E3212" t="s">
        <v>6</v>
      </c>
      <c r="F3212" t="s">
        <v>15</v>
      </c>
      <c r="G3212" t="s">
        <v>1005</v>
      </c>
      <c r="H3212">
        <v>14</v>
      </c>
      <c r="I3212">
        <f t="shared" si="52"/>
        <v>18</v>
      </c>
    </row>
    <row r="3213" spans="1:9" ht="28.8">
      <c r="A3213" s="1">
        <v>42548.254861111112</v>
      </c>
      <c r="B3213" s="19">
        <v>42683</v>
      </c>
      <c r="C3213" s="21">
        <v>0.58611111111111114</v>
      </c>
      <c r="D3213" s="20" t="s">
        <v>3040</v>
      </c>
      <c r="E3213" t="s">
        <v>6</v>
      </c>
      <c r="F3213" t="s">
        <v>12</v>
      </c>
      <c r="G3213" s="2" t="s">
        <v>1006</v>
      </c>
      <c r="H3213" t="e">
        <v>#VALUE!</v>
      </c>
      <c r="I3213" t="e">
        <f t="shared" si="52"/>
        <v>#VALUE!</v>
      </c>
    </row>
    <row r="3214" spans="1:9">
      <c r="A3214" s="1">
        <v>42548.123611111114</v>
      </c>
      <c r="B3214" s="19">
        <v>42683</v>
      </c>
      <c r="C3214" s="21">
        <v>0.45069444444444445</v>
      </c>
      <c r="D3214" s="20" t="s">
        <v>3036</v>
      </c>
      <c r="E3214" t="s">
        <v>2</v>
      </c>
      <c r="F3214" t="s">
        <v>5</v>
      </c>
      <c r="G3214" t="s">
        <v>1009</v>
      </c>
      <c r="H3214" t="e">
        <v>#VALUE!</v>
      </c>
      <c r="I3214" t="e">
        <f t="shared" si="52"/>
        <v>#VALUE!</v>
      </c>
    </row>
    <row r="3215" spans="1:9">
      <c r="A3215" s="1">
        <v>42548.015972222223</v>
      </c>
      <c r="B3215" s="19">
        <v>42683</v>
      </c>
      <c r="C3215" s="21">
        <v>0.27430555555555558</v>
      </c>
      <c r="D3215" s="20" t="s">
        <v>3031</v>
      </c>
      <c r="E3215" t="s">
        <v>6</v>
      </c>
      <c r="F3215" t="s">
        <v>12</v>
      </c>
      <c r="G3215" t="s">
        <v>1010</v>
      </c>
      <c r="H3215" t="e">
        <v>#VALUE!</v>
      </c>
      <c r="I3215" t="e">
        <f t="shared" si="52"/>
        <v>#VALUE!</v>
      </c>
    </row>
    <row r="3216" spans="1:9">
      <c r="A3216" s="1">
        <v>42547.929861111108</v>
      </c>
      <c r="B3216" s="19">
        <v>42683</v>
      </c>
      <c r="C3216" s="21">
        <v>0.92083333333333328</v>
      </c>
      <c r="D3216" s="20" t="s">
        <v>3049</v>
      </c>
      <c r="E3216" t="s">
        <v>0</v>
      </c>
      <c r="G3216" t="s">
        <v>525</v>
      </c>
      <c r="H3216">
        <v>13</v>
      </c>
      <c r="I3216">
        <f t="shared" si="52"/>
        <v>17</v>
      </c>
    </row>
    <row r="3217" spans="1:9">
      <c r="A3217" s="1">
        <v>42547.923611111109</v>
      </c>
      <c r="B3217" s="19">
        <v>42683</v>
      </c>
      <c r="C3217" s="21">
        <v>0.92083333333333328</v>
      </c>
      <c r="D3217" s="20" t="s">
        <v>3049</v>
      </c>
      <c r="E3217" t="s">
        <v>18</v>
      </c>
      <c r="F3217" t="s">
        <v>100</v>
      </c>
      <c r="G3217" t="s">
        <v>1003</v>
      </c>
      <c r="H3217" t="e">
        <v>#VALUE!</v>
      </c>
      <c r="I3217" t="e">
        <f t="shared" si="52"/>
        <v>#VALUE!</v>
      </c>
    </row>
    <row r="3218" spans="1:9">
      <c r="A3218" s="1">
        <v>42547.920138888891</v>
      </c>
      <c r="B3218" s="19">
        <v>42683</v>
      </c>
      <c r="C3218" s="21">
        <v>0.9</v>
      </c>
      <c r="D3218" s="20" t="s">
        <v>3048</v>
      </c>
      <c r="E3218" t="s">
        <v>0</v>
      </c>
      <c r="G3218" t="s">
        <v>1004</v>
      </c>
      <c r="H3218">
        <v>38</v>
      </c>
      <c r="I3218">
        <f t="shared" si="52"/>
        <v>48</v>
      </c>
    </row>
    <row r="3219" spans="1:9" ht="43.2">
      <c r="A3219" s="1">
        <v>42547.997916666667</v>
      </c>
      <c r="B3219" s="19">
        <v>42683</v>
      </c>
      <c r="C3219" s="21">
        <v>0.58611111111111114</v>
      </c>
      <c r="D3219" s="20" t="s">
        <v>3040</v>
      </c>
      <c r="E3219" t="s">
        <v>18</v>
      </c>
      <c r="F3219" t="s">
        <v>100</v>
      </c>
      <c r="G3219" s="2" t="s">
        <v>1007</v>
      </c>
      <c r="H3219" t="e">
        <v>#VALUE!</v>
      </c>
      <c r="I3219" t="e">
        <f t="shared" si="52"/>
        <v>#VALUE!</v>
      </c>
    </row>
    <row r="3220" spans="1:9">
      <c r="A3220" s="1">
        <v>42547.991666666669</v>
      </c>
      <c r="B3220" s="19">
        <v>42683</v>
      </c>
      <c r="C3220" s="21">
        <v>0.49375000000000002</v>
      </c>
      <c r="D3220" s="20" t="s">
        <v>3037</v>
      </c>
      <c r="E3220" t="s">
        <v>33</v>
      </c>
      <c r="F3220" t="s">
        <v>44</v>
      </c>
      <c r="G3220" t="s">
        <v>1008</v>
      </c>
      <c r="H3220">
        <v>25</v>
      </c>
      <c r="I3220">
        <f t="shared" si="52"/>
        <v>31</v>
      </c>
    </row>
    <row r="3221" spans="1:9">
      <c r="A3221" s="1">
        <v>42547.98541666667</v>
      </c>
      <c r="B3221" s="19">
        <v>42683</v>
      </c>
      <c r="C3221" s="21">
        <v>0.43125000000000002</v>
      </c>
      <c r="D3221" s="20" t="s">
        <v>3036</v>
      </c>
      <c r="E3221" t="s">
        <v>33</v>
      </c>
      <c r="F3221" t="s">
        <v>44</v>
      </c>
      <c r="G3221" t="s">
        <v>1008</v>
      </c>
      <c r="H3221">
        <v>19</v>
      </c>
      <c r="I3221">
        <f t="shared" si="52"/>
        <v>24</v>
      </c>
    </row>
    <row r="3222" spans="1:9">
      <c r="A3222" s="1">
        <v>42547.930555555555</v>
      </c>
      <c r="B3222" s="19">
        <v>42683</v>
      </c>
      <c r="C3222" s="21">
        <v>0.25138888888888888</v>
      </c>
      <c r="D3222" s="20" t="s">
        <v>3031</v>
      </c>
      <c r="E3222" t="s">
        <v>0</v>
      </c>
      <c r="G3222" t="s">
        <v>193</v>
      </c>
      <c r="H3222">
        <v>13</v>
      </c>
      <c r="I3222">
        <f t="shared" si="52"/>
        <v>17</v>
      </c>
    </row>
    <row r="3223" spans="1:9">
      <c r="A3223" s="1">
        <v>42546.240972222222</v>
      </c>
      <c r="B3223" s="19">
        <v>42683</v>
      </c>
      <c r="C3223" s="21">
        <v>0.19305555555555556</v>
      </c>
      <c r="D3223" s="20" t="s">
        <v>3054</v>
      </c>
      <c r="E3223" t="s">
        <v>18</v>
      </c>
      <c r="F3223" t="s">
        <v>19</v>
      </c>
      <c r="G3223" t="s">
        <v>1011</v>
      </c>
      <c r="H3223">
        <v>7</v>
      </c>
      <c r="I3223">
        <f t="shared" si="52"/>
        <v>9</v>
      </c>
    </row>
    <row r="3224" spans="1:9">
      <c r="A3224" s="1">
        <v>42546.103472222225</v>
      </c>
      <c r="B3224" s="19">
        <v>42684</v>
      </c>
      <c r="C3224" s="21">
        <v>0.99444444444444446</v>
      </c>
      <c r="D3224" s="20" t="s">
        <v>3063</v>
      </c>
      <c r="E3224" t="s">
        <v>6</v>
      </c>
      <c r="F3224" t="s">
        <v>15</v>
      </c>
      <c r="G3224" t="s">
        <v>994</v>
      </c>
      <c r="H3224" t="e">
        <v>#VALUE!</v>
      </c>
      <c r="I3224" t="e">
        <f t="shared" si="52"/>
        <v>#VALUE!</v>
      </c>
    </row>
    <row r="3225" spans="1:9">
      <c r="A3225" s="1">
        <v>42546.063194444447</v>
      </c>
      <c r="B3225" s="19">
        <v>42684</v>
      </c>
      <c r="C3225" s="21">
        <v>0.98333333333333328</v>
      </c>
      <c r="D3225" s="20" t="s">
        <v>3063</v>
      </c>
      <c r="E3225" t="s">
        <v>6</v>
      </c>
      <c r="F3225" t="s">
        <v>15</v>
      </c>
      <c r="G3225" t="s">
        <v>995</v>
      </c>
      <c r="H3225">
        <v>13</v>
      </c>
      <c r="I3225">
        <f t="shared" si="52"/>
        <v>17</v>
      </c>
    </row>
    <row r="3226" spans="1:9">
      <c r="A3226" s="1">
        <v>42545.831250000003</v>
      </c>
      <c r="B3226" s="19">
        <v>42684</v>
      </c>
      <c r="C3226" s="21">
        <v>0.98263888888888884</v>
      </c>
      <c r="D3226" s="20" t="s">
        <v>3063</v>
      </c>
      <c r="E3226" t="s">
        <v>6</v>
      </c>
      <c r="F3226" t="s">
        <v>46</v>
      </c>
      <c r="G3226" t="s">
        <v>120</v>
      </c>
      <c r="H3226">
        <v>7</v>
      </c>
      <c r="I3226">
        <f t="shared" si="52"/>
        <v>9</v>
      </c>
    </row>
    <row r="3227" spans="1:9">
      <c r="A3227" s="1">
        <v>42545.663888888892</v>
      </c>
      <c r="B3227" s="19">
        <v>42684</v>
      </c>
      <c r="C3227" s="21">
        <v>0.91527777777777775</v>
      </c>
      <c r="D3227" s="20" t="s">
        <v>3048</v>
      </c>
      <c r="E3227" t="s">
        <v>6</v>
      </c>
      <c r="F3227" t="s">
        <v>12</v>
      </c>
      <c r="G3227" t="s">
        <v>996</v>
      </c>
      <c r="H3227" t="e">
        <v>#VALUE!</v>
      </c>
      <c r="I3227" t="e">
        <f t="shared" si="52"/>
        <v>#VALUE!</v>
      </c>
    </row>
    <row r="3228" spans="1:9">
      <c r="A3228" s="1">
        <v>42545.570833333331</v>
      </c>
      <c r="B3228" s="19">
        <v>42684</v>
      </c>
      <c r="C3228" s="21">
        <v>0.62986111111111109</v>
      </c>
      <c r="D3228" s="20" t="s">
        <v>3042</v>
      </c>
      <c r="E3228" t="s">
        <v>2</v>
      </c>
      <c r="F3228" t="s">
        <v>56</v>
      </c>
      <c r="G3228" t="s">
        <v>997</v>
      </c>
      <c r="H3228">
        <v>50</v>
      </c>
      <c r="I3228">
        <f t="shared" si="52"/>
        <v>62</v>
      </c>
    </row>
    <row r="3229" spans="1:9">
      <c r="A3229" s="1">
        <v>42545.531944444447</v>
      </c>
      <c r="B3229" s="19">
        <v>42684</v>
      </c>
      <c r="C3229" s="21">
        <v>0.60555555555555551</v>
      </c>
      <c r="D3229" s="20" t="s">
        <v>3040</v>
      </c>
      <c r="E3229" t="s">
        <v>6</v>
      </c>
      <c r="F3229" t="s">
        <v>46</v>
      </c>
      <c r="G3229" t="s">
        <v>120</v>
      </c>
      <c r="H3229">
        <v>4</v>
      </c>
      <c r="I3229">
        <f t="shared" si="52"/>
        <v>5</v>
      </c>
    </row>
    <row r="3230" spans="1:9">
      <c r="A3230" s="1">
        <v>42545.482638888891</v>
      </c>
      <c r="B3230" s="19">
        <v>42684</v>
      </c>
      <c r="C3230" s="21">
        <v>0.59097222222222223</v>
      </c>
      <c r="D3230" s="20" t="s">
        <v>3040</v>
      </c>
      <c r="E3230" t="s">
        <v>6</v>
      </c>
      <c r="F3230" t="s">
        <v>12</v>
      </c>
      <c r="G3230" t="s">
        <v>998</v>
      </c>
      <c r="H3230" t="e">
        <v>#VALUE!</v>
      </c>
      <c r="I3230" t="e">
        <f t="shared" si="52"/>
        <v>#VALUE!</v>
      </c>
    </row>
    <row r="3231" spans="1:9">
      <c r="A3231" s="1">
        <v>42545.46597222222</v>
      </c>
      <c r="B3231" s="19">
        <v>42684</v>
      </c>
      <c r="C3231" s="21">
        <v>0.47499999999999998</v>
      </c>
      <c r="D3231" s="20" t="s">
        <v>3037</v>
      </c>
      <c r="E3231" t="s">
        <v>2</v>
      </c>
      <c r="F3231" t="s">
        <v>5</v>
      </c>
      <c r="G3231" t="s">
        <v>1000</v>
      </c>
      <c r="H3231">
        <v>13</v>
      </c>
      <c r="I3231">
        <f t="shared" si="52"/>
        <v>17</v>
      </c>
    </row>
    <row r="3232" spans="1:9">
      <c r="A3232" s="1">
        <v>42545.464583333334</v>
      </c>
      <c r="B3232" s="19">
        <v>42684</v>
      </c>
      <c r="C3232" s="21">
        <v>0.45069444444444445</v>
      </c>
      <c r="D3232" s="20" t="s">
        <v>3036</v>
      </c>
      <c r="E3232" t="s">
        <v>6</v>
      </c>
      <c r="F3232" t="s">
        <v>46</v>
      </c>
      <c r="G3232" t="s">
        <v>1001</v>
      </c>
      <c r="H3232">
        <v>41</v>
      </c>
      <c r="I3232">
        <f t="shared" si="52"/>
        <v>51</v>
      </c>
    </row>
    <row r="3233" spans="1:9">
      <c r="A3233" s="1">
        <v>42545.392361111109</v>
      </c>
      <c r="B3233" s="19">
        <v>42684</v>
      </c>
      <c r="C3233" s="21">
        <v>0.2722222222222222</v>
      </c>
      <c r="D3233" s="20" t="s">
        <v>3031</v>
      </c>
      <c r="E3233" t="s">
        <v>6</v>
      </c>
      <c r="F3233" t="s">
        <v>15</v>
      </c>
      <c r="G3233" t="s">
        <v>103</v>
      </c>
      <c r="H3233">
        <v>8</v>
      </c>
      <c r="I3233">
        <f t="shared" si="52"/>
        <v>10</v>
      </c>
    </row>
    <row r="3234" spans="1:9">
      <c r="A3234" s="1">
        <v>42545.326388888891</v>
      </c>
      <c r="B3234" s="19">
        <v>42684</v>
      </c>
      <c r="C3234" s="21">
        <v>0.26666666666666666</v>
      </c>
      <c r="D3234" s="20" t="s">
        <v>3031</v>
      </c>
      <c r="E3234" t="s">
        <v>6</v>
      </c>
      <c r="G3234" t="s">
        <v>1002</v>
      </c>
      <c r="H3234" t="e">
        <v>#VALUE!</v>
      </c>
      <c r="I3234" t="e">
        <f t="shared" si="52"/>
        <v>#VALUE!</v>
      </c>
    </row>
    <row r="3235" spans="1:9">
      <c r="A3235" s="1">
        <v>42545.606944444444</v>
      </c>
      <c r="B3235" s="19">
        <v>42684</v>
      </c>
      <c r="C3235" s="21">
        <v>0.91805555555555551</v>
      </c>
      <c r="D3235" s="20" t="s">
        <v>3049</v>
      </c>
      <c r="E3235" t="s">
        <v>0</v>
      </c>
      <c r="F3235" t="s">
        <v>10</v>
      </c>
      <c r="G3235" t="s">
        <v>255</v>
      </c>
      <c r="H3235">
        <v>13</v>
      </c>
      <c r="I3235">
        <f t="shared" si="52"/>
        <v>17</v>
      </c>
    </row>
    <row r="3236" spans="1:9">
      <c r="A3236" s="1">
        <v>42545.602083333331</v>
      </c>
      <c r="B3236" s="19">
        <v>42684</v>
      </c>
      <c r="C3236" s="21">
        <v>0.91666666666666663</v>
      </c>
      <c r="D3236" s="20" t="s">
        <v>3049</v>
      </c>
      <c r="E3236" t="s">
        <v>18</v>
      </c>
      <c r="F3236" t="s">
        <v>100</v>
      </c>
      <c r="H3236" t="e">
        <v>#VALUE!</v>
      </c>
      <c r="I3236" t="e">
        <f t="shared" si="52"/>
        <v>#VALUE!</v>
      </c>
    </row>
    <row r="3237" spans="1:9">
      <c r="A3237" s="1">
        <v>42545.570138888892</v>
      </c>
      <c r="B3237" s="19">
        <v>42684</v>
      </c>
      <c r="C3237" s="21">
        <v>0.9145833333333333</v>
      </c>
      <c r="D3237" s="20" t="s">
        <v>3048</v>
      </c>
      <c r="E3237" t="s">
        <v>0</v>
      </c>
      <c r="G3237" t="s">
        <v>961</v>
      </c>
      <c r="H3237">
        <v>13</v>
      </c>
      <c r="I3237">
        <f t="shared" si="52"/>
        <v>17</v>
      </c>
    </row>
    <row r="3238" spans="1:9">
      <c r="A3238" s="1">
        <v>42545.5625</v>
      </c>
      <c r="B3238" s="19">
        <v>42684</v>
      </c>
      <c r="C3238" s="21">
        <v>0.90972222222222221</v>
      </c>
      <c r="D3238" s="20" t="s">
        <v>3048</v>
      </c>
      <c r="E3238" t="s">
        <v>0</v>
      </c>
      <c r="F3238" t="s">
        <v>10</v>
      </c>
      <c r="G3238" t="s">
        <v>734</v>
      </c>
      <c r="H3238">
        <v>13</v>
      </c>
      <c r="I3238">
        <f t="shared" si="52"/>
        <v>17</v>
      </c>
    </row>
    <row r="3239" spans="1:9" ht="43.2">
      <c r="A3239" s="1">
        <v>42545.474999999999</v>
      </c>
      <c r="B3239" s="19">
        <v>42684</v>
      </c>
      <c r="C3239" s="21">
        <v>0.58333333333333337</v>
      </c>
      <c r="D3239" s="20" t="s">
        <v>3040</v>
      </c>
      <c r="E3239" t="s">
        <v>18</v>
      </c>
      <c r="F3239" t="s">
        <v>100</v>
      </c>
      <c r="G3239" s="2" t="s">
        <v>999</v>
      </c>
      <c r="H3239" t="e">
        <v>#VALUE!</v>
      </c>
      <c r="I3239" t="e">
        <f t="shared" si="52"/>
        <v>#VALUE!</v>
      </c>
    </row>
    <row r="3240" spans="1:9">
      <c r="A3240" s="1">
        <v>42545.42291666667</v>
      </c>
      <c r="B3240" s="19">
        <v>42684</v>
      </c>
      <c r="C3240" s="21">
        <v>0.25347222222222221</v>
      </c>
      <c r="D3240" s="20" t="s">
        <v>3031</v>
      </c>
      <c r="E3240" t="s">
        <v>33</v>
      </c>
      <c r="G3240" t="s">
        <v>9</v>
      </c>
      <c r="H3240">
        <v>13</v>
      </c>
      <c r="I3240">
        <f t="shared" si="52"/>
        <v>17</v>
      </c>
    </row>
    <row r="3241" spans="1:9">
      <c r="A3241" s="1">
        <v>42545.34652777778</v>
      </c>
      <c r="B3241" s="19">
        <v>42685</v>
      </c>
      <c r="C3241" s="21">
        <v>1.5277777777777777E-2</v>
      </c>
      <c r="D3241" s="20" t="s">
        <v>3050</v>
      </c>
      <c r="E3241" t="s">
        <v>2</v>
      </c>
      <c r="F3241" t="s">
        <v>5</v>
      </c>
      <c r="G3241" t="s">
        <v>993</v>
      </c>
      <c r="H3241" t="e">
        <v>#VALUE!</v>
      </c>
      <c r="I3241" t="e">
        <f t="shared" si="52"/>
        <v>#VALUE!</v>
      </c>
    </row>
    <row r="3242" spans="1:9">
      <c r="A3242" s="1">
        <v>42545.335416666669</v>
      </c>
      <c r="B3242" s="19">
        <v>42687</v>
      </c>
      <c r="C3242" s="21">
        <v>0.93263888888888891</v>
      </c>
      <c r="D3242" s="20" t="s">
        <v>3049</v>
      </c>
      <c r="E3242" t="s">
        <v>2</v>
      </c>
      <c r="F3242" t="s">
        <v>5</v>
      </c>
      <c r="G3242" t="s">
        <v>990</v>
      </c>
      <c r="H3242" t="e">
        <v>#VALUE!</v>
      </c>
      <c r="I3242" t="e">
        <f t="shared" si="52"/>
        <v>#VALUE!</v>
      </c>
    </row>
    <row r="3243" spans="1:9">
      <c r="A3243" s="1">
        <v>42545.25</v>
      </c>
      <c r="B3243" s="19">
        <v>42687</v>
      </c>
      <c r="C3243" s="21">
        <v>0.92500000000000004</v>
      </c>
      <c r="D3243" s="20" t="s">
        <v>3049</v>
      </c>
      <c r="E3243" t="s">
        <v>6</v>
      </c>
      <c r="F3243" t="s">
        <v>7</v>
      </c>
      <c r="G3243" t="s">
        <v>991</v>
      </c>
      <c r="H3243">
        <v>15</v>
      </c>
      <c r="I3243">
        <f t="shared" si="52"/>
        <v>19</v>
      </c>
    </row>
    <row r="3244" spans="1:9">
      <c r="A3244" s="1">
        <v>42545.228472222225</v>
      </c>
      <c r="B3244" s="19">
        <v>42687</v>
      </c>
      <c r="C3244" s="21">
        <v>0.91805555555555551</v>
      </c>
      <c r="D3244" s="20" t="s">
        <v>3049</v>
      </c>
      <c r="E3244" t="s">
        <v>6</v>
      </c>
      <c r="F3244" t="s">
        <v>15</v>
      </c>
      <c r="G3244" t="s">
        <v>482</v>
      </c>
      <c r="H3244">
        <v>13</v>
      </c>
      <c r="I3244">
        <f t="shared" si="52"/>
        <v>17</v>
      </c>
    </row>
    <row r="3245" spans="1:9">
      <c r="A3245" s="1">
        <v>42545.038888888892</v>
      </c>
      <c r="B3245" s="19">
        <v>42687</v>
      </c>
      <c r="C3245" s="21">
        <v>0.91736111111111107</v>
      </c>
      <c r="D3245" s="20" t="s">
        <v>3049</v>
      </c>
      <c r="E3245" t="s">
        <v>0</v>
      </c>
      <c r="G3245" t="s">
        <v>992</v>
      </c>
      <c r="H3245">
        <v>13</v>
      </c>
      <c r="I3245">
        <f t="shared" si="52"/>
        <v>17</v>
      </c>
    </row>
    <row r="3246" spans="1:9">
      <c r="A3246" s="1">
        <v>42545.01666666667</v>
      </c>
      <c r="B3246" s="19">
        <v>42688</v>
      </c>
      <c r="C3246" s="21">
        <v>0.88680555555555551</v>
      </c>
      <c r="D3246" s="20" t="s">
        <v>3048</v>
      </c>
      <c r="E3246" t="s">
        <v>6</v>
      </c>
      <c r="G3246" t="s">
        <v>417</v>
      </c>
      <c r="H3246">
        <v>7</v>
      </c>
      <c r="I3246">
        <f t="shared" si="52"/>
        <v>9</v>
      </c>
    </row>
    <row r="3247" spans="1:9">
      <c r="A3247" s="1">
        <v>42544.90902777778</v>
      </c>
      <c r="B3247" s="19">
        <v>42688</v>
      </c>
      <c r="C3247" s="21">
        <v>0.79513888888888884</v>
      </c>
      <c r="D3247" s="20" t="s">
        <v>3046</v>
      </c>
      <c r="E3247" t="s">
        <v>6</v>
      </c>
      <c r="F3247" t="s">
        <v>15</v>
      </c>
      <c r="G3247" t="s">
        <v>983</v>
      </c>
      <c r="H3247" t="e">
        <v>#VALUE!</v>
      </c>
      <c r="I3247" t="e">
        <f t="shared" si="52"/>
        <v>#VALUE!</v>
      </c>
    </row>
    <row r="3248" spans="1:9">
      <c r="A3248" s="1">
        <v>42544.831944444442</v>
      </c>
      <c r="B3248" s="19">
        <v>42688</v>
      </c>
      <c r="C3248" s="21">
        <v>0.65347222222222223</v>
      </c>
      <c r="D3248" s="20" t="s">
        <v>3042</v>
      </c>
      <c r="E3248" t="s">
        <v>6</v>
      </c>
      <c r="F3248" t="s">
        <v>46</v>
      </c>
      <c r="G3248" t="s">
        <v>984</v>
      </c>
      <c r="H3248" t="e">
        <v>#VALUE!</v>
      </c>
      <c r="I3248" t="e">
        <f t="shared" si="52"/>
        <v>#VALUE!</v>
      </c>
    </row>
    <row r="3249" spans="1:9">
      <c r="A3249" s="1">
        <v>42544.678472222222</v>
      </c>
      <c r="B3249" s="19">
        <v>42688</v>
      </c>
      <c r="C3249" s="21">
        <v>0.65</v>
      </c>
      <c r="D3249" s="20" t="s">
        <v>3042</v>
      </c>
      <c r="E3249" t="s">
        <v>6</v>
      </c>
      <c r="F3249" t="s">
        <v>26</v>
      </c>
      <c r="G3249" t="s">
        <v>65</v>
      </c>
      <c r="H3249">
        <v>7</v>
      </c>
      <c r="I3249">
        <f t="shared" si="52"/>
        <v>9</v>
      </c>
    </row>
    <row r="3250" spans="1:9">
      <c r="A3250" s="1">
        <v>42544.665277777778</v>
      </c>
      <c r="B3250" s="19">
        <v>42688</v>
      </c>
      <c r="C3250" s="21">
        <v>0.5541666666666667</v>
      </c>
      <c r="D3250" s="20" t="s">
        <v>3039</v>
      </c>
      <c r="E3250" t="s">
        <v>2</v>
      </c>
      <c r="F3250" t="s">
        <v>48</v>
      </c>
      <c r="G3250" t="s">
        <v>49</v>
      </c>
      <c r="H3250">
        <v>9</v>
      </c>
      <c r="I3250">
        <f t="shared" si="52"/>
        <v>12</v>
      </c>
    </row>
    <row r="3251" spans="1:9">
      <c r="A3251" s="1">
        <v>42544.431250000001</v>
      </c>
      <c r="B3251" s="19">
        <v>42688</v>
      </c>
      <c r="C3251" s="21">
        <v>0.43472222222222223</v>
      </c>
      <c r="D3251" s="20" t="s">
        <v>3036</v>
      </c>
      <c r="E3251" t="s">
        <v>2</v>
      </c>
      <c r="F3251" t="s">
        <v>48</v>
      </c>
      <c r="G3251" t="s">
        <v>986</v>
      </c>
      <c r="H3251">
        <v>43</v>
      </c>
      <c r="I3251">
        <f t="shared" si="52"/>
        <v>54</v>
      </c>
    </row>
    <row r="3252" spans="1:9">
      <c r="A3252" s="1">
        <v>42544.379166666666</v>
      </c>
      <c r="B3252" s="19">
        <v>42688</v>
      </c>
      <c r="C3252" s="21">
        <v>0.32083333333333336</v>
      </c>
      <c r="D3252" s="20" t="s">
        <v>3033</v>
      </c>
      <c r="E3252" t="s">
        <v>6</v>
      </c>
      <c r="F3252" t="s">
        <v>12</v>
      </c>
      <c r="G3252" t="s">
        <v>987</v>
      </c>
      <c r="H3252" t="e">
        <v>#VALUE!</v>
      </c>
      <c r="I3252" t="e">
        <f t="shared" si="52"/>
        <v>#VALUE!</v>
      </c>
    </row>
    <row r="3253" spans="1:9">
      <c r="A3253" s="1">
        <v>42544.316666666666</v>
      </c>
      <c r="B3253" s="19">
        <v>42688</v>
      </c>
      <c r="C3253" s="21">
        <v>3.6111111111111108E-2</v>
      </c>
      <c r="D3253" s="20" t="s">
        <v>3050</v>
      </c>
      <c r="E3253" t="s">
        <v>6</v>
      </c>
      <c r="F3253" t="s">
        <v>12</v>
      </c>
      <c r="G3253" t="s">
        <v>989</v>
      </c>
      <c r="H3253" t="e">
        <v>#VALUE!</v>
      </c>
      <c r="I3253" t="e">
        <f t="shared" si="52"/>
        <v>#VALUE!</v>
      </c>
    </row>
    <row r="3254" spans="1:9">
      <c r="A3254" s="1">
        <v>42544.259027777778</v>
      </c>
      <c r="B3254" s="19">
        <v>42688</v>
      </c>
      <c r="C3254" s="21">
        <v>0.91874999999999996</v>
      </c>
      <c r="D3254" s="20" t="s">
        <v>3049</v>
      </c>
      <c r="E3254" t="s">
        <v>0</v>
      </c>
      <c r="G3254" t="s">
        <v>9</v>
      </c>
      <c r="H3254">
        <v>13</v>
      </c>
      <c r="I3254">
        <f t="shared" si="52"/>
        <v>17</v>
      </c>
    </row>
    <row r="3255" spans="1:9">
      <c r="A3255" s="1">
        <v>42544.720138888886</v>
      </c>
      <c r="B3255" s="19">
        <v>42688</v>
      </c>
      <c r="C3255" s="21">
        <v>0.58402777777777781</v>
      </c>
      <c r="D3255" s="20" t="s">
        <v>3040</v>
      </c>
      <c r="E3255" t="s">
        <v>0</v>
      </c>
      <c r="F3255" t="s">
        <v>10</v>
      </c>
      <c r="G3255" t="s">
        <v>255</v>
      </c>
      <c r="H3255">
        <v>13</v>
      </c>
      <c r="I3255">
        <f t="shared" si="52"/>
        <v>17</v>
      </c>
    </row>
    <row r="3256" spans="1:9">
      <c r="A3256" s="1">
        <v>42544.538194444445</v>
      </c>
      <c r="B3256" s="19">
        <v>42688</v>
      </c>
      <c r="C3256" s="21">
        <v>0.58402777777777781</v>
      </c>
      <c r="D3256" s="20" t="s">
        <v>3040</v>
      </c>
      <c r="E3256" t="s">
        <v>0</v>
      </c>
      <c r="G3256" t="s">
        <v>985</v>
      </c>
      <c r="H3256">
        <v>13</v>
      </c>
      <c r="I3256">
        <f t="shared" si="52"/>
        <v>17</v>
      </c>
    </row>
    <row r="3257" spans="1:9">
      <c r="A3257" s="1">
        <v>42544.529861111114</v>
      </c>
      <c r="B3257" s="19">
        <v>42688</v>
      </c>
      <c r="C3257" s="21">
        <v>0.26250000000000001</v>
      </c>
      <c r="D3257" s="20" t="s">
        <v>3031</v>
      </c>
      <c r="E3257" t="s">
        <v>18</v>
      </c>
      <c r="F3257" t="s">
        <v>100</v>
      </c>
      <c r="G3257" t="s">
        <v>391</v>
      </c>
      <c r="H3257" t="e">
        <v>#VALUE!</v>
      </c>
      <c r="I3257" t="e">
        <f t="shared" si="52"/>
        <v>#VALUE!</v>
      </c>
    </row>
    <row r="3258" spans="1:9">
      <c r="A3258" s="1">
        <v>42544.526388888888</v>
      </c>
      <c r="B3258" s="19">
        <v>42688</v>
      </c>
      <c r="C3258" s="21">
        <v>0.25069444444444444</v>
      </c>
      <c r="D3258" s="20" t="s">
        <v>3031</v>
      </c>
      <c r="E3258" t="s">
        <v>0</v>
      </c>
      <c r="G3258" t="s">
        <v>988</v>
      </c>
      <c r="H3258">
        <v>25</v>
      </c>
      <c r="I3258">
        <f t="shared" si="52"/>
        <v>31</v>
      </c>
    </row>
    <row r="3259" spans="1:9">
      <c r="A3259" s="1">
        <v>42544.438888888886</v>
      </c>
      <c r="B3259" s="19">
        <v>42689</v>
      </c>
      <c r="C3259" s="21">
        <v>0.85972222222222228</v>
      </c>
      <c r="D3259" s="20" t="s">
        <v>3047</v>
      </c>
      <c r="E3259" t="s">
        <v>6</v>
      </c>
      <c r="F3259" t="s">
        <v>273</v>
      </c>
      <c r="G3259" t="s">
        <v>977</v>
      </c>
      <c r="H3259">
        <v>38</v>
      </c>
      <c r="I3259">
        <f t="shared" si="52"/>
        <v>48</v>
      </c>
    </row>
    <row r="3260" spans="1:9">
      <c r="A3260" s="1">
        <v>42544.434027777781</v>
      </c>
      <c r="B3260" s="19">
        <v>42689</v>
      </c>
      <c r="C3260" s="21">
        <v>0.17916666666666667</v>
      </c>
      <c r="D3260" s="20" t="s">
        <v>3054</v>
      </c>
      <c r="E3260" t="s">
        <v>2</v>
      </c>
      <c r="F3260" t="s">
        <v>5</v>
      </c>
      <c r="G3260" t="s">
        <v>981</v>
      </c>
      <c r="H3260">
        <v>9</v>
      </c>
      <c r="I3260">
        <f t="shared" si="52"/>
        <v>12</v>
      </c>
    </row>
    <row r="3261" spans="1:9">
      <c r="A3261" s="1">
        <v>42544.297222222223</v>
      </c>
      <c r="B3261" s="19">
        <v>42689</v>
      </c>
      <c r="C3261" s="21">
        <v>0.1701388888888889</v>
      </c>
      <c r="D3261" s="20" t="s">
        <v>3054</v>
      </c>
      <c r="E3261" t="s">
        <v>6</v>
      </c>
      <c r="F3261" t="s">
        <v>46</v>
      </c>
      <c r="G3261" t="s">
        <v>982</v>
      </c>
      <c r="H3261">
        <v>13</v>
      </c>
      <c r="I3261">
        <f t="shared" si="52"/>
        <v>17</v>
      </c>
    </row>
    <row r="3262" spans="1:9">
      <c r="A3262" s="1">
        <v>42544.295138888891</v>
      </c>
      <c r="B3262" s="19">
        <v>42689</v>
      </c>
      <c r="C3262" s="21">
        <v>0.84444444444444444</v>
      </c>
      <c r="D3262" s="20" t="s">
        <v>3047</v>
      </c>
      <c r="E3262" t="s">
        <v>33</v>
      </c>
      <c r="F3262" t="s">
        <v>44</v>
      </c>
      <c r="G3262" t="s">
        <v>978</v>
      </c>
      <c r="H3262">
        <v>19</v>
      </c>
      <c r="I3262">
        <f t="shared" si="52"/>
        <v>24</v>
      </c>
    </row>
    <row r="3263" spans="1:9">
      <c r="A3263" s="1">
        <v>42544.286805555559</v>
      </c>
      <c r="B3263" s="19">
        <v>42689</v>
      </c>
      <c r="C3263" s="21">
        <v>0.66180555555555554</v>
      </c>
      <c r="D3263" s="20" t="s">
        <v>3042</v>
      </c>
      <c r="E3263" t="s">
        <v>0</v>
      </c>
      <c r="F3263" t="s">
        <v>10</v>
      </c>
      <c r="G3263" t="s">
        <v>979</v>
      </c>
      <c r="H3263">
        <v>13</v>
      </c>
      <c r="I3263">
        <f t="shared" si="52"/>
        <v>17</v>
      </c>
    </row>
    <row r="3264" spans="1:9">
      <c r="A3264" s="1">
        <v>42544.28125</v>
      </c>
      <c r="B3264" s="19">
        <v>42689</v>
      </c>
      <c r="C3264" s="21">
        <v>0.58333333333333337</v>
      </c>
      <c r="D3264" s="20" t="s">
        <v>3040</v>
      </c>
      <c r="E3264" t="s">
        <v>0</v>
      </c>
      <c r="G3264" t="s">
        <v>961</v>
      </c>
      <c r="H3264">
        <v>13</v>
      </c>
      <c r="I3264">
        <f t="shared" si="52"/>
        <v>17</v>
      </c>
    </row>
    <row r="3265" spans="1:9">
      <c r="A3265" s="1">
        <v>42544.279166666667</v>
      </c>
      <c r="B3265" s="19">
        <v>42689</v>
      </c>
      <c r="C3265" s="21">
        <v>0.57638888888888884</v>
      </c>
      <c r="D3265" s="20" t="s">
        <v>3039</v>
      </c>
      <c r="E3265" t="s">
        <v>0</v>
      </c>
      <c r="F3265" t="s">
        <v>10</v>
      </c>
      <c r="G3265" t="s">
        <v>255</v>
      </c>
      <c r="H3265">
        <v>13</v>
      </c>
      <c r="I3265">
        <f t="shared" si="52"/>
        <v>17</v>
      </c>
    </row>
    <row r="3266" spans="1:9">
      <c r="A3266" s="1">
        <v>42544.277777777781</v>
      </c>
      <c r="B3266" s="19">
        <v>42689</v>
      </c>
      <c r="C3266" s="21">
        <v>0.26666666666666666</v>
      </c>
      <c r="D3266" s="20" t="s">
        <v>3031</v>
      </c>
      <c r="E3266" t="s">
        <v>18</v>
      </c>
      <c r="F3266" t="s">
        <v>100</v>
      </c>
      <c r="G3266" t="s">
        <v>362</v>
      </c>
      <c r="H3266" t="e">
        <v>#VALUE!</v>
      </c>
      <c r="I3266" t="e">
        <f t="shared" si="52"/>
        <v>#VALUE!</v>
      </c>
    </row>
    <row r="3267" spans="1:9">
      <c r="A3267" s="1">
        <v>42544.276388888888</v>
      </c>
      <c r="B3267" s="19">
        <v>42689</v>
      </c>
      <c r="C3267" s="21">
        <v>0.22638888888888889</v>
      </c>
      <c r="D3267" s="20" t="s">
        <v>3055</v>
      </c>
      <c r="E3267" t="s">
        <v>149</v>
      </c>
      <c r="F3267" t="s">
        <v>150</v>
      </c>
      <c r="G3267" t="s">
        <v>980</v>
      </c>
      <c r="H3267">
        <v>7</v>
      </c>
      <c r="I3267">
        <f t="shared" ref="I3267:I3330" si="53">ROUNDUP((H3267*1.24), 0)</f>
        <v>9</v>
      </c>
    </row>
    <row r="3268" spans="1:9">
      <c r="A3268" s="1">
        <v>42544.237500000003</v>
      </c>
      <c r="B3268" s="19">
        <v>42689</v>
      </c>
      <c r="C3268" s="21">
        <v>0.20833333333333334</v>
      </c>
      <c r="D3268" s="20" t="s">
        <v>3055</v>
      </c>
      <c r="E3268" t="s">
        <v>33</v>
      </c>
      <c r="F3268" t="s">
        <v>44</v>
      </c>
      <c r="G3268" t="s">
        <v>324</v>
      </c>
      <c r="H3268">
        <v>7</v>
      </c>
      <c r="I3268">
        <f t="shared" si="53"/>
        <v>9</v>
      </c>
    </row>
    <row r="3269" spans="1:9">
      <c r="A3269" s="1">
        <v>42543.474999999999</v>
      </c>
      <c r="B3269" s="19">
        <v>42695</v>
      </c>
      <c r="C3269" s="21">
        <v>0.92500000000000004</v>
      </c>
      <c r="D3269" s="20" t="s">
        <v>3049</v>
      </c>
      <c r="E3269" t="s">
        <v>6</v>
      </c>
      <c r="F3269" t="s">
        <v>12</v>
      </c>
      <c r="G3269" t="s">
        <v>971</v>
      </c>
      <c r="H3269" t="e">
        <v>#VALUE!</v>
      </c>
      <c r="I3269" t="e">
        <f t="shared" si="53"/>
        <v>#VALUE!</v>
      </c>
    </row>
    <row r="3270" spans="1:9">
      <c r="A3270" s="1">
        <v>42543.455555555556</v>
      </c>
      <c r="B3270" s="19">
        <v>42695</v>
      </c>
      <c r="C3270" s="21">
        <v>0.77916666666666667</v>
      </c>
      <c r="D3270" s="20" t="s">
        <v>3045</v>
      </c>
      <c r="E3270" t="s">
        <v>6</v>
      </c>
      <c r="F3270" t="s">
        <v>26</v>
      </c>
      <c r="G3270" t="s">
        <v>103</v>
      </c>
      <c r="H3270">
        <v>19</v>
      </c>
      <c r="I3270">
        <f t="shared" si="53"/>
        <v>24</v>
      </c>
    </row>
    <row r="3271" spans="1:9">
      <c r="A3271" s="1">
        <v>42543.261111111111</v>
      </c>
      <c r="B3271" s="19">
        <v>42695</v>
      </c>
      <c r="C3271" s="21">
        <v>0.64583333333333337</v>
      </c>
      <c r="D3271" s="20" t="s">
        <v>3042</v>
      </c>
      <c r="E3271" t="s">
        <v>6</v>
      </c>
      <c r="F3271" t="s">
        <v>12</v>
      </c>
      <c r="G3271" t="s">
        <v>65</v>
      </c>
      <c r="H3271" t="e">
        <v>#VALUE!</v>
      </c>
      <c r="I3271" t="e">
        <f t="shared" si="53"/>
        <v>#VALUE!</v>
      </c>
    </row>
    <row r="3272" spans="1:9">
      <c r="A3272" s="1">
        <v>42543.170138888891</v>
      </c>
      <c r="B3272" s="19">
        <v>42695</v>
      </c>
      <c r="C3272" s="21">
        <v>0.61736111111111114</v>
      </c>
      <c r="D3272" s="20" t="s">
        <v>3040</v>
      </c>
      <c r="E3272" t="s">
        <v>2</v>
      </c>
      <c r="F3272" t="s">
        <v>3</v>
      </c>
      <c r="H3272">
        <v>7</v>
      </c>
      <c r="I3272">
        <f t="shared" si="53"/>
        <v>9</v>
      </c>
    </row>
    <row r="3273" spans="1:9">
      <c r="A3273" s="1">
        <v>42543.586111111108</v>
      </c>
      <c r="B3273" s="19">
        <v>42695</v>
      </c>
      <c r="C3273" s="21">
        <v>0.29305555555555557</v>
      </c>
      <c r="D3273" s="20" t="s">
        <v>3033</v>
      </c>
      <c r="E3273" t="s">
        <v>2</v>
      </c>
      <c r="F3273" t="s">
        <v>3</v>
      </c>
      <c r="G3273" t="s">
        <v>972</v>
      </c>
      <c r="H3273">
        <v>2</v>
      </c>
      <c r="I3273">
        <f t="shared" si="53"/>
        <v>3</v>
      </c>
    </row>
    <row r="3274" spans="1:9">
      <c r="A3274" s="1">
        <v>42543.573611111111</v>
      </c>
      <c r="B3274" s="19">
        <v>42695</v>
      </c>
      <c r="C3274" s="21">
        <v>0.28541666666666665</v>
      </c>
      <c r="D3274" s="20" t="s">
        <v>3031</v>
      </c>
      <c r="E3274" t="s">
        <v>2</v>
      </c>
      <c r="F3274" t="s">
        <v>5</v>
      </c>
      <c r="G3274" t="s">
        <v>973</v>
      </c>
      <c r="H3274" t="e">
        <v>#VALUE!</v>
      </c>
      <c r="I3274" t="e">
        <f t="shared" si="53"/>
        <v>#VALUE!</v>
      </c>
    </row>
    <row r="3275" spans="1:9">
      <c r="A3275" s="1">
        <v>42543.524305555555</v>
      </c>
      <c r="B3275" s="19">
        <v>42695</v>
      </c>
      <c r="C3275" s="21">
        <v>0.2590277777777778</v>
      </c>
      <c r="D3275" s="20" t="s">
        <v>3031</v>
      </c>
      <c r="E3275" t="s">
        <v>6</v>
      </c>
      <c r="F3275" t="s">
        <v>26</v>
      </c>
      <c r="G3275" t="s">
        <v>975</v>
      </c>
      <c r="H3275">
        <v>34</v>
      </c>
      <c r="I3275">
        <f t="shared" si="53"/>
        <v>43</v>
      </c>
    </row>
    <row r="3276" spans="1:9">
      <c r="A3276" s="1">
        <v>42543.38958333333</v>
      </c>
      <c r="B3276" s="19">
        <v>42695</v>
      </c>
      <c r="C3276" s="21">
        <v>0.99930555555555556</v>
      </c>
      <c r="D3276" s="20" t="s">
        <v>3063</v>
      </c>
      <c r="E3276" t="s">
        <v>0</v>
      </c>
      <c r="F3276" t="s">
        <v>10</v>
      </c>
      <c r="H3276">
        <v>13</v>
      </c>
      <c r="I3276">
        <f t="shared" si="53"/>
        <v>17</v>
      </c>
    </row>
    <row r="3277" spans="1:9">
      <c r="A3277" s="1">
        <v>42543.383333333331</v>
      </c>
      <c r="B3277" s="19">
        <v>42695</v>
      </c>
      <c r="C3277" s="21">
        <v>0.84027777777777779</v>
      </c>
      <c r="D3277" s="20" t="s">
        <v>3047</v>
      </c>
      <c r="E3277" t="s">
        <v>0</v>
      </c>
      <c r="F3277" t="s">
        <v>10</v>
      </c>
      <c r="H3277">
        <v>13</v>
      </c>
      <c r="I3277">
        <f t="shared" si="53"/>
        <v>17</v>
      </c>
    </row>
    <row r="3278" spans="1:9">
      <c r="A3278" s="1">
        <v>42543.279861111114</v>
      </c>
      <c r="B3278" s="19">
        <v>42695</v>
      </c>
      <c r="C3278" s="21">
        <v>0.67708333333333337</v>
      </c>
      <c r="D3278" s="20" t="s">
        <v>3043</v>
      </c>
      <c r="E3278" t="s">
        <v>0</v>
      </c>
      <c r="F3278" t="s">
        <v>10</v>
      </c>
      <c r="H3278">
        <v>13</v>
      </c>
      <c r="I3278">
        <f t="shared" si="53"/>
        <v>17</v>
      </c>
    </row>
    <row r="3279" spans="1:9">
      <c r="A3279" s="1">
        <v>42543.155555555553</v>
      </c>
      <c r="B3279" s="19">
        <v>42695</v>
      </c>
      <c r="C3279" s="21">
        <v>0.58888888888888891</v>
      </c>
      <c r="D3279" s="20" t="s">
        <v>3040</v>
      </c>
      <c r="E3279" t="s">
        <v>0</v>
      </c>
      <c r="G3279" t="s">
        <v>9</v>
      </c>
      <c r="H3279">
        <v>13</v>
      </c>
      <c r="I3279">
        <f t="shared" si="53"/>
        <v>17</v>
      </c>
    </row>
    <row r="3280" spans="1:9">
      <c r="A3280" s="1">
        <v>42542.939583333333</v>
      </c>
      <c r="B3280" s="19">
        <v>42695</v>
      </c>
      <c r="C3280" s="21">
        <v>0.28541666666666665</v>
      </c>
      <c r="D3280" s="20" t="s">
        <v>3031</v>
      </c>
      <c r="E3280" t="s">
        <v>0</v>
      </c>
      <c r="F3280" t="s">
        <v>1</v>
      </c>
      <c r="H3280">
        <v>2</v>
      </c>
      <c r="I3280">
        <f t="shared" si="53"/>
        <v>3</v>
      </c>
    </row>
    <row r="3281" spans="1:9">
      <c r="A3281" s="1">
        <v>42542.861805555556</v>
      </c>
      <c r="B3281" s="19">
        <v>42695</v>
      </c>
      <c r="C3281" s="21">
        <v>0.26041666666666669</v>
      </c>
      <c r="D3281" s="20" t="s">
        <v>3031</v>
      </c>
      <c r="E3281" t="s">
        <v>0</v>
      </c>
      <c r="G3281" t="s">
        <v>974</v>
      </c>
      <c r="H3281">
        <v>2</v>
      </c>
      <c r="I3281">
        <f t="shared" si="53"/>
        <v>3</v>
      </c>
    </row>
    <row r="3282" spans="1:9">
      <c r="A3282" s="1">
        <v>42542.395138888889</v>
      </c>
      <c r="B3282" s="19">
        <v>42695</v>
      </c>
      <c r="C3282" s="21">
        <v>0.23541666666666666</v>
      </c>
      <c r="D3282" s="20" t="s">
        <v>3055</v>
      </c>
      <c r="E3282" t="s">
        <v>0</v>
      </c>
      <c r="G3282" t="s">
        <v>976</v>
      </c>
      <c r="H3282">
        <v>17</v>
      </c>
      <c r="I3282">
        <f t="shared" si="53"/>
        <v>22</v>
      </c>
    </row>
    <row r="3283" spans="1:9">
      <c r="A3283" s="1">
        <v>42542.34375</v>
      </c>
      <c r="B3283" s="19">
        <v>42696</v>
      </c>
      <c r="C3283" s="21">
        <v>0.96388888888888891</v>
      </c>
      <c r="D3283" s="20" t="s">
        <v>3063</v>
      </c>
      <c r="E3283" t="s">
        <v>2</v>
      </c>
      <c r="F3283" t="s">
        <v>5</v>
      </c>
      <c r="H3283">
        <v>4</v>
      </c>
      <c r="I3283">
        <f t="shared" si="53"/>
        <v>5</v>
      </c>
    </row>
    <row r="3284" spans="1:9">
      <c r="A3284" s="1">
        <v>42542.295138888891</v>
      </c>
      <c r="B3284" s="19">
        <v>42696</v>
      </c>
      <c r="C3284" s="21">
        <v>0.93263888888888891</v>
      </c>
      <c r="D3284" s="20" t="s">
        <v>3049</v>
      </c>
      <c r="E3284" t="s">
        <v>6</v>
      </c>
      <c r="F3284" t="s">
        <v>46</v>
      </c>
      <c r="G3284" t="s">
        <v>962</v>
      </c>
      <c r="H3284">
        <v>56</v>
      </c>
      <c r="I3284">
        <f t="shared" si="53"/>
        <v>70</v>
      </c>
    </row>
    <row r="3285" spans="1:9">
      <c r="A3285" s="1">
        <v>42542.270138888889</v>
      </c>
      <c r="B3285" s="19">
        <v>42696</v>
      </c>
      <c r="C3285" s="21">
        <v>0.89097222222222228</v>
      </c>
      <c r="D3285" s="20" t="s">
        <v>3048</v>
      </c>
      <c r="E3285" t="s">
        <v>6</v>
      </c>
      <c r="F3285" t="s">
        <v>21</v>
      </c>
      <c r="G3285" t="s">
        <v>103</v>
      </c>
      <c r="H3285">
        <v>9</v>
      </c>
      <c r="I3285">
        <f t="shared" si="53"/>
        <v>12</v>
      </c>
    </row>
    <row r="3286" spans="1:9">
      <c r="A3286" s="1">
        <v>42542.250694444447</v>
      </c>
      <c r="B3286" s="19">
        <v>42696</v>
      </c>
      <c r="C3286" s="21">
        <v>0.59930555555555554</v>
      </c>
      <c r="D3286" s="20" t="s">
        <v>3040</v>
      </c>
      <c r="E3286" t="s">
        <v>2</v>
      </c>
      <c r="F3286" t="s">
        <v>5</v>
      </c>
      <c r="G3286" t="s">
        <v>963</v>
      </c>
      <c r="H3286" t="e">
        <v>#VALUE!</v>
      </c>
      <c r="I3286" t="e">
        <f t="shared" si="53"/>
        <v>#VALUE!</v>
      </c>
    </row>
    <row r="3287" spans="1:9">
      <c r="A3287" s="1">
        <v>42542.154861111114</v>
      </c>
      <c r="B3287" s="19">
        <v>42696</v>
      </c>
      <c r="C3287" s="21">
        <v>0.59791666666666665</v>
      </c>
      <c r="D3287" s="20" t="s">
        <v>3040</v>
      </c>
      <c r="E3287" t="s">
        <v>6</v>
      </c>
      <c r="F3287" t="s">
        <v>12</v>
      </c>
      <c r="G3287" t="s">
        <v>964</v>
      </c>
      <c r="H3287" t="e">
        <v>#VALUE!</v>
      </c>
      <c r="I3287" t="e">
        <f t="shared" si="53"/>
        <v>#VALUE!</v>
      </c>
    </row>
    <row r="3288" spans="1:9">
      <c r="A3288" s="1">
        <v>42542.750694444447</v>
      </c>
      <c r="B3288" s="19">
        <v>42696</v>
      </c>
      <c r="C3288" s="21">
        <v>0.50347222222222221</v>
      </c>
      <c r="D3288" s="20" t="s">
        <v>3038</v>
      </c>
      <c r="E3288" t="s">
        <v>6</v>
      </c>
      <c r="F3288" t="s">
        <v>12</v>
      </c>
      <c r="G3288" t="s">
        <v>966</v>
      </c>
      <c r="H3288" t="e">
        <v>#VALUE!</v>
      </c>
      <c r="I3288" t="e">
        <f t="shared" si="53"/>
        <v>#VALUE!</v>
      </c>
    </row>
    <row r="3289" spans="1:9">
      <c r="A3289" s="1">
        <v>42542.603472222225</v>
      </c>
      <c r="B3289" s="19">
        <v>42696</v>
      </c>
      <c r="C3289" s="21">
        <v>0.3888888888888889</v>
      </c>
      <c r="D3289" s="20" t="s">
        <v>3035</v>
      </c>
      <c r="E3289" t="s">
        <v>6</v>
      </c>
      <c r="F3289" t="s">
        <v>15</v>
      </c>
      <c r="G3289" t="s">
        <v>967</v>
      </c>
      <c r="H3289">
        <v>10</v>
      </c>
      <c r="I3289">
        <f t="shared" si="53"/>
        <v>13</v>
      </c>
    </row>
    <row r="3290" spans="1:9">
      <c r="A3290" s="1">
        <v>42542.588194444441</v>
      </c>
      <c r="B3290" s="19">
        <v>42696</v>
      </c>
      <c r="C3290" s="21">
        <v>0.36180555555555555</v>
      </c>
      <c r="D3290" s="20" t="s">
        <v>3034</v>
      </c>
      <c r="E3290" t="s">
        <v>6</v>
      </c>
      <c r="F3290" t="s">
        <v>21</v>
      </c>
      <c r="G3290" t="s">
        <v>967</v>
      </c>
      <c r="H3290">
        <v>19</v>
      </c>
      <c r="I3290">
        <f t="shared" si="53"/>
        <v>24</v>
      </c>
    </row>
    <row r="3291" spans="1:9">
      <c r="A3291" s="1">
        <v>42542.520138888889</v>
      </c>
      <c r="B3291" s="19">
        <v>42696</v>
      </c>
      <c r="C3291" s="21">
        <v>0.34861111111111109</v>
      </c>
      <c r="D3291" s="20" t="s">
        <v>3034</v>
      </c>
      <c r="E3291" t="s">
        <v>6</v>
      </c>
      <c r="F3291" t="s">
        <v>21</v>
      </c>
      <c r="G3291" t="s">
        <v>967</v>
      </c>
      <c r="H3291">
        <v>10</v>
      </c>
      <c r="I3291">
        <f t="shared" si="53"/>
        <v>13</v>
      </c>
    </row>
    <row r="3292" spans="1:9">
      <c r="A3292" s="1">
        <v>42542.515277777777</v>
      </c>
      <c r="B3292" s="19">
        <v>42696</v>
      </c>
      <c r="C3292" s="21">
        <v>0.34513888888888888</v>
      </c>
      <c r="D3292" s="20" t="s">
        <v>3034</v>
      </c>
      <c r="E3292" t="s">
        <v>6</v>
      </c>
      <c r="F3292" t="s">
        <v>46</v>
      </c>
      <c r="G3292" t="s">
        <v>968</v>
      </c>
      <c r="H3292">
        <v>4</v>
      </c>
      <c r="I3292">
        <f t="shared" si="53"/>
        <v>5</v>
      </c>
    </row>
    <row r="3293" spans="1:9">
      <c r="A3293" s="1">
        <v>42542.481944444444</v>
      </c>
      <c r="B3293" s="19">
        <v>42696</v>
      </c>
      <c r="C3293" s="21">
        <v>0.26250000000000001</v>
      </c>
      <c r="D3293" s="20" t="s">
        <v>3031</v>
      </c>
      <c r="E3293" t="s">
        <v>6</v>
      </c>
      <c r="F3293" t="s">
        <v>12</v>
      </c>
      <c r="G3293" t="s">
        <v>964</v>
      </c>
      <c r="H3293" t="e">
        <v>#VALUE!</v>
      </c>
      <c r="I3293" t="e">
        <f t="shared" si="53"/>
        <v>#VALUE!</v>
      </c>
    </row>
    <row r="3294" spans="1:9">
      <c r="A3294" s="1">
        <v>42542.479861111111</v>
      </c>
      <c r="B3294" s="19">
        <v>42696</v>
      </c>
      <c r="C3294" s="21">
        <v>0.20624999999999999</v>
      </c>
      <c r="D3294" s="20" t="s">
        <v>3054</v>
      </c>
      <c r="E3294" t="s">
        <v>2</v>
      </c>
      <c r="F3294" t="s">
        <v>5</v>
      </c>
      <c r="G3294" t="s">
        <v>969</v>
      </c>
      <c r="H3294">
        <v>19</v>
      </c>
      <c r="I3294">
        <f t="shared" si="53"/>
        <v>24</v>
      </c>
    </row>
    <row r="3295" spans="1:9">
      <c r="A3295" s="1">
        <v>42542.459027777775</v>
      </c>
      <c r="B3295" s="19">
        <v>42696</v>
      </c>
      <c r="C3295" s="21">
        <v>0.17777777777777778</v>
      </c>
      <c r="D3295" s="20" t="s">
        <v>3054</v>
      </c>
      <c r="E3295" t="s">
        <v>6</v>
      </c>
      <c r="F3295" t="s">
        <v>89</v>
      </c>
      <c r="G3295" t="s">
        <v>970</v>
      </c>
      <c r="H3295" t="e">
        <v>#VALUE!</v>
      </c>
      <c r="I3295" t="e">
        <f t="shared" si="53"/>
        <v>#VALUE!</v>
      </c>
    </row>
    <row r="3296" spans="1:9">
      <c r="A3296" s="1">
        <v>42542.454861111109</v>
      </c>
      <c r="B3296" s="19">
        <v>42696</v>
      </c>
      <c r="C3296" s="21">
        <v>0.1423611111111111</v>
      </c>
      <c r="D3296" s="20" t="s">
        <v>3053</v>
      </c>
      <c r="E3296" t="s">
        <v>2</v>
      </c>
      <c r="F3296" t="s">
        <v>3</v>
      </c>
      <c r="G3296" t="s">
        <v>735</v>
      </c>
      <c r="H3296">
        <v>19</v>
      </c>
      <c r="I3296">
        <f t="shared" si="53"/>
        <v>24</v>
      </c>
    </row>
    <row r="3297" spans="1:9">
      <c r="A3297" s="1">
        <v>42542.365972222222</v>
      </c>
      <c r="B3297" s="19">
        <v>42696</v>
      </c>
      <c r="C3297" s="21">
        <v>0.8</v>
      </c>
      <c r="D3297" s="20" t="s">
        <v>3046</v>
      </c>
      <c r="E3297" t="s">
        <v>0</v>
      </c>
      <c r="F3297" t="s">
        <v>1</v>
      </c>
      <c r="H3297">
        <v>13</v>
      </c>
      <c r="I3297">
        <f t="shared" si="53"/>
        <v>17</v>
      </c>
    </row>
    <row r="3298" spans="1:9">
      <c r="A3298" s="1">
        <v>42542.318055555559</v>
      </c>
      <c r="B3298" s="19">
        <v>42696</v>
      </c>
      <c r="C3298" s="21">
        <v>0.56944444444444442</v>
      </c>
      <c r="D3298" s="20" t="s">
        <v>3039</v>
      </c>
      <c r="E3298" t="s">
        <v>0</v>
      </c>
      <c r="F3298" t="s">
        <v>10</v>
      </c>
      <c r="G3298" t="s">
        <v>965</v>
      </c>
      <c r="H3298">
        <v>25</v>
      </c>
      <c r="I3298">
        <f t="shared" si="53"/>
        <v>31</v>
      </c>
    </row>
    <row r="3299" spans="1:9">
      <c r="A3299" s="1">
        <v>42542.308333333334</v>
      </c>
      <c r="B3299" s="19">
        <v>42696</v>
      </c>
      <c r="C3299" s="21">
        <v>0.16597222222222222</v>
      </c>
      <c r="D3299" s="20" t="s">
        <v>3053</v>
      </c>
      <c r="E3299" t="s">
        <v>0</v>
      </c>
      <c r="F3299" t="s">
        <v>10</v>
      </c>
      <c r="H3299">
        <v>13</v>
      </c>
      <c r="I3299">
        <f t="shared" si="53"/>
        <v>17</v>
      </c>
    </row>
    <row r="3300" spans="1:9">
      <c r="A3300" s="1">
        <v>42542.256944444445</v>
      </c>
      <c r="B3300" s="19">
        <v>42697</v>
      </c>
      <c r="C3300" s="21">
        <v>0.27083333333333331</v>
      </c>
      <c r="D3300" s="20" t="s">
        <v>3031</v>
      </c>
      <c r="E3300" t="s">
        <v>2</v>
      </c>
      <c r="F3300" t="s">
        <v>5</v>
      </c>
      <c r="G3300" t="s">
        <v>959</v>
      </c>
      <c r="H3300">
        <v>31</v>
      </c>
      <c r="I3300">
        <f t="shared" si="53"/>
        <v>39</v>
      </c>
    </row>
    <row r="3301" spans="1:9">
      <c r="A3301" s="1">
        <v>42542.172222222223</v>
      </c>
      <c r="B3301" s="19">
        <v>42697</v>
      </c>
      <c r="C3301" s="21">
        <v>0.25972222222222224</v>
      </c>
      <c r="D3301" s="20" t="s">
        <v>3031</v>
      </c>
      <c r="E3301" t="s">
        <v>6</v>
      </c>
      <c r="F3301" t="s">
        <v>26</v>
      </c>
      <c r="G3301" t="s">
        <v>960</v>
      </c>
      <c r="H3301">
        <v>19</v>
      </c>
      <c r="I3301">
        <f t="shared" si="53"/>
        <v>24</v>
      </c>
    </row>
    <row r="3302" spans="1:9">
      <c r="A3302" s="1">
        <v>42542.163194444445</v>
      </c>
      <c r="B3302" s="19">
        <v>42697</v>
      </c>
      <c r="C3302" s="21">
        <v>0.58680555555555558</v>
      </c>
      <c r="D3302" s="20" t="s">
        <v>3040</v>
      </c>
      <c r="E3302" t="s">
        <v>18</v>
      </c>
      <c r="F3302" t="s">
        <v>71</v>
      </c>
      <c r="G3302" t="s">
        <v>958</v>
      </c>
      <c r="H3302">
        <v>19</v>
      </c>
      <c r="I3302">
        <f t="shared" si="53"/>
        <v>24</v>
      </c>
    </row>
    <row r="3303" spans="1:9">
      <c r="A3303" s="1">
        <v>42542.126388888886</v>
      </c>
      <c r="B3303" s="19">
        <v>42697</v>
      </c>
      <c r="C3303" s="21">
        <v>0.58402777777777781</v>
      </c>
      <c r="D3303" s="20" t="s">
        <v>3040</v>
      </c>
      <c r="E3303" t="s">
        <v>0</v>
      </c>
      <c r="F3303" t="s">
        <v>10</v>
      </c>
      <c r="H3303">
        <v>13</v>
      </c>
      <c r="I3303">
        <f t="shared" si="53"/>
        <v>17</v>
      </c>
    </row>
    <row r="3304" spans="1:9">
      <c r="A3304" s="1">
        <v>42542.116666666669</v>
      </c>
      <c r="B3304" s="19">
        <v>42697</v>
      </c>
      <c r="C3304" s="21">
        <v>0.4284722222222222</v>
      </c>
      <c r="D3304" s="20" t="s">
        <v>3036</v>
      </c>
      <c r="E3304" t="s">
        <v>18</v>
      </c>
      <c r="F3304" t="s">
        <v>71</v>
      </c>
      <c r="H3304">
        <v>25</v>
      </c>
      <c r="I3304">
        <f t="shared" si="53"/>
        <v>31</v>
      </c>
    </row>
    <row r="3305" spans="1:9">
      <c r="A3305" s="1">
        <v>42542.042361111111</v>
      </c>
      <c r="B3305" s="19">
        <v>42697</v>
      </c>
      <c r="C3305" s="21">
        <v>0.25555555555555554</v>
      </c>
      <c r="D3305" s="20" t="s">
        <v>3031</v>
      </c>
      <c r="E3305" t="s">
        <v>0</v>
      </c>
      <c r="G3305" t="s">
        <v>961</v>
      </c>
      <c r="H3305">
        <v>13</v>
      </c>
      <c r="I3305">
        <f t="shared" si="53"/>
        <v>17</v>
      </c>
    </row>
    <row r="3306" spans="1:9">
      <c r="A3306" s="1">
        <v>42541.713194444441</v>
      </c>
      <c r="B3306" s="19">
        <v>42698</v>
      </c>
      <c r="C3306" s="21">
        <v>0.54097222222222219</v>
      </c>
      <c r="D3306" s="20" t="s">
        <v>3038</v>
      </c>
      <c r="E3306" t="s">
        <v>6</v>
      </c>
      <c r="F3306" t="s">
        <v>12</v>
      </c>
      <c r="G3306" t="s">
        <v>955</v>
      </c>
      <c r="H3306">
        <v>13</v>
      </c>
      <c r="I3306">
        <f t="shared" si="53"/>
        <v>17</v>
      </c>
    </row>
    <row r="3307" spans="1:9">
      <c r="A3307" s="1">
        <v>42541.640277777777</v>
      </c>
      <c r="B3307" s="19">
        <v>42698</v>
      </c>
      <c r="C3307" s="21">
        <v>0.59444444444444444</v>
      </c>
      <c r="D3307" s="20" t="s">
        <v>3040</v>
      </c>
      <c r="E3307" t="s">
        <v>0</v>
      </c>
      <c r="G3307" t="s">
        <v>216</v>
      </c>
      <c r="H3307">
        <v>13</v>
      </c>
      <c r="I3307">
        <f t="shared" si="53"/>
        <v>17</v>
      </c>
    </row>
    <row r="3308" spans="1:9">
      <c r="A3308" s="1">
        <v>42541.561805555553</v>
      </c>
      <c r="B3308" s="19">
        <v>42698</v>
      </c>
      <c r="C3308" s="21">
        <v>0.56388888888888888</v>
      </c>
      <c r="D3308" s="20" t="s">
        <v>3039</v>
      </c>
      <c r="E3308" t="s">
        <v>0</v>
      </c>
      <c r="F3308" t="s">
        <v>10</v>
      </c>
      <c r="G3308" t="s">
        <v>954</v>
      </c>
      <c r="H3308">
        <v>25</v>
      </c>
      <c r="I3308">
        <f t="shared" si="53"/>
        <v>31</v>
      </c>
    </row>
    <row r="3309" spans="1:9">
      <c r="A3309" s="1">
        <v>42541.511805555558</v>
      </c>
      <c r="B3309" s="19">
        <v>42698</v>
      </c>
      <c r="C3309" s="21">
        <v>0.45902777777777776</v>
      </c>
      <c r="D3309" s="20" t="s">
        <v>3037</v>
      </c>
      <c r="E3309" t="s">
        <v>18</v>
      </c>
      <c r="F3309" t="s">
        <v>100</v>
      </c>
      <c r="G3309" t="s">
        <v>956</v>
      </c>
      <c r="H3309">
        <v>0</v>
      </c>
      <c r="I3309">
        <f t="shared" si="53"/>
        <v>0</v>
      </c>
    </row>
    <row r="3310" spans="1:9">
      <c r="A3310" s="1">
        <v>42541.381249999999</v>
      </c>
      <c r="B3310" s="19">
        <v>42698</v>
      </c>
      <c r="C3310" s="21">
        <v>0.45833333333333331</v>
      </c>
      <c r="D3310" s="20" t="s">
        <v>3037</v>
      </c>
      <c r="E3310" t="s">
        <v>0</v>
      </c>
      <c r="G3310" t="s">
        <v>957</v>
      </c>
      <c r="H3310">
        <v>13</v>
      </c>
      <c r="I3310">
        <f t="shared" si="53"/>
        <v>17</v>
      </c>
    </row>
    <row r="3311" spans="1:9">
      <c r="A3311" s="1">
        <v>42541.332638888889</v>
      </c>
      <c r="B3311" s="19">
        <v>42699</v>
      </c>
      <c r="C3311" s="21">
        <v>0.95694444444444449</v>
      </c>
      <c r="D3311" s="20" t="s">
        <v>3049</v>
      </c>
      <c r="E3311" t="s">
        <v>2</v>
      </c>
      <c r="F3311" t="s">
        <v>3</v>
      </c>
      <c r="G3311" t="s">
        <v>365</v>
      </c>
      <c r="H3311">
        <v>15</v>
      </c>
      <c r="I3311">
        <f t="shared" si="53"/>
        <v>19</v>
      </c>
    </row>
    <row r="3312" spans="1:9">
      <c r="A3312" s="1">
        <v>42541.249305555553</v>
      </c>
      <c r="B3312" s="19">
        <v>42699</v>
      </c>
      <c r="C3312" s="21">
        <v>0.9194444444444444</v>
      </c>
      <c r="D3312" s="20" t="s">
        <v>3049</v>
      </c>
      <c r="E3312" t="s">
        <v>6</v>
      </c>
      <c r="F3312" t="s">
        <v>21</v>
      </c>
      <c r="G3312" t="s">
        <v>249</v>
      </c>
      <c r="H3312" t="e">
        <v>#VALUE!</v>
      </c>
      <c r="I3312" t="e">
        <f t="shared" si="53"/>
        <v>#VALUE!</v>
      </c>
    </row>
    <row r="3313" spans="1:9">
      <c r="A3313" s="1">
        <v>42541.999305555553</v>
      </c>
      <c r="B3313" s="19">
        <v>42699</v>
      </c>
      <c r="C3313" s="21">
        <v>0.7055555555555556</v>
      </c>
      <c r="D3313" s="20" t="s">
        <v>3043</v>
      </c>
      <c r="E3313" t="s">
        <v>6</v>
      </c>
      <c r="F3313" t="s">
        <v>46</v>
      </c>
      <c r="G3313" t="s">
        <v>65</v>
      </c>
      <c r="H3313">
        <v>7</v>
      </c>
      <c r="I3313">
        <f t="shared" si="53"/>
        <v>9</v>
      </c>
    </row>
    <row r="3314" spans="1:9">
      <c r="A3314" s="1">
        <v>42541.959027777775</v>
      </c>
      <c r="B3314" s="19">
        <v>42699</v>
      </c>
      <c r="C3314" s="21">
        <v>0.69444444444444442</v>
      </c>
      <c r="D3314" s="20" t="s">
        <v>3043</v>
      </c>
      <c r="E3314" t="s">
        <v>6</v>
      </c>
      <c r="F3314" t="s">
        <v>21</v>
      </c>
      <c r="G3314" t="s">
        <v>942</v>
      </c>
      <c r="H3314" t="e">
        <v>#VALUE!</v>
      </c>
      <c r="I3314" t="e">
        <f t="shared" si="53"/>
        <v>#VALUE!</v>
      </c>
    </row>
    <row r="3315" spans="1:9">
      <c r="A3315" s="1">
        <v>42541.943055555559</v>
      </c>
      <c r="B3315" s="19">
        <v>42699</v>
      </c>
      <c r="C3315" s="21">
        <v>0.67638888888888893</v>
      </c>
      <c r="D3315" s="20" t="s">
        <v>3043</v>
      </c>
      <c r="E3315" t="s">
        <v>6</v>
      </c>
      <c r="F3315" t="s">
        <v>12</v>
      </c>
      <c r="H3315">
        <v>7</v>
      </c>
      <c r="I3315">
        <f t="shared" si="53"/>
        <v>9</v>
      </c>
    </row>
    <row r="3316" spans="1:9">
      <c r="A3316" s="1">
        <v>42541.936111111114</v>
      </c>
      <c r="B3316" s="19">
        <v>42699</v>
      </c>
      <c r="C3316" s="21">
        <v>0.66527777777777775</v>
      </c>
      <c r="D3316" s="20" t="s">
        <v>3042</v>
      </c>
      <c r="E3316" t="s">
        <v>2</v>
      </c>
      <c r="F3316" t="s">
        <v>5</v>
      </c>
      <c r="H3316" t="e">
        <v>#VALUE!</v>
      </c>
      <c r="I3316" t="e">
        <f t="shared" si="53"/>
        <v>#VALUE!</v>
      </c>
    </row>
    <row r="3317" spans="1:9">
      <c r="A3317" s="1">
        <v>42541.789583333331</v>
      </c>
      <c r="B3317" s="19">
        <v>42699</v>
      </c>
      <c r="C3317" s="21">
        <v>0.62986111111111109</v>
      </c>
      <c r="D3317" s="20" t="s">
        <v>3042</v>
      </c>
      <c r="E3317" t="s">
        <v>2</v>
      </c>
      <c r="G3317" t="s">
        <v>943</v>
      </c>
      <c r="H3317">
        <v>38</v>
      </c>
      <c r="I3317">
        <f t="shared" si="53"/>
        <v>48</v>
      </c>
    </row>
    <row r="3318" spans="1:9">
      <c r="A3318" s="1">
        <v>42541.520833333336</v>
      </c>
      <c r="B3318" s="19">
        <v>42699</v>
      </c>
      <c r="C3318" s="21">
        <v>0.58472222222222225</v>
      </c>
      <c r="D3318" s="20" t="s">
        <v>3040</v>
      </c>
      <c r="E3318" t="s">
        <v>6</v>
      </c>
      <c r="F3318" t="s">
        <v>12</v>
      </c>
      <c r="G3318" t="s">
        <v>944</v>
      </c>
      <c r="H3318" t="e">
        <v>#VALUE!</v>
      </c>
      <c r="I3318" t="e">
        <f t="shared" si="53"/>
        <v>#VALUE!</v>
      </c>
    </row>
    <row r="3319" spans="1:9">
      <c r="A3319" s="1">
        <v>42541.502083333333</v>
      </c>
      <c r="B3319" s="19">
        <v>42699</v>
      </c>
      <c r="C3319" s="21">
        <v>0.57499999999999996</v>
      </c>
      <c r="D3319" s="20" t="s">
        <v>3039</v>
      </c>
      <c r="E3319" t="s">
        <v>6</v>
      </c>
      <c r="F3319" t="s">
        <v>12</v>
      </c>
      <c r="G3319" t="s">
        <v>945</v>
      </c>
      <c r="H3319">
        <v>17</v>
      </c>
      <c r="I3319">
        <f t="shared" si="53"/>
        <v>22</v>
      </c>
    </row>
    <row r="3320" spans="1:9">
      <c r="A3320" s="1">
        <v>42541.44027777778</v>
      </c>
      <c r="B3320" s="19">
        <v>42699</v>
      </c>
      <c r="C3320" s="21">
        <v>0.44583333333333336</v>
      </c>
      <c r="D3320" s="20" t="s">
        <v>3036</v>
      </c>
      <c r="E3320" t="s">
        <v>2</v>
      </c>
      <c r="F3320" t="s">
        <v>56</v>
      </c>
      <c r="H3320">
        <v>38</v>
      </c>
      <c r="I3320">
        <f t="shared" si="53"/>
        <v>48</v>
      </c>
    </row>
    <row r="3321" spans="1:9">
      <c r="A3321" s="1">
        <v>42541.350694444445</v>
      </c>
      <c r="B3321" s="19">
        <v>42699</v>
      </c>
      <c r="C3321" s="21">
        <v>0.3527777777777778</v>
      </c>
      <c r="D3321" s="20" t="s">
        <v>3034</v>
      </c>
      <c r="E3321" t="s">
        <v>6</v>
      </c>
      <c r="F3321" t="s">
        <v>21</v>
      </c>
      <c r="G3321" t="s">
        <v>947</v>
      </c>
      <c r="H3321">
        <v>0</v>
      </c>
      <c r="I3321">
        <f t="shared" si="53"/>
        <v>0</v>
      </c>
    </row>
    <row r="3322" spans="1:9">
      <c r="A3322" s="1">
        <v>42541.344444444447</v>
      </c>
      <c r="B3322" s="19">
        <v>42699</v>
      </c>
      <c r="C3322" s="21">
        <v>0.34652777777777777</v>
      </c>
      <c r="D3322" s="20" t="s">
        <v>3034</v>
      </c>
      <c r="E3322" t="s">
        <v>6</v>
      </c>
      <c r="F3322" t="s">
        <v>21</v>
      </c>
      <c r="G3322" t="s">
        <v>948</v>
      </c>
      <c r="H3322">
        <v>12</v>
      </c>
      <c r="I3322">
        <f t="shared" si="53"/>
        <v>15</v>
      </c>
    </row>
    <row r="3323" spans="1:9">
      <c r="A3323" s="1">
        <v>42541.330555555556</v>
      </c>
      <c r="B3323" s="19">
        <v>42699</v>
      </c>
      <c r="C3323" s="21">
        <v>0.30902777777777779</v>
      </c>
      <c r="D3323" s="20" t="s">
        <v>3033</v>
      </c>
      <c r="E3323" t="s">
        <v>2</v>
      </c>
      <c r="F3323" t="s">
        <v>48</v>
      </c>
      <c r="H3323">
        <v>44</v>
      </c>
      <c r="I3323">
        <f t="shared" si="53"/>
        <v>55</v>
      </c>
    </row>
    <row r="3324" spans="1:9">
      <c r="A3324" s="1">
        <v>42541.254861111112</v>
      </c>
      <c r="B3324" s="19">
        <v>42699</v>
      </c>
      <c r="C3324" s="21">
        <v>0.27500000000000002</v>
      </c>
      <c r="D3324" s="20" t="s">
        <v>3031</v>
      </c>
      <c r="E3324" t="s">
        <v>2</v>
      </c>
      <c r="F3324" t="s">
        <v>5</v>
      </c>
      <c r="H3324">
        <v>3</v>
      </c>
      <c r="I3324">
        <f t="shared" si="53"/>
        <v>4</v>
      </c>
    </row>
    <row r="3325" spans="1:9">
      <c r="A3325" s="1">
        <v>42538.53125</v>
      </c>
      <c r="B3325" s="19">
        <v>42699</v>
      </c>
      <c r="C3325" s="21">
        <v>0.25</v>
      </c>
      <c r="D3325" s="20" t="s">
        <v>3031</v>
      </c>
      <c r="E3325" t="s">
        <v>6</v>
      </c>
      <c r="F3325" t="s">
        <v>21</v>
      </c>
      <c r="G3325" t="s">
        <v>950</v>
      </c>
      <c r="H3325" t="e">
        <v>#VALUE!</v>
      </c>
      <c r="I3325" t="e">
        <f t="shared" si="53"/>
        <v>#VALUE!</v>
      </c>
    </row>
    <row r="3326" spans="1:9">
      <c r="A3326" s="1">
        <v>42538.294444444444</v>
      </c>
      <c r="B3326" s="19">
        <v>42699</v>
      </c>
      <c r="C3326" s="21">
        <v>4.3749999999999997E-2</v>
      </c>
      <c r="D3326" s="20" t="s">
        <v>3051</v>
      </c>
      <c r="E3326" t="s">
        <v>6</v>
      </c>
      <c r="F3326" t="s">
        <v>21</v>
      </c>
      <c r="G3326" t="s">
        <v>951</v>
      </c>
      <c r="H3326" t="e">
        <v>#VALUE!</v>
      </c>
      <c r="I3326" t="e">
        <f t="shared" si="53"/>
        <v>#VALUE!</v>
      </c>
    </row>
    <row r="3327" spans="1:9">
      <c r="A3327" s="1">
        <v>42538.25277777778</v>
      </c>
      <c r="B3327" s="19">
        <v>42699</v>
      </c>
      <c r="C3327" s="21">
        <v>1.8055555555555554E-2</v>
      </c>
      <c r="D3327" s="20" t="s">
        <v>3050</v>
      </c>
      <c r="E3327" t="s">
        <v>2</v>
      </c>
      <c r="F3327" t="s">
        <v>5</v>
      </c>
      <c r="G3327" t="s">
        <v>952</v>
      </c>
      <c r="H3327">
        <v>46</v>
      </c>
      <c r="I3327">
        <f t="shared" si="53"/>
        <v>58</v>
      </c>
    </row>
    <row r="3328" spans="1:9">
      <c r="A3328" s="1">
        <v>42538.25277777778</v>
      </c>
      <c r="B3328" s="19">
        <v>42699</v>
      </c>
      <c r="C3328" s="21">
        <v>1.1805555555555555E-2</v>
      </c>
      <c r="D3328" s="20" t="s">
        <v>3050</v>
      </c>
      <c r="E3328" t="s">
        <v>6</v>
      </c>
      <c r="F3328" t="s">
        <v>21</v>
      </c>
      <c r="G3328" t="s">
        <v>953</v>
      </c>
      <c r="H3328">
        <v>17</v>
      </c>
      <c r="I3328">
        <f t="shared" si="53"/>
        <v>22</v>
      </c>
    </row>
    <row r="3329" spans="1:9">
      <c r="A3329" s="1">
        <v>42538.54791666667</v>
      </c>
      <c r="B3329" s="19">
        <v>42699</v>
      </c>
      <c r="C3329" s="21">
        <v>0.68541666666666667</v>
      </c>
      <c r="D3329" s="20" t="s">
        <v>3043</v>
      </c>
      <c r="E3329" t="s">
        <v>0</v>
      </c>
      <c r="F3329" t="s">
        <v>75</v>
      </c>
      <c r="H3329">
        <v>7</v>
      </c>
      <c r="I3329">
        <f t="shared" si="53"/>
        <v>9</v>
      </c>
    </row>
    <row r="3330" spans="1:9">
      <c r="A3330" s="1">
        <v>42538.546527777777</v>
      </c>
      <c r="B3330" s="19">
        <v>42699</v>
      </c>
      <c r="C3330" s="21">
        <v>0.6694444444444444</v>
      </c>
      <c r="D3330" s="20" t="s">
        <v>3043</v>
      </c>
      <c r="E3330" t="s">
        <v>0</v>
      </c>
      <c r="F3330" t="s">
        <v>1</v>
      </c>
      <c r="H3330">
        <v>13</v>
      </c>
      <c r="I3330">
        <f t="shared" si="53"/>
        <v>17</v>
      </c>
    </row>
    <row r="3331" spans="1:9">
      <c r="A3331" s="1">
        <v>42538.542361111111</v>
      </c>
      <c r="B3331" s="19">
        <v>42699</v>
      </c>
      <c r="C3331" s="21">
        <v>0.59097222222222223</v>
      </c>
      <c r="D3331" s="20" t="s">
        <v>3040</v>
      </c>
      <c r="E3331" t="s">
        <v>0</v>
      </c>
      <c r="G3331" t="s">
        <v>216</v>
      </c>
      <c r="H3331">
        <v>13</v>
      </c>
      <c r="I3331">
        <f t="shared" ref="I3331:I3394" si="54">ROUNDUP((H3331*1.24), 0)</f>
        <v>17</v>
      </c>
    </row>
    <row r="3332" spans="1:9">
      <c r="A3332" s="1">
        <v>42538.533333333333</v>
      </c>
      <c r="B3332" s="19">
        <v>42699</v>
      </c>
      <c r="C3332" s="21">
        <v>0.54166666666666663</v>
      </c>
      <c r="D3332" s="20" t="s">
        <v>3039</v>
      </c>
      <c r="E3332" t="s">
        <v>0</v>
      </c>
      <c r="F3332" t="s">
        <v>313</v>
      </c>
      <c r="G3332" t="s">
        <v>946</v>
      </c>
      <c r="H3332">
        <v>7</v>
      </c>
      <c r="I3332">
        <f t="shared" si="54"/>
        <v>9</v>
      </c>
    </row>
    <row r="3333" spans="1:9">
      <c r="A3333" s="1">
        <v>42538.45208333333</v>
      </c>
      <c r="B3333" s="19">
        <v>42699</v>
      </c>
      <c r="C3333" s="21">
        <v>0.25555555555555554</v>
      </c>
      <c r="D3333" s="20" t="s">
        <v>3031</v>
      </c>
      <c r="E3333" t="s">
        <v>0</v>
      </c>
      <c r="G3333" t="s">
        <v>949</v>
      </c>
      <c r="H3333">
        <v>12</v>
      </c>
      <c r="I3333">
        <f t="shared" si="54"/>
        <v>15</v>
      </c>
    </row>
    <row r="3334" spans="1:9">
      <c r="A3334" s="1">
        <v>42538.440972222219</v>
      </c>
      <c r="B3334" s="19">
        <v>42702</v>
      </c>
      <c r="C3334" s="21">
        <v>0.88055555555555554</v>
      </c>
      <c r="D3334" s="20" t="s">
        <v>3048</v>
      </c>
      <c r="E3334" t="s">
        <v>6</v>
      </c>
      <c r="F3334" t="s">
        <v>15</v>
      </c>
      <c r="G3334" t="s">
        <v>932</v>
      </c>
      <c r="H3334">
        <v>12</v>
      </c>
      <c r="I3334">
        <f t="shared" si="54"/>
        <v>15</v>
      </c>
    </row>
    <row r="3335" spans="1:9">
      <c r="A3335" s="1">
        <v>42538.438888888886</v>
      </c>
      <c r="B3335" s="19">
        <v>42702</v>
      </c>
      <c r="C3335" s="21">
        <v>0.59305555555555556</v>
      </c>
      <c r="D3335" s="20" t="s">
        <v>3040</v>
      </c>
      <c r="E3335" t="s">
        <v>2</v>
      </c>
      <c r="F3335" t="s">
        <v>5</v>
      </c>
      <c r="G3335" t="s">
        <v>934</v>
      </c>
      <c r="H3335">
        <v>10</v>
      </c>
      <c r="I3335">
        <f t="shared" si="54"/>
        <v>13</v>
      </c>
    </row>
    <row r="3336" spans="1:9">
      <c r="A3336" s="1">
        <v>42538.393055555556</v>
      </c>
      <c r="B3336" s="19">
        <v>42702</v>
      </c>
      <c r="C3336" s="21">
        <v>0.46111111111111114</v>
      </c>
      <c r="D3336" s="20" t="s">
        <v>3037</v>
      </c>
      <c r="E3336" t="s">
        <v>2</v>
      </c>
      <c r="F3336" t="s">
        <v>48</v>
      </c>
      <c r="G3336" t="s">
        <v>937</v>
      </c>
      <c r="H3336" t="e">
        <v>#VALUE!</v>
      </c>
      <c r="I3336" t="e">
        <f t="shared" si="54"/>
        <v>#VALUE!</v>
      </c>
    </row>
    <row r="3337" spans="1:9">
      <c r="A3337" s="1">
        <v>42538.380555555559</v>
      </c>
      <c r="B3337" s="19">
        <v>42702</v>
      </c>
      <c r="C3337" s="21">
        <v>0.41805555555555557</v>
      </c>
      <c r="D3337" s="20" t="s">
        <v>3036</v>
      </c>
      <c r="E3337" t="s">
        <v>2</v>
      </c>
      <c r="F3337" t="s">
        <v>48</v>
      </c>
      <c r="G3337" t="s">
        <v>937</v>
      </c>
      <c r="H3337">
        <v>34</v>
      </c>
      <c r="I3337">
        <f t="shared" si="54"/>
        <v>43</v>
      </c>
    </row>
    <row r="3338" spans="1:9">
      <c r="A3338" s="1">
        <v>42538.376388888886</v>
      </c>
      <c r="B3338" s="19">
        <v>42702</v>
      </c>
      <c r="C3338" s="21">
        <v>0.33611111111111114</v>
      </c>
      <c r="D3338" s="20" t="s">
        <v>3034</v>
      </c>
      <c r="E3338" t="s">
        <v>6</v>
      </c>
      <c r="F3338" t="s">
        <v>7</v>
      </c>
      <c r="G3338" t="s">
        <v>940</v>
      </c>
      <c r="H3338">
        <v>19</v>
      </c>
      <c r="I3338">
        <f t="shared" si="54"/>
        <v>24</v>
      </c>
    </row>
    <row r="3339" spans="1:9">
      <c r="A3339" s="1">
        <v>42538.345833333333</v>
      </c>
      <c r="B3339" s="19">
        <v>42702</v>
      </c>
      <c r="C3339" s="21">
        <v>0.91597222222222219</v>
      </c>
      <c r="D3339" s="20" t="s">
        <v>3048</v>
      </c>
      <c r="E3339" t="s">
        <v>0</v>
      </c>
      <c r="G3339" t="s">
        <v>931</v>
      </c>
      <c r="H3339">
        <v>13</v>
      </c>
      <c r="I3339">
        <f t="shared" si="54"/>
        <v>17</v>
      </c>
    </row>
    <row r="3340" spans="1:9">
      <c r="A3340" s="1">
        <v>42538.316666666666</v>
      </c>
      <c r="B3340" s="19">
        <v>42702</v>
      </c>
      <c r="C3340" s="21">
        <v>0.76736111111111116</v>
      </c>
      <c r="D3340" s="20" t="s">
        <v>3045</v>
      </c>
      <c r="E3340" t="s">
        <v>149</v>
      </c>
      <c r="F3340" t="s">
        <v>150</v>
      </c>
      <c r="G3340" t="s">
        <v>933</v>
      </c>
      <c r="H3340">
        <v>10</v>
      </c>
      <c r="I3340">
        <f t="shared" si="54"/>
        <v>13</v>
      </c>
    </row>
    <row r="3341" spans="1:9">
      <c r="A3341" s="1">
        <v>42538.3125</v>
      </c>
      <c r="B3341" s="19">
        <v>42702</v>
      </c>
      <c r="C3341" s="21">
        <v>0.5854166666666667</v>
      </c>
      <c r="D3341" s="20" t="s">
        <v>3040</v>
      </c>
      <c r="E3341" t="s">
        <v>18</v>
      </c>
      <c r="F3341" t="s">
        <v>71</v>
      </c>
      <c r="G3341" t="s">
        <v>935</v>
      </c>
      <c r="H3341">
        <v>13</v>
      </c>
      <c r="I3341">
        <f t="shared" si="54"/>
        <v>17</v>
      </c>
    </row>
    <row r="3342" spans="1:9">
      <c r="A3342" s="1">
        <v>42538.302777777775</v>
      </c>
      <c r="B3342" s="19">
        <v>42702</v>
      </c>
      <c r="C3342" s="21">
        <v>0.5229166666666667</v>
      </c>
      <c r="D3342" s="20" t="s">
        <v>3038</v>
      </c>
      <c r="E3342" t="s">
        <v>0</v>
      </c>
      <c r="G3342" t="s">
        <v>936</v>
      </c>
      <c r="H3342">
        <v>2</v>
      </c>
      <c r="I3342">
        <f t="shared" si="54"/>
        <v>3</v>
      </c>
    </row>
    <row r="3343" spans="1:9">
      <c r="A3343" s="1">
        <v>42537.168055555558</v>
      </c>
      <c r="B3343" s="19">
        <v>42702</v>
      </c>
      <c r="C3343" s="21">
        <v>0.43611111111111112</v>
      </c>
      <c r="D3343" s="20" t="s">
        <v>3036</v>
      </c>
      <c r="E3343" t="s">
        <v>0</v>
      </c>
      <c r="G3343" t="s">
        <v>938</v>
      </c>
      <c r="H3343">
        <v>2</v>
      </c>
      <c r="I3343">
        <f t="shared" si="54"/>
        <v>3</v>
      </c>
    </row>
    <row r="3344" spans="1:9">
      <c r="A3344" s="1">
        <v>42537.14166666667</v>
      </c>
      <c r="B3344" s="19">
        <v>42702</v>
      </c>
      <c r="C3344" s="21">
        <v>0.36458333333333331</v>
      </c>
      <c r="D3344" s="20" t="s">
        <v>3034</v>
      </c>
      <c r="E3344" t="s">
        <v>0</v>
      </c>
      <c r="F3344" t="s">
        <v>75</v>
      </c>
      <c r="G3344" t="s">
        <v>75</v>
      </c>
      <c r="H3344">
        <v>4</v>
      </c>
      <c r="I3344">
        <f t="shared" si="54"/>
        <v>5</v>
      </c>
    </row>
    <row r="3345" spans="1:9">
      <c r="A3345" s="1">
        <v>42536.918749999997</v>
      </c>
      <c r="B3345" s="19">
        <v>42702</v>
      </c>
      <c r="C3345" s="21">
        <v>0.34375</v>
      </c>
      <c r="D3345" s="20" t="s">
        <v>3034</v>
      </c>
      <c r="E3345" t="s">
        <v>149</v>
      </c>
      <c r="F3345" t="s">
        <v>150</v>
      </c>
      <c r="G3345" t="s">
        <v>939</v>
      </c>
      <c r="H3345">
        <v>9</v>
      </c>
      <c r="I3345">
        <f t="shared" si="54"/>
        <v>12</v>
      </c>
    </row>
    <row r="3346" spans="1:9">
      <c r="A3346" s="1">
        <v>42536.757638888892</v>
      </c>
      <c r="B3346" s="19">
        <v>42702</v>
      </c>
      <c r="C3346" s="21">
        <v>0.32569444444444445</v>
      </c>
      <c r="D3346" s="20" t="s">
        <v>3033</v>
      </c>
      <c r="E3346" t="s">
        <v>77</v>
      </c>
      <c r="G3346" t="s">
        <v>941</v>
      </c>
      <c r="H3346">
        <v>38</v>
      </c>
      <c r="I3346">
        <f t="shared" si="54"/>
        <v>48</v>
      </c>
    </row>
    <row r="3347" spans="1:9">
      <c r="A3347" s="1">
        <v>42536.726388888892</v>
      </c>
      <c r="B3347" s="19">
        <v>42702</v>
      </c>
      <c r="C3347" s="21">
        <v>0.32500000000000001</v>
      </c>
      <c r="D3347" s="20" t="s">
        <v>3033</v>
      </c>
      <c r="E3347" t="s">
        <v>33</v>
      </c>
      <c r="G3347" t="s">
        <v>9</v>
      </c>
      <c r="H3347">
        <v>13</v>
      </c>
      <c r="I3347">
        <f t="shared" si="54"/>
        <v>17</v>
      </c>
    </row>
    <row r="3348" spans="1:9">
      <c r="A3348" s="1">
        <v>42536.667361111111</v>
      </c>
      <c r="B3348" s="19">
        <v>42703</v>
      </c>
      <c r="C3348" s="21">
        <v>0.19444444444444445</v>
      </c>
      <c r="D3348" s="20" t="s">
        <v>3054</v>
      </c>
      <c r="E3348" t="s">
        <v>6</v>
      </c>
      <c r="F3348" t="s">
        <v>12</v>
      </c>
      <c r="G3348" t="s">
        <v>45</v>
      </c>
      <c r="H3348">
        <v>9</v>
      </c>
      <c r="I3348">
        <f t="shared" si="54"/>
        <v>12</v>
      </c>
    </row>
    <row r="3349" spans="1:9">
      <c r="A3349" s="1">
        <v>42536.661111111112</v>
      </c>
      <c r="B3349" s="19">
        <v>42703</v>
      </c>
      <c r="C3349" s="21">
        <v>0.25138888888888888</v>
      </c>
      <c r="D3349" s="20" t="s">
        <v>3031</v>
      </c>
      <c r="E3349" t="s">
        <v>0</v>
      </c>
      <c r="G3349" t="s">
        <v>9</v>
      </c>
      <c r="H3349">
        <v>13</v>
      </c>
      <c r="I3349">
        <f t="shared" si="54"/>
        <v>17</v>
      </c>
    </row>
    <row r="3350" spans="1:9">
      <c r="A3350" s="1">
        <v>42536.567361111112</v>
      </c>
      <c r="B3350" s="19">
        <v>42703</v>
      </c>
      <c r="C3350" s="21">
        <v>1.2500000000000001E-2</v>
      </c>
      <c r="D3350" s="20" t="s">
        <v>3050</v>
      </c>
      <c r="E3350" t="s">
        <v>0</v>
      </c>
      <c r="G3350" t="s">
        <v>930</v>
      </c>
      <c r="H3350" t="e">
        <v>#VALUE!</v>
      </c>
      <c r="I3350" t="e">
        <f t="shared" si="54"/>
        <v>#VALUE!</v>
      </c>
    </row>
    <row r="3351" spans="1:9">
      <c r="A3351" s="1">
        <v>42536.425000000003</v>
      </c>
      <c r="B3351" s="19">
        <v>42705</v>
      </c>
      <c r="C3351" s="21">
        <v>0.80486111111111114</v>
      </c>
      <c r="D3351" s="20" t="s">
        <v>3046</v>
      </c>
      <c r="E3351" t="s">
        <v>6</v>
      </c>
      <c r="F3351" t="s">
        <v>15</v>
      </c>
      <c r="G3351" t="s">
        <v>927</v>
      </c>
      <c r="H3351">
        <v>65</v>
      </c>
      <c r="I3351">
        <f t="shared" si="54"/>
        <v>81</v>
      </c>
    </row>
    <row r="3352" spans="1:9">
      <c r="A3352" s="1">
        <v>42536.976388888892</v>
      </c>
      <c r="B3352" s="19">
        <v>42705</v>
      </c>
      <c r="C3352" s="21">
        <v>0.70277777777777772</v>
      </c>
      <c r="D3352" s="20" t="s">
        <v>3043</v>
      </c>
      <c r="E3352" t="s">
        <v>2</v>
      </c>
      <c r="F3352" t="s">
        <v>5</v>
      </c>
      <c r="G3352" t="s">
        <v>928</v>
      </c>
      <c r="H3352" t="e">
        <v>#VALUE!</v>
      </c>
      <c r="I3352" t="e">
        <f t="shared" si="54"/>
        <v>#VALUE!</v>
      </c>
    </row>
    <row r="3353" spans="1:9">
      <c r="A3353" s="1">
        <v>42536.875</v>
      </c>
      <c r="B3353" s="19">
        <v>42705</v>
      </c>
      <c r="C3353" s="21">
        <v>0.69861111111111107</v>
      </c>
      <c r="D3353" s="20" t="s">
        <v>3043</v>
      </c>
      <c r="E3353" t="s">
        <v>6</v>
      </c>
      <c r="F3353" t="s">
        <v>12</v>
      </c>
      <c r="G3353" t="s">
        <v>929</v>
      </c>
      <c r="H3353">
        <v>8</v>
      </c>
      <c r="I3353">
        <f t="shared" si="54"/>
        <v>10</v>
      </c>
    </row>
    <row r="3354" spans="1:9">
      <c r="A3354" s="1">
        <v>42536.847916666666</v>
      </c>
      <c r="B3354" s="19">
        <v>42705</v>
      </c>
      <c r="C3354" s="21">
        <v>0.92083333333333328</v>
      </c>
      <c r="D3354" s="20" t="s">
        <v>3049</v>
      </c>
      <c r="E3354" t="s">
        <v>0</v>
      </c>
      <c r="G3354" t="s">
        <v>756</v>
      </c>
      <c r="H3354">
        <v>13</v>
      </c>
      <c r="I3354">
        <f t="shared" si="54"/>
        <v>17</v>
      </c>
    </row>
    <row r="3355" spans="1:9">
      <c r="A3355" s="1">
        <v>42536.836805555555</v>
      </c>
      <c r="B3355" s="19">
        <v>42705</v>
      </c>
      <c r="C3355" s="21">
        <v>0.79791666666666672</v>
      </c>
      <c r="D3355" s="20" t="s">
        <v>3046</v>
      </c>
      <c r="E3355" t="s">
        <v>0</v>
      </c>
      <c r="F3355" t="s">
        <v>1</v>
      </c>
      <c r="H3355">
        <v>13</v>
      </c>
      <c r="I3355">
        <f t="shared" si="54"/>
        <v>17</v>
      </c>
    </row>
    <row r="3356" spans="1:9">
      <c r="A3356" s="1">
        <v>42536.813888888886</v>
      </c>
      <c r="B3356" s="19">
        <v>42705</v>
      </c>
      <c r="C3356" s="21">
        <v>0.63680555555555551</v>
      </c>
      <c r="D3356" s="20" t="s">
        <v>3042</v>
      </c>
      <c r="E3356" t="s">
        <v>0</v>
      </c>
      <c r="G3356" t="s">
        <v>335</v>
      </c>
      <c r="H3356">
        <v>4</v>
      </c>
      <c r="I3356">
        <f t="shared" si="54"/>
        <v>5</v>
      </c>
    </row>
    <row r="3357" spans="1:9">
      <c r="A3357" s="1">
        <v>42536.708333333336</v>
      </c>
      <c r="B3357" s="19">
        <v>42706</v>
      </c>
      <c r="C3357" s="21">
        <v>0.93402777777777779</v>
      </c>
      <c r="D3357" s="20" t="s">
        <v>3049</v>
      </c>
      <c r="E3357" t="s">
        <v>6</v>
      </c>
      <c r="F3357" t="s">
        <v>61</v>
      </c>
      <c r="H3357">
        <v>12</v>
      </c>
      <c r="I3357">
        <f t="shared" si="54"/>
        <v>15</v>
      </c>
    </row>
    <row r="3358" spans="1:9">
      <c r="A3358" s="1">
        <v>42536.620138888888</v>
      </c>
      <c r="B3358" s="19">
        <v>42706</v>
      </c>
      <c r="C3358" s="21">
        <v>0.81944444444444442</v>
      </c>
      <c r="D3358" s="20" t="s">
        <v>3046</v>
      </c>
      <c r="E3358" t="s">
        <v>6</v>
      </c>
      <c r="F3358" t="s">
        <v>12</v>
      </c>
      <c r="G3358" t="s">
        <v>916</v>
      </c>
      <c r="H3358">
        <v>97</v>
      </c>
      <c r="I3358">
        <f t="shared" si="54"/>
        <v>121</v>
      </c>
    </row>
    <row r="3359" spans="1:9">
      <c r="A3359" s="1">
        <v>42536.613194444442</v>
      </c>
      <c r="B3359" s="19">
        <v>42706</v>
      </c>
      <c r="C3359" s="21">
        <v>0.71250000000000002</v>
      </c>
      <c r="D3359" s="20" t="s">
        <v>3044</v>
      </c>
      <c r="E3359" t="s">
        <v>2</v>
      </c>
      <c r="G3359" t="s">
        <v>917</v>
      </c>
      <c r="H3359" t="e">
        <v>#VALUE!</v>
      </c>
      <c r="I3359" t="e">
        <f t="shared" si="54"/>
        <v>#VALUE!</v>
      </c>
    </row>
    <row r="3360" spans="1:9">
      <c r="A3360" s="1">
        <v>42536.611805555556</v>
      </c>
      <c r="B3360" s="19">
        <v>42706</v>
      </c>
      <c r="C3360" s="21">
        <v>0.50972222222222219</v>
      </c>
      <c r="D3360" s="20" t="s">
        <v>3038</v>
      </c>
      <c r="E3360" t="s">
        <v>6</v>
      </c>
      <c r="F3360" t="s">
        <v>15</v>
      </c>
      <c r="G3360" t="s">
        <v>919</v>
      </c>
      <c r="H3360">
        <v>29</v>
      </c>
      <c r="I3360">
        <f t="shared" si="54"/>
        <v>36</v>
      </c>
    </row>
    <row r="3361" spans="1:9">
      <c r="A3361" s="1">
        <v>42536.439583333333</v>
      </c>
      <c r="B3361" s="19">
        <v>42706</v>
      </c>
      <c r="C3361" s="21">
        <v>0.44305555555555554</v>
      </c>
      <c r="D3361" s="20" t="s">
        <v>3036</v>
      </c>
      <c r="E3361" t="s">
        <v>2</v>
      </c>
      <c r="F3361" t="s">
        <v>3</v>
      </c>
      <c r="G3361" t="s">
        <v>920</v>
      </c>
      <c r="H3361">
        <v>9</v>
      </c>
      <c r="I3361">
        <f t="shared" si="54"/>
        <v>12</v>
      </c>
    </row>
    <row r="3362" spans="1:9">
      <c r="A3362" s="1">
        <v>42536.275000000001</v>
      </c>
      <c r="B3362" s="19">
        <v>42706</v>
      </c>
      <c r="C3362" s="21">
        <v>0.42152777777777778</v>
      </c>
      <c r="D3362" s="20" t="s">
        <v>3036</v>
      </c>
      <c r="E3362" t="s">
        <v>6</v>
      </c>
      <c r="F3362" t="s">
        <v>15</v>
      </c>
      <c r="G3362" t="s">
        <v>921</v>
      </c>
      <c r="H3362">
        <v>9</v>
      </c>
      <c r="I3362">
        <f t="shared" si="54"/>
        <v>12</v>
      </c>
    </row>
    <row r="3363" spans="1:9">
      <c r="A3363" s="1">
        <v>42535.918055555558</v>
      </c>
      <c r="B3363" s="19">
        <v>42706</v>
      </c>
      <c r="C3363" s="21">
        <v>0.3263888888888889</v>
      </c>
      <c r="D3363" s="20" t="s">
        <v>3033</v>
      </c>
      <c r="E3363" t="s">
        <v>2</v>
      </c>
      <c r="F3363" t="s">
        <v>5</v>
      </c>
      <c r="G3363" t="s">
        <v>811</v>
      </c>
      <c r="H3363">
        <v>19</v>
      </c>
      <c r="I3363">
        <f t="shared" si="54"/>
        <v>24</v>
      </c>
    </row>
    <row r="3364" spans="1:9">
      <c r="A3364" s="1">
        <v>42535.678472222222</v>
      </c>
      <c r="B3364" s="19">
        <v>42706</v>
      </c>
      <c r="C3364" s="21">
        <v>0.30694444444444446</v>
      </c>
      <c r="D3364" s="20" t="s">
        <v>3033</v>
      </c>
      <c r="E3364" t="s">
        <v>6</v>
      </c>
      <c r="F3364" t="s">
        <v>76</v>
      </c>
      <c r="G3364" t="s">
        <v>922</v>
      </c>
      <c r="H3364">
        <v>25</v>
      </c>
      <c r="I3364">
        <f t="shared" si="54"/>
        <v>31</v>
      </c>
    </row>
    <row r="3365" spans="1:9">
      <c r="A3365" s="1">
        <v>42535.586111111108</v>
      </c>
      <c r="B3365" s="19">
        <v>42706</v>
      </c>
      <c r="C3365" s="21">
        <v>0.27152777777777776</v>
      </c>
      <c r="D3365" s="20" t="s">
        <v>3031</v>
      </c>
      <c r="E3365" t="s">
        <v>2</v>
      </c>
      <c r="F3365" t="s">
        <v>5</v>
      </c>
      <c r="H3365">
        <v>7</v>
      </c>
      <c r="I3365">
        <f t="shared" si="54"/>
        <v>9</v>
      </c>
    </row>
    <row r="3366" spans="1:9">
      <c r="A3366" s="1">
        <v>42535.567361111112</v>
      </c>
      <c r="B3366" s="19">
        <v>42706</v>
      </c>
      <c r="C3366" s="21">
        <v>0.26250000000000001</v>
      </c>
      <c r="D3366" s="20" t="s">
        <v>3031</v>
      </c>
      <c r="E3366" t="s">
        <v>6</v>
      </c>
      <c r="F3366" t="s">
        <v>12</v>
      </c>
      <c r="G3366" t="s">
        <v>923</v>
      </c>
      <c r="H3366">
        <v>15</v>
      </c>
      <c r="I3366">
        <f t="shared" si="54"/>
        <v>19</v>
      </c>
    </row>
    <row r="3367" spans="1:9">
      <c r="A3367" s="1">
        <v>42535.559027777781</v>
      </c>
      <c r="B3367" s="19">
        <v>42706</v>
      </c>
      <c r="C3367" s="21">
        <v>0.11874999999999999</v>
      </c>
      <c r="D3367" s="20" t="s">
        <v>3052</v>
      </c>
      <c r="E3367" t="s">
        <v>6</v>
      </c>
      <c r="F3367" t="s">
        <v>12</v>
      </c>
      <c r="G3367" t="s">
        <v>924</v>
      </c>
      <c r="H3367">
        <v>7</v>
      </c>
      <c r="I3367">
        <f t="shared" si="54"/>
        <v>9</v>
      </c>
    </row>
    <row r="3368" spans="1:9">
      <c r="A3368" s="1">
        <v>42535.498611111114</v>
      </c>
      <c r="B3368" s="19">
        <v>42706</v>
      </c>
      <c r="C3368" s="21">
        <v>3.8194444444444448E-2</v>
      </c>
      <c r="D3368" s="20" t="s">
        <v>3050</v>
      </c>
      <c r="E3368" t="s">
        <v>6</v>
      </c>
      <c r="F3368" t="s">
        <v>12</v>
      </c>
      <c r="G3368" t="s">
        <v>925</v>
      </c>
      <c r="H3368">
        <v>7</v>
      </c>
      <c r="I3368">
        <f t="shared" si="54"/>
        <v>9</v>
      </c>
    </row>
    <row r="3369" spans="1:9">
      <c r="A3369" s="1">
        <v>42535.395833333336</v>
      </c>
      <c r="B3369" s="19">
        <v>42706</v>
      </c>
      <c r="C3369" s="21">
        <v>9.0277777777777769E-3</v>
      </c>
      <c r="D3369" s="20" t="s">
        <v>3050</v>
      </c>
      <c r="E3369" t="s">
        <v>6</v>
      </c>
      <c r="F3369" t="s">
        <v>15</v>
      </c>
      <c r="G3369" t="s">
        <v>926</v>
      </c>
      <c r="H3369">
        <v>34</v>
      </c>
      <c r="I3369">
        <f t="shared" si="54"/>
        <v>43</v>
      </c>
    </row>
    <row r="3370" spans="1:9">
      <c r="A3370" s="1">
        <v>42535.25</v>
      </c>
      <c r="B3370" s="19">
        <v>42706</v>
      </c>
      <c r="C3370" s="21">
        <v>0.94374999999999998</v>
      </c>
      <c r="D3370" s="20" t="s">
        <v>3049</v>
      </c>
      <c r="E3370" t="s">
        <v>18</v>
      </c>
      <c r="F3370" t="s">
        <v>19</v>
      </c>
      <c r="G3370" t="s">
        <v>915</v>
      </c>
      <c r="H3370">
        <v>13</v>
      </c>
      <c r="I3370">
        <f t="shared" si="54"/>
        <v>17</v>
      </c>
    </row>
    <row r="3371" spans="1:9">
      <c r="A3371" s="1">
        <v>42535.020833333336</v>
      </c>
      <c r="B3371" s="19">
        <v>42706</v>
      </c>
      <c r="C3371" s="21">
        <v>0.91527777777777775</v>
      </c>
      <c r="D3371" s="20" t="s">
        <v>3048</v>
      </c>
      <c r="E3371" t="s">
        <v>0</v>
      </c>
      <c r="G3371" t="s">
        <v>756</v>
      </c>
      <c r="H3371">
        <v>13</v>
      </c>
      <c r="I3371">
        <f t="shared" si="54"/>
        <v>17</v>
      </c>
    </row>
    <row r="3372" spans="1:9">
      <c r="A3372" s="1">
        <v>42535.998611111114</v>
      </c>
      <c r="B3372" s="19">
        <v>42706</v>
      </c>
      <c r="C3372" s="21">
        <v>0.87361111111111112</v>
      </c>
      <c r="D3372" s="20" t="s">
        <v>3047</v>
      </c>
      <c r="E3372" t="s">
        <v>0</v>
      </c>
      <c r="F3372" t="s">
        <v>1</v>
      </c>
      <c r="H3372">
        <v>15</v>
      </c>
      <c r="I3372">
        <f t="shared" si="54"/>
        <v>19</v>
      </c>
    </row>
    <row r="3373" spans="1:9">
      <c r="A3373" s="1">
        <v>42535.862500000003</v>
      </c>
      <c r="B3373" s="19">
        <v>42706</v>
      </c>
      <c r="C3373" s="21">
        <v>0.62152777777777779</v>
      </c>
      <c r="D3373" s="20" t="s">
        <v>3040</v>
      </c>
      <c r="E3373" t="s">
        <v>18</v>
      </c>
      <c r="F3373" t="s">
        <v>19</v>
      </c>
      <c r="H3373">
        <v>13</v>
      </c>
      <c r="I3373">
        <f t="shared" si="54"/>
        <v>17</v>
      </c>
    </row>
    <row r="3374" spans="1:9">
      <c r="A3374" s="1">
        <v>42535.707638888889</v>
      </c>
      <c r="B3374" s="19">
        <v>42706</v>
      </c>
      <c r="C3374" s="21">
        <v>0.55763888888888891</v>
      </c>
      <c r="D3374" s="20" t="s">
        <v>3039</v>
      </c>
      <c r="E3374" t="s">
        <v>18</v>
      </c>
      <c r="F3374" t="s">
        <v>19</v>
      </c>
      <c r="G3374" t="s">
        <v>918</v>
      </c>
      <c r="H3374">
        <v>10</v>
      </c>
      <c r="I3374">
        <f t="shared" si="54"/>
        <v>13</v>
      </c>
    </row>
    <row r="3375" spans="1:9">
      <c r="A3375" s="1">
        <v>42535.704861111109</v>
      </c>
      <c r="B3375" s="19">
        <v>42706</v>
      </c>
      <c r="C3375" s="21">
        <v>0.25347222222222221</v>
      </c>
      <c r="D3375" s="20" t="s">
        <v>3031</v>
      </c>
      <c r="E3375" t="s">
        <v>0</v>
      </c>
      <c r="G3375" t="s">
        <v>9</v>
      </c>
      <c r="H3375">
        <v>13</v>
      </c>
      <c r="I3375">
        <f t="shared" si="54"/>
        <v>17</v>
      </c>
    </row>
    <row r="3376" spans="1:9">
      <c r="A3376" s="1">
        <v>42535.67291666667</v>
      </c>
      <c r="B3376" s="19">
        <v>42707</v>
      </c>
      <c r="C3376" s="21">
        <v>0.22222222222222221</v>
      </c>
      <c r="D3376" s="20" t="s">
        <v>3055</v>
      </c>
      <c r="E3376" t="s">
        <v>6</v>
      </c>
      <c r="F3376" t="s">
        <v>15</v>
      </c>
      <c r="G3376" t="s">
        <v>909</v>
      </c>
      <c r="H3376">
        <v>50</v>
      </c>
      <c r="I3376">
        <f t="shared" si="54"/>
        <v>62</v>
      </c>
    </row>
    <row r="3377" spans="1:9">
      <c r="A3377" s="1">
        <v>42535.640972222223</v>
      </c>
      <c r="B3377" s="19">
        <v>42707</v>
      </c>
      <c r="C3377" s="21">
        <v>0.20972222222222223</v>
      </c>
      <c r="D3377" s="20" t="s">
        <v>3055</v>
      </c>
      <c r="E3377" t="s">
        <v>2</v>
      </c>
      <c r="F3377" t="s">
        <v>5</v>
      </c>
      <c r="G3377" t="s">
        <v>910</v>
      </c>
      <c r="H3377">
        <v>13</v>
      </c>
      <c r="I3377">
        <f t="shared" si="54"/>
        <v>17</v>
      </c>
    </row>
    <row r="3378" spans="1:9">
      <c r="A3378" s="1">
        <v>42535.609027777777</v>
      </c>
      <c r="B3378" s="19">
        <v>42707</v>
      </c>
      <c r="C3378" s="21">
        <v>0.16597222222222222</v>
      </c>
      <c r="D3378" s="20" t="s">
        <v>3053</v>
      </c>
      <c r="E3378" t="s">
        <v>6</v>
      </c>
      <c r="F3378" t="s">
        <v>15</v>
      </c>
      <c r="G3378" t="s">
        <v>911</v>
      </c>
      <c r="H3378" t="e">
        <v>#VALUE!</v>
      </c>
      <c r="I3378" t="e">
        <f t="shared" si="54"/>
        <v>#VALUE!</v>
      </c>
    </row>
    <row r="3379" spans="1:9">
      <c r="A3379" s="1">
        <v>42535.384722222225</v>
      </c>
      <c r="B3379" s="19">
        <v>42707</v>
      </c>
      <c r="C3379" s="21">
        <v>0.15555555555555556</v>
      </c>
      <c r="D3379" s="20" t="s">
        <v>3053</v>
      </c>
      <c r="E3379" t="s">
        <v>6</v>
      </c>
      <c r="F3379" t="s">
        <v>15</v>
      </c>
      <c r="G3379" t="s">
        <v>912</v>
      </c>
      <c r="H3379">
        <v>18</v>
      </c>
      <c r="I3379">
        <f t="shared" si="54"/>
        <v>23</v>
      </c>
    </row>
    <row r="3380" spans="1:9">
      <c r="A3380" s="1">
        <v>42535.196527777778</v>
      </c>
      <c r="B3380" s="19">
        <v>42707</v>
      </c>
      <c r="C3380" s="21">
        <v>0.12152777777777778</v>
      </c>
      <c r="D3380" s="20" t="s">
        <v>3052</v>
      </c>
      <c r="E3380" t="s">
        <v>2</v>
      </c>
      <c r="F3380" t="s">
        <v>5</v>
      </c>
      <c r="G3380" t="s">
        <v>913</v>
      </c>
      <c r="H3380">
        <v>38</v>
      </c>
      <c r="I3380">
        <f t="shared" si="54"/>
        <v>48</v>
      </c>
    </row>
    <row r="3381" spans="1:9">
      <c r="A3381" s="1">
        <v>42535.167361111111</v>
      </c>
      <c r="B3381" s="19">
        <v>42707</v>
      </c>
      <c r="C3381" s="21">
        <v>0.10347222222222222</v>
      </c>
      <c r="D3381" s="20" t="s">
        <v>3052</v>
      </c>
      <c r="E3381" t="s">
        <v>6</v>
      </c>
      <c r="F3381" t="s">
        <v>15</v>
      </c>
      <c r="G3381" t="s">
        <v>914</v>
      </c>
      <c r="H3381">
        <v>39</v>
      </c>
      <c r="I3381">
        <f t="shared" si="54"/>
        <v>49</v>
      </c>
    </row>
    <row r="3382" spans="1:9">
      <c r="A3382" s="1">
        <v>42535.039583333331</v>
      </c>
      <c r="B3382" s="19">
        <v>42709</v>
      </c>
      <c r="C3382" s="21">
        <v>0.86944444444444446</v>
      </c>
      <c r="D3382" s="20" t="s">
        <v>3047</v>
      </c>
      <c r="E3382" t="s">
        <v>6</v>
      </c>
      <c r="F3382" t="s">
        <v>21</v>
      </c>
      <c r="G3382" t="s">
        <v>905</v>
      </c>
      <c r="H3382">
        <v>7</v>
      </c>
      <c r="I3382">
        <f t="shared" si="54"/>
        <v>9</v>
      </c>
    </row>
    <row r="3383" spans="1:9">
      <c r="A3383" s="1">
        <v>42534.902083333334</v>
      </c>
      <c r="B3383" s="19">
        <v>42709</v>
      </c>
      <c r="C3383" s="21">
        <v>0.84097222222222223</v>
      </c>
      <c r="D3383" s="20" t="s">
        <v>3047</v>
      </c>
      <c r="E3383" t="s">
        <v>6</v>
      </c>
      <c r="F3383" t="s">
        <v>12</v>
      </c>
      <c r="G3383" t="s">
        <v>897</v>
      </c>
      <c r="H3383">
        <v>7</v>
      </c>
      <c r="I3383">
        <f t="shared" si="54"/>
        <v>9</v>
      </c>
    </row>
    <row r="3384" spans="1:9">
      <c r="A3384" s="1">
        <v>42534.898611111108</v>
      </c>
      <c r="B3384" s="19">
        <v>42709</v>
      </c>
      <c r="C3384" s="21">
        <v>0.62083333333333335</v>
      </c>
      <c r="D3384" s="20" t="s">
        <v>3040</v>
      </c>
      <c r="E3384" t="s">
        <v>6</v>
      </c>
      <c r="F3384" t="s">
        <v>15</v>
      </c>
      <c r="G3384" t="s">
        <v>906</v>
      </c>
      <c r="H3384" t="e">
        <v>#VALUE!</v>
      </c>
      <c r="I3384" t="e">
        <f t="shared" si="54"/>
        <v>#VALUE!</v>
      </c>
    </row>
    <row r="3385" spans="1:9">
      <c r="A3385" s="1">
        <v>42534.806250000001</v>
      </c>
      <c r="B3385" s="19">
        <v>42709</v>
      </c>
      <c r="C3385" s="21">
        <v>0.44791666666666669</v>
      </c>
      <c r="D3385" s="20" t="s">
        <v>3036</v>
      </c>
      <c r="E3385" t="s">
        <v>6</v>
      </c>
      <c r="F3385" t="s">
        <v>15</v>
      </c>
      <c r="G3385" t="s">
        <v>307</v>
      </c>
      <c r="H3385">
        <v>13</v>
      </c>
      <c r="I3385">
        <f t="shared" si="54"/>
        <v>17</v>
      </c>
    </row>
    <row r="3386" spans="1:9" ht="43.2">
      <c r="A3386" s="1">
        <v>42534.791666666664</v>
      </c>
      <c r="B3386" s="19">
        <v>42709</v>
      </c>
      <c r="C3386" s="21">
        <v>0.36736111111111114</v>
      </c>
      <c r="D3386" s="20" t="s">
        <v>3034</v>
      </c>
      <c r="E3386" t="s">
        <v>6</v>
      </c>
      <c r="F3386" t="s">
        <v>15</v>
      </c>
      <c r="G3386" s="2" t="s">
        <v>907</v>
      </c>
      <c r="H3386" t="e">
        <v>#VALUE!</v>
      </c>
      <c r="I3386" t="e">
        <f t="shared" si="54"/>
        <v>#VALUE!</v>
      </c>
    </row>
    <row r="3387" spans="1:9">
      <c r="A3387" s="1">
        <v>42534.699305555558</v>
      </c>
      <c r="B3387" s="19">
        <v>42709</v>
      </c>
      <c r="C3387" s="21">
        <v>0.91874999999999996</v>
      </c>
      <c r="D3387" s="20" t="s">
        <v>3049</v>
      </c>
      <c r="E3387" t="s">
        <v>0</v>
      </c>
      <c r="G3387" t="s">
        <v>193</v>
      </c>
      <c r="H3387">
        <v>13</v>
      </c>
      <c r="I3387">
        <f t="shared" si="54"/>
        <v>17</v>
      </c>
    </row>
    <row r="3388" spans="1:9">
      <c r="A3388" s="1">
        <v>42534.649305555555</v>
      </c>
      <c r="B3388" s="19">
        <v>42709</v>
      </c>
      <c r="C3388" s="21">
        <v>0.58333333333333337</v>
      </c>
      <c r="D3388" s="20" t="s">
        <v>3040</v>
      </c>
      <c r="E3388" t="s">
        <v>0</v>
      </c>
      <c r="G3388" t="s">
        <v>756</v>
      </c>
      <c r="H3388">
        <v>13</v>
      </c>
      <c r="I3388">
        <f t="shared" si="54"/>
        <v>17</v>
      </c>
    </row>
    <row r="3389" spans="1:9">
      <c r="A3389" s="1">
        <v>42534.625</v>
      </c>
      <c r="B3389" s="19">
        <v>42709</v>
      </c>
      <c r="C3389" s="21">
        <v>0.36527777777777776</v>
      </c>
      <c r="D3389" s="20" t="s">
        <v>3034</v>
      </c>
      <c r="E3389" t="s">
        <v>0</v>
      </c>
      <c r="G3389" t="s">
        <v>9</v>
      </c>
      <c r="H3389">
        <v>13</v>
      </c>
      <c r="I3389">
        <f t="shared" si="54"/>
        <v>17</v>
      </c>
    </row>
    <row r="3390" spans="1:9">
      <c r="A3390" s="1">
        <v>42534.620833333334</v>
      </c>
      <c r="B3390" s="19">
        <v>42709</v>
      </c>
      <c r="C3390" s="21">
        <v>0.36388888888888887</v>
      </c>
      <c r="D3390" s="20" t="s">
        <v>3034</v>
      </c>
      <c r="E3390" t="s">
        <v>0</v>
      </c>
      <c r="F3390" t="s">
        <v>1</v>
      </c>
      <c r="H3390">
        <v>13</v>
      </c>
      <c r="I3390">
        <f t="shared" si="54"/>
        <v>17</v>
      </c>
    </row>
    <row r="3391" spans="1:9">
      <c r="A3391" s="1">
        <v>42534.600694444445</v>
      </c>
      <c r="B3391" s="19">
        <v>42709</v>
      </c>
      <c r="C3391" s="21">
        <v>0.36249999999999999</v>
      </c>
      <c r="D3391" s="20" t="s">
        <v>3034</v>
      </c>
      <c r="E3391" t="s">
        <v>77</v>
      </c>
      <c r="G3391" t="s">
        <v>908</v>
      </c>
      <c r="H3391" t="e">
        <v>#VALUE!</v>
      </c>
      <c r="I3391" t="e">
        <f t="shared" si="54"/>
        <v>#VALUE!</v>
      </c>
    </row>
    <row r="3392" spans="1:9">
      <c r="A3392" s="1">
        <v>42534.458333333336</v>
      </c>
      <c r="B3392" s="19">
        <v>42710</v>
      </c>
      <c r="C3392" s="21">
        <v>0.95486111111111116</v>
      </c>
      <c r="D3392" s="20" t="s">
        <v>3049</v>
      </c>
      <c r="E3392" t="s">
        <v>2</v>
      </c>
      <c r="F3392" t="s">
        <v>5</v>
      </c>
      <c r="G3392" t="s">
        <v>894</v>
      </c>
      <c r="H3392">
        <v>25</v>
      </c>
      <c r="I3392">
        <f t="shared" si="54"/>
        <v>31</v>
      </c>
    </row>
    <row r="3393" spans="1:9">
      <c r="A3393" s="1">
        <v>42534.26458333333</v>
      </c>
      <c r="B3393" s="19">
        <v>42710</v>
      </c>
      <c r="C3393" s="21">
        <v>0.95</v>
      </c>
      <c r="D3393" s="20" t="s">
        <v>3049</v>
      </c>
      <c r="E3393" t="s">
        <v>6</v>
      </c>
      <c r="F3393" t="s">
        <v>26</v>
      </c>
      <c r="G3393" t="s">
        <v>895</v>
      </c>
      <c r="H3393">
        <v>8</v>
      </c>
      <c r="I3393">
        <f t="shared" si="54"/>
        <v>10</v>
      </c>
    </row>
    <row r="3394" spans="1:9">
      <c r="A3394" s="1">
        <v>42534.902083333334</v>
      </c>
      <c r="B3394" s="19">
        <v>42710</v>
      </c>
      <c r="C3394" s="21">
        <v>0.77708333333333335</v>
      </c>
      <c r="D3394" s="20" t="s">
        <v>3045</v>
      </c>
      <c r="E3394" t="s">
        <v>6</v>
      </c>
      <c r="F3394" t="s">
        <v>12</v>
      </c>
      <c r="G3394" t="s">
        <v>897</v>
      </c>
      <c r="H3394">
        <v>7</v>
      </c>
      <c r="I3394">
        <f t="shared" si="54"/>
        <v>9</v>
      </c>
    </row>
    <row r="3395" spans="1:9">
      <c r="A3395" s="1">
        <v>42534.811805555553</v>
      </c>
      <c r="B3395" s="19">
        <v>42710</v>
      </c>
      <c r="C3395" s="21">
        <v>0.50347222222222221</v>
      </c>
      <c r="D3395" s="20" t="s">
        <v>3038</v>
      </c>
      <c r="E3395" t="s">
        <v>6</v>
      </c>
      <c r="F3395" t="s">
        <v>15</v>
      </c>
      <c r="G3395" t="s">
        <v>898</v>
      </c>
      <c r="H3395">
        <v>12</v>
      </c>
      <c r="I3395">
        <f t="shared" ref="I3395:I3458" si="55">ROUNDUP((H3395*1.24), 0)</f>
        <v>15</v>
      </c>
    </row>
    <row r="3396" spans="1:9">
      <c r="A3396" s="1">
        <v>42534.62777777778</v>
      </c>
      <c r="B3396" s="19">
        <v>42710</v>
      </c>
      <c r="C3396" s="21">
        <v>0.39305555555555555</v>
      </c>
      <c r="D3396" s="20" t="s">
        <v>3035</v>
      </c>
      <c r="E3396" t="s">
        <v>6</v>
      </c>
      <c r="F3396" t="s">
        <v>15</v>
      </c>
      <c r="G3396" t="s">
        <v>899</v>
      </c>
      <c r="H3396" t="e">
        <v>#VALUE!</v>
      </c>
      <c r="I3396" t="e">
        <f t="shared" si="55"/>
        <v>#VALUE!</v>
      </c>
    </row>
    <row r="3397" spans="1:9">
      <c r="A3397" s="1">
        <v>42534.595833333333</v>
      </c>
      <c r="B3397" s="19">
        <v>42710</v>
      </c>
      <c r="C3397" s="21">
        <v>0.26944444444444443</v>
      </c>
      <c r="D3397" s="20" t="s">
        <v>3031</v>
      </c>
      <c r="E3397" t="s">
        <v>2</v>
      </c>
      <c r="F3397" t="s">
        <v>5</v>
      </c>
      <c r="G3397" t="s">
        <v>900</v>
      </c>
      <c r="H3397" t="e">
        <v>#VALUE!</v>
      </c>
      <c r="I3397" t="e">
        <f t="shared" si="55"/>
        <v>#VALUE!</v>
      </c>
    </row>
    <row r="3398" spans="1:9">
      <c r="A3398" s="1">
        <v>42534.492361111108</v>
      </c>
      <c r="B3398" s="19">
        <v>42710</v>
      </c>
      <c r="C3398" s="21">
        <v>0.17152777777777778</v>
      </c>
      <c r="D3398" s="20" t="s">
        <v>3054</v>
      </c>
      <c r="E3398" t="s">
        <v>6</v>
      </c>
      <c r="F3398" t="s">
        <v>15</v>
      </c>
      <c r="G3398" t="s">
        <v>103</v>
      </c>
      <c r="H3398">
        <v>7</v>
      </c>
      <c r="I3398">
        <f t="shared" si="55"/>
        <v>9</v>
      </c>
    </row>
    <row r="3399" spans="1:9">
      <c r="A3399" s="1">
        <v>42534.464583333334</v>
      </c>
      <c r="B3399" s="19">
        <v>42710</v>
      </c>
      <c r="C3399" s="21">
        <v>0.16944444444444445</v>
      </c>
      <c r="D3399" s="20" t="s">
        <v>3054</v>
      </c>
      <c r="E3399" t="s">
        <v>6</v>
      </c>
      <c r="F3399" t="s">
        <v>15</v>
      </c>
      <c r="G3399" t="s">
        <v>901</v>
      </c>
      <c r="H3399" t="e">
        <v>#VALUE!</v>
      </c>
      <c r="I3399" t="e">
        <f t="shared" si="55"/>
        <v>#VALUE!</v>
      </c>
    </row>
    <row r="3400" spans="1:9">
      <c r="A3400" s="1">
        <v>42534.38958333333</v>
      </c>
      <c r="B3400" s="19">
        <v>42710</v>
      </c>
      <c r="C3400" s="21">
        <v>0.10902777777777778</v>
      </c>
      <c r="D3400" s="20" t="s">
        <v>3052</v>
      </c>
      <c r="E3400" t="s">
        <v>2</v>
      </c>
      <c r="F3400" t="s">
        <v>5</v>
      </c>
      <c r="G3400" t="s">
        <v>902</v>
      </c>
      <c r="H3400">
        <v>40</v>
      </c>
      <c r="I3400">
        <f t="shared" si="55"/>
        <v>50</v>
      </c>
    </row>
    <row r="3401" spans="1:9">
      <c r="A3401" s="1">
        <v>42532.146527777775</v>
      </c>
      <c r="B3401" s="19">
        <v>42710</v>
      </c>
      <c r="C3401" s="21">
        <v>0.1</v>
      </c>
      <c r="D3401" s="20" t="s">
        <v>3052</v>
      </c>
      <c r="E3401" t="s">
        <v>6</v>
      </c>
      <c r="F3401" t="s">
        <v>15</v>
      </c>
      <c r="G3401" t="s">
        <v>903</v>
      </c>
      <c r="H3401">
        <v>17</v>
      </c>
      <c r="I3401">
        <f t="shared" si="55"/>
        <v>22</v>
      </c>
    </row>
    <row r="3402" spans="1:9">
      <c r="A3402" s="1">
        <v>42532.112500000003</v>
      </c>
      <c r="B3402" s="19">
        <v>42710</v>
      </c>
      <c r="C3402" s="21">
        <v>9.2361111111111116E-2</v>
      </c>
      <c r="D3402" s="20" t="s">
        <v>3052</v>
      </c>
      <c r="E3402" t="s">
        <v>6</v>
      </c>
      <c r="F3402" t="s">
        <v>15</v>
      </c>
      <c r="G3402" t="s">
        <v>904</v>
      </c>
      <c r="H3402">
        <v>19</v>
      </c>
      <c r="I3402">
        <f t="shared" si="55"/>
        <v>24</v>
      </c>
    </row>
    <row r="3403" spans="1:9">
      <c r="A3403" s="1">
        <v>42532.225694444445</v>
      </c>
      <c r="B3403" s="19">
        <v>42710</v>
      </c>
      <c r="C3403" s="21">
        <v>0.91666666666666663</v>
      </c>
      <c r="D3403" s="20" t="s">
        <v>3049</v>
      </c>
      <c r="E3403" t="s">
        <v>0</v>
      </c>
      <c r="G3403" t="s">
        <v>896</v>
      </c>
      <c r="H3403">
        <v>13</v>
      </c>
      <c r="I3403">
        <f t="shared" si="55"/>
        <v>17</v>
      </c>
    </row>
    <row r="3404" spans="1:9">
      <c r="A3404" s="1">
        <v>42532.063194444447</v>
      </c>
      <c r="B3404" s="19">
        <v>42710</v>
      </c>
      <c r="C3404" s="21">
        <v>0.58333333333333337</v>
      </c>
      <c r="D3404" s="20" t="s">
        <v>3040</v>
      </c>
      <c r="E3404" t="s">
        <v>0</v>
      </c>
      <c r="G3404" t="s">
        <v>425</v>
      </c>
      <c r="H3404">
        <v>13</v>
      </c>
      <c r="I3404">
        <f t="shared" si="55"/>
        <v>17</v>
      </c>
    </row>
    <row r="3405" spans="1:9">
      <c r="A3405" s="1">
        <v>42532.044444444444</v>
      </c>
      <c r="B3405" s="19">
        <v>42711</v>
      </c>
      <c r="C3405" s="21">
        <v>0.60069444444444442</v>
      </c>
      <c r="D3405" s="20" t="s">
        <v>3040</v>
      </c>
      <c r="E3405" t="s">
        <v>6</v>
      </c>
      <c r="F3405" t="s">
        <v>15</v>
      </c>
      <c r="G3405" t="s">
        <v>887</v>
      </c>
      <c r="H3405">
        <v>9</v>
      </c>
      <c r="I3405">
        <f t="shared" si="55"/>
        <v>12</v>
      </c>
    </row>
    <row r="3406" spans="1:9">
      <c r="A3406" s="1">
        <v>42531.945833333331</v>
      </c>
      <c r="B3406" s="19">
        <v>42711</v>
      </c>
      <c r="C3406" s="21">
        <v>0.5180555555555556</v>
      </c>
      <c r="D3406" s="20" t="s">
        <v>3038</v>
      </c>
      <c r="E3406" t="s">
        <v>6</v>
      </c>
      <c r="F3406" t="s">
        <v>26</v>
      </c>
      <c r="G3406" t="s">
        <v>888</v>
      </c>
      <c r="H3406">
        <v>49</v>
      </c>
      <c r="I3406">
        <f t="shared" si="55"/>
        <v>61</v>
      </c>
    </row>
    <row r="3407" spans="1:9">
      <c r="A3407" s="1">
        <v>42531.681944444441</v>
      </c>
      <c r="B3407" s="19">
        <v>42711</v>
      </c>
      <c r="C3407" s="21">
        <v>0.42499999999999999</v>
      </c>
      <c r="D3407" s="20" t="s">
        <v>3036</v>
      </c>
      <c r="E3407" t="s">
        <v>6</v>
      </c>
      <c r="F3407" t="s">
        <v>12</v>
      </c>
      <c r="G3407" t="s">
        <v>889</v>
      </c>
      <c r="H3407">
        <v>28</v>
      </c>
      <c r="I3407">
        <f t="shared" si="55"/>
        <v>35</v>
      </c>
    </row>
    <row r="3408" spans="1:9">
      <c r="A3408" s="1">
        <v>42531.623611111114</v>
      </c>
      <c r="B3408" s="19">
        <v>42711</v>
      </c>
      <c r="C3408" s="21">
        <v>0.39305555555555555</v>
      </c>
      <c r="D3408" s="20" t="s">
        <v>3035</v>
      </c>
      <c r="E3408" t="s">
        <v>6</v>
      </c>
      <c r="F3408" t="s">
        <v>12</v>
      </c>
      <c r="G3408" t="s">
        <v>890</v>
      </c>
      <c r="H3408">
        <v>7</v>
      </c>
      <c r="I3408">
        <f t="shared" si="55"/>
        <v>9</v>
      </c>
    </row>
    <row r="3409" spans="1:9">
      <c r="A3409" s="1">
        <v>42531.572222222225</v>
      </c>
      <c r="B3409" s="19">
        <v>42711</v>
      </c>
      <c r="C3409" s="21">
        <v>0.91736111111111107</v>
      </c>
      <c r="D3409" s="20" t="s">
        <v>3049</v>
      </c>
      <c r="E3409" t="s">
        <v>0</v>
      </c>
      <c r="G3409" t="s">
        <v>9</v>
      </c>
      <c r="H3409">
        <v>13</v>
      </c>
      <c r="I3409">
        <f t="shared" si="55"/>
        <v>17</v>
      </c>
    </row>
    <row r="3410" spans="1:9">
      <c r="A3410" s="1">
        <v>42531.570138888892</v>
      </c>
      <c r="B3410" s="19">
        <v>42711</v>
      </c>
      <c r="C3410" s="21">
        <v>0.58333333333333337</v>
      </c>
      <c r="D3410" s="20" t="s">
        <v>3040</v>
      </c>
      <c r="E3410" t="s">
        <v>0</v>
      </c>
      <c r="G3410" t="s">
        <v>756</v>
      </c>
      <c r="H3410">
        <v>13</v>
      </c>
      <c r="I3410">
        <f t="shared" si="55"/>
        <v>17</v>
      </c>
    </row>
    <row r="3411" spans="1:9">
      <c r="A3411" s="1">
        <v>42531.55972222222</v>
      </c>
      <c r="B3411" s="19">
        <v>42711</v>
      </c>
      <c r="C3411" s="21">
        <v>0.23125000000000001</v>
      </c>
      <c r="D3411" s="20" t="s">
        <v>3055</v>
      </c>
      <c r="E3411" t="s">
        <v>33</v>
      </c>
      <c r="F3411" t="s">
        <v>44</v>
      </c>
      <c r="G3411" t="s">
        <v>891</v>
      </c>
      <c r="H3411">
        <v>13</v>
      </c>
      <c r="I3411">
        <f t="shared" si="55"/>
        <v>17</v>
      </c>
    </row>
    <row r="3412" spans="1:9">
      <c r="A3412" s="1">
        <v>42531.302083333336</v>
      </c>
      <c r="B3412" s="19">
        <v>42711</v>
      </c>
      <c r="C3412" s="21">
        <v>0.21319444444444444</v>
      </c>
      <c r="D3412" s="20" t="s">
        <v>3055</v>
      </c>
      <c r="E3412" t="s">
        <v>33</v>
      </c>
      <c r="F3412" t="s">
        <v>34</v>
      </c>
      <c r="G3412" t="s">
        <v>892</v>
      </c>
      <c r="H3412">
        <v>13</v>
      </c>
      <c r="I3412">
        <f t="shared" si="55"/>
        <v>17</v>
      </c>
    </row>
    <row r="3413" spans="1:9">
      <c r="A3413" s="1">
        <v>42531.188194444447</v>
      </c>
      <c r="B3413" s="19">
        <v>42711</v>
      </c>
      <c r="C3413" s="21">
        <v>0.21180555555555555</v>
      </c>
      <c r="D3413" s="20" t="s">
        <v>3055</v>
      </c>
      <c r="E3413" t="s">
        <v>18</v>
      </c>
      <c r="G3413" t="s">
        <v>893</v>
      </c>
      <c r="H3413">
        <v>8</v>
      </c>
      <c r="I3413">
        <f t="shared" si="55"/>
        <v>10</v>
      </c>
    </row>
    <row r="3414" spans="1:9">
      <c r="A3414" s="1">
        <v>42531.138194444444</v>
      </c>
      <c r="B3414" s="19">
        <v>42712</v>
      </c>
      <c r="C3414" s="21">
        <v>0.99305555555555558</v>
      </c>
      <c r="D3414" s="20" t="s">
        <v>3063</v>
      </c>
      <c r="E3414" t="s">
        <v>6</v>
      </c>
      <c r="F3414" t="s">
        <v>46</v>
      </c>
      <c r="G3414" t="s">
        <v>120</v>
      </c>
      <c r="H3414">
        <v>4</v>
      </c>
      <c r="I3414">
        <f t="shared" si="55"/>
        <v>5</v>
      </c>
    </row>
    <row r="3415" spans="1:9">
      <c r="A3415" s="1">
        <v>42531.967361111114</v>
      </c>
      <c r="B3415" s="19">
        <v>42712</v>
      </c>
      <c r="C3415" s="21">
        <v>0.95833333333333337</v>
      </c>
      <c r="D3415" s="20" t="s">
        <v>3063</v>
      </c>
      <c r="E3415" t="s">
        <v>2</v>
      </c>
      <c r="F3415" t="s">
        <v>3</v>
      </c>
      <c r="G3415" t="s">
        <v>881</v>
      </c>
      <c r="H3415">
        <v>14</v>
      </c>
      <c r="I3415">
        <f t="shared" si="55"/>
        <v>18</v>
      </c>
    </row>
    <row r="3416" spans="1:9">
      <c r="A3416" s="1">
        <v>42531.965277777781</v>
      </c>
      <c r="B3416" s="19">
        <v>42712</v>
      </c>
      <c r="C3416" s="21">
        <v>0.75972222222222219</v>
      </c>
      <c r="D3416" s="20" t="s">
        <v>3045</v>
      </c>
      <c r="E3416" t="s">
        <v>6</v>
      </c>
      <c r="F3416" t="s">
        <v>89</v>
      </c>
      <c r="G3416" t="s">
        <v>882</v>
      </c>
      <c r="H3416">
        <v>13</v>
      </c>
      <c r="I3416">
        <f t="shared" si="55"/>
        <v>17</v>
      </c>
    </row>
    <row r="3417" spans="1:9">
      <c r="A3417" s="1">
        <v>42531.918055555558</v>
      </c>
      <c r="B3417" s="19">
        <v>42712</v>
      </c>
      <c r="C3417" s="21">
        <v>0.60902777777777772</v>
      </c>
      <c r="D3417" s="20" t="s">
        <v>3040</v>
      </c>
      <c r="E3417" t="s">
        <v>2</v>
      </c>
      <c r="F3417" t="s">
        <v>56</v>
      </c>
      <c r="G3417" t="s">
        <v>884</v>
      </c>
      <c r="H3417">
        <v>50</v>
      </c>
      <c r="I3417">
        <f t="shared" si="55"/>
        <v>62</v>
      </c>
    </row>
    <row r="3418" spans="1:9">
      <c r="A3418" s="1">
        <v>42531.896527777775</v>
      </c>
      <c r="B3418" s="19">
        <v>42712</v>
      </c>
      <c r="C3418" s="21">
        <v>0.58194444444444449</v>
      </c>
      <c r="D3418" s="20" t="s">
        <v>3039</v>
      </c>
      <c r="E3418" t="s">
        <v>6</v>
      </c>
      <c r="G3418" t="s">
        <v>756</v>
      </c>
      <c r="H3418">
        <v>13</v>
      </c>
      <c r="I3418">
        <f t="shared" si="55"/>
        <v>17</v>
      </c>
    </row>
    <row r="3419" spans="1:9">
      <c r="A3419" s="1">
        <v>42531.885416666664</v>
      </c>
      <c r="B3419" s="19">
        <v>42712</v>
      </c>
      <c r="C3419" s="21">
        <v>0.15902777777777777</v>
      </c>
      <c r="D3419" s="20" t="s">
        <v>3053</v>
      </c>
      <c r="E3419" t="s">
        <v>2</v>
      </c>
      <c r="F3419" t="s">
        <v>56</v>
      </c>
      <c r="G3419" t="s">
        <v>609</v>
      </c>
      <c r="H3419">
        <v>50</v>
      </c>
      <c r="I3419">
        <f t="shared" si="55"/>
        <v>62</v>
      </c>
    </row>
    <row r="3420" spans="1:9">
      <c r="A3420" s="1">
        <v>42531.834027777775</v>
      </c>
      <c r="B3420" s="19">
        <v>42712</v>
      </c>
      <c r="C3420" s="21">
        <v>0.91597222222222219</v>
      </c>
      <c r="D3420" s="20" t="s">
        <v>3048</v>
      </c>
      <c r="E3420" t="s">
        <v>0</v>
      </c>
      <c r="G3420" t="s">
        <v>9</v>
      </c>
      <c r="H3420">
        <v>13</v>
      </c>
      <c r="I3420">
        <f t="shared" si="55"/>
        <v>17</v>
      </c>
    </row>
    <row r="3421" spans="1:9">
      <c r="A3421" s="1">
        <v>42531.781944444447</v>
      </c>
      <c r="B3421" s="19">
        <v>42712</v>
      </c>
      <c r="C3421" s="21">
        <v>0.71875</v>
      </c>
      <c r="D3421" s="20" t="s">
        <v>3044</v>
      </c>
      <c r="E3421" t="s">
        <v>33</v>
      </c>
      <c r="F3421" t="s">
        <v>34</v>
      </c>
      <c r="G3421" t="s">
        <v>883</v>
      </c>
      <c r="H3421">
        <v>38</v>
      </c>
      <c r="I3421">
        <f t="shared" si="55"/>
        <v>48</v>
      </c>
    </row>
    <row r="3422" spans="1:9">
      <c r="A3422" s="1">
        <v>42531.583333333336</v>
      </c>
      <c r="B3422" s="19">
        <v>42712</v>
      </c>
      <c r="C3422" s="21">
        <v>0.30208333333333331</v>
      </c>
      <c r="D3422" s="20" t="s">
        <v>3033</v>
      </c>
      <c r="E3422" t="s">
        <v>18</v>
      </c>
      <c r="F3422" t="s">
        <v>71</v>
      </c>
      <c r="G3422" t="s">
        <v>885</v>
      </c>
      <c r="H3422">
        <v>19</v>
      </c>
      <c r="I3422">
        <f t="shared" si="55"/>
        <v>24</v>
      </c>
    </row>
    <row r="3423" spans="1:9">
      <c r="A3423" s="1">
        <v>42531.554861111108</v>
      </c>
      <c r="B3423" s="19">
        <v>42712</v>
      </c>
      <c r="C3423" s="21">
        <v>0.18958333333333333</v>
      </c>
      <c r="D3423" s="20" t="s">
        <v>3054</v>
      </c>
      <c r="E3423" t="s">
        <v>77</v>
      </c>
      <c r="F3423" t="s">
        <v>78</v>
      </c>
      <c r="G3423" t="s">
        <v>886</v>
      </c>
      <c r="H3423">
        <v>14</v>
      </c>
      <c r="I3423">
        <f t="shared" si="55"/>
        <v>18</v>
      </c>
    </row>
    <row r="3424" spans="1:9">
      <c r="A3424" s="1">
        <v>42531.54791666667</v>
      </c>
      <c r="B3424" s="19">
        <v>42713</v>
      </c>
      <c r="C3424" s="21">
        <v>0.75208333333333333</v>
      </c>
      <c r="D3424" s="20" t="s">
        <v>3045</v>
      </c>
      <c r="E3424" t="s">
        <v>6</v>
      </c>
      <c r="F3424" t="s">
        <v>21</v>
      </c>
      <c r="G3424" t="s">
        <v>873</v>
      </c>
      <c r="H3424">
        <v>17</v>
      </c>
      <c r="I3424">
        <f t="shared" si="55"/>
        <v>22</v>
      </c>
    </row>
    <row r="3425" spans="1:9">
      <c r="A3425" s="1">
        <v>42531.53125</v>
      </c>
      <c r="B3425" s="19">
        <v>42713</v>
      </c>
      <c r="C3425" s="21">
        <v>0.66319444444444442</v>
      </c>
      <c r="D3425" s="20" t="s">
        <v>3042</v>
      </c>
      <c r="E3425" t="s">
        <v>6</v>
      </c>
      <c r="F3425" t="s">
        <v>21</v>
      </c>
      <c r="G3425" t="s">
        <v>874</v>
      </c>
      <c r="H3425">
        <v>19</v>
      </c>
      <c r="I3425">
        <f t="shared" si="55"/>
        <v>24</v>
      </c>
    </row>
    <row r="3426" spans="1:9">
      <c r="A3426" s="1">
        <v>42531.529166666667</v>
      </c>
      <c r="B3426" s="19">
        <v>42713</v>
      </c>
      <c r="C3426" s="21">
        <v>0.5625</v>
      </c>
      <c r="D3426" s="20" t="s">
        <v>3039</v>
      </c>
      <c r="E3426" t="s">
        <v>6</v>
      </c>
      <c r="F3426" t="s">
        <v>15</v>
      </c>
      <c r="G3426" t="s">
        <v>876</v>
      </c>
      <c r="H3426">
        <v>8</v>
      </c>
      <c r="I3426">
        <f t="shared" si="55"/>
        <v>10</v>
      </c>
    </row>
    <row r="3427" spans="1:9">
      <c r="A3427" s="1">
        <v>42531.462500000001</v>
      </c>
      <c r="B3427" s="19">
        <v>42713</v>
      </c>
      <c r="C3427" s="21">
        <v>0.39027777777777778</v>
      </c>
      <c r="D3427" s="20" t="s">
        <v>3035</v>
      </c>
      <c r="E3427" t="s">
        <v>2</v>
      </c>
      <c r="G3427" t="s">
        <v>877</v>
      </c>
      <c r="H3427">
        <v>58</v>
      </c>
      <c r="I3427">
        <f t="shared" si="55"/>
        <v>72</v>
      </c>
    </row>
    <row r="3428" spans="1:9">
      <c r="A3428" s="1">
        <v>42531.376388888886</v>
      </c>
      <c r="B3428" s="19">
        <v>42713</v>
      </c>
      <c r="C3428" s="21">
        <v>0.37986111111111109</v>
      </c>
      <c r="D3428" s="20" t="s">
        <v>3035</v>
      </c>
      <c r="E3428" t="s">
        <v>6</v>
      </c>
      <c r="F3428" t="s">
        <v>21</v>
      </c>
      <c r="G3428" t="s">
        <v>878</v>
      </c>
      <c r="H3428" t="e">
        <v>#VALUE!</v>
      </c>
      <c r="I3428" t="e">
        <f t="shared" si="55"/>
        <v>#VALUE!</v>
      </c>
    </row>
    <row r="3429" spans="1:9">
      <c r="A3429" s="1">
        <v>42531.328472222223</v>
      </c>
      <c r="B3429" s="19">
        <v>42713</v>
      </c>
      <c r="C3429" s="21">
        <v>0.34583333333333333</v>
      </c>
      <c r="D3429" s="20" t="s">
        <v>3034</v>
      </c>
      <c r="E3429" t="s">
        <v>6</v>
      </c>
      <c r="F3429" t="s">
        <v>26</v>
      </c>
      <c r="G3429" t="s">
        <v>879</v>
      </c>
      <c r="H3429">
        <v>61</v>
      </c>
      <c r="I3429">
        <f t="shared" si="55"/>
        <v>76</v>
      </c>
    </row>
    <row r="3430" spans="1:9">
      <c r="A3430" s="1">
        <v>42531.297222222223</v>
      </c>
      <c r="B3430" s="19">
        <v>42713</v>
      </c>
      <c r="C3430" s="21">
        <v>0.9194444444444444</v>
      </c>
      <c r="D3430" s="20" t="s">
        <v>3049</v>
      </c>
      <c r="E3430" t="s">
        <v>0</v>
      </c>
      <c r="G3430" t="s">
        <v>9</v>
      </c>
      <c r="H3430">
        <v>13</v>
      </c>
      <c r="I3430">
        <f t="shared" si="55"/>
        <v>17</v>
      </c>
    </row>
    <row r="3431" spans="1:9">
      <c r="A3431" s="1">
        <v>42531.288194444445</v>
      </c>
      <c r="B3431" s="19">
        <v>42713</v>
      </c>
      <c r="C3431" s="21">
        <v>0.89375000000000004</v>
      </c>
      <c r="D3431" s="20" t="s">
        <v>3048</v>
      </c>
      <c r="E3431" t="s">
        <v>18</v>
      </c>
      <c r="F3431" t="s">
        <v>100</v>
      </c>
      <c r="G3431" t="s">
        <v>872</v>
      </c>
      <c r="H3431">
        <v>38</v>
      </c>
      <c r="I3431">
        <f t="shared" si="55"/>
        <v>48</v>
      </c>
    </row>
    <row r="3432" spans="1:9">
      <c r="A3432" s="1">
        <v>42531.251388888886</v>
      </c>
      <c r="B3432" s="19">
        <v>42713</v>
      </c>
      <c r="C3432" s="21">
        <v>0.64583333333333337</v>
      </c>
      <c r="D3432" s="20" t="s">
        <v>3042</v>
      </c>
      <c r="E3432" t="s">
        <v>18</v>
      </c>
      <c r="F3432" t="s">
        <v>100</v>
      </c>
      <c r="G3432" t="s">
        <v>875</v>
      </c>
      <c r="H3432" t="e">
        <v>#VALUE!</v>
      </c>
      <c r="I3432" t="e">
        <f t="shared" si="55"/>
        <v>#VALUE!</v>
      </c>
    </row>
    <row r="3433" spans="1:9">
      <c r="A3433" s="1">
        <v>42531.197916666664</v>
      </c>
      <c r="B3433" s="19">
        <v>42713</v>
      </c>
      <c r="C3433" s="21">
        <v>0.58263888888888893</v>
      </c>
      <c r="D3433" s="20" t="s">
        <v>3039</v>
      </c>
      <c r="E3433" t="s">
        <v>0</v>
      </c>
      <c r="G3433" t="s">
        <v>756</v>
      </c>
      <c r="H3433">
        <v>13</v>
      </c>
      <c r="I3433">
        <f t="shared" si="55"/>
        <v>17</v>
      </c>
    </row>
    <row r="3434" spans="1:9">
      <c r="A3434" s="1">
        <v>42531.195833333331</v>
      </c>
      <c r="B3434" s="19">
        <v>42713</v>
      </c>
      <c r="C3434" s="21">
        <v>0.11874999999999999</v>
      </c>
      <c r="D3434" s="20" t="s">
        <v>3052</v>
      </c>
      <c r="E3434" t="s">
        <v>33</v>
      </c>
      <c r="F3434" t="s">
        <v>34</v>
      </c>
      <c r="G3434" t="s">
        <v>880</v>
      </c>
      <c r="H3434">
        <v>13</v>
      </c>
      <c r="I3434">
        <f t="shared" si="55"/>
        <v>17</v>
      </c>
    </row>
    <row r="3435" spans="1:9">
      <c r="A3435" s="1">
        <v>42531.01666666667</v>
      </c>
      <c r="B3435" s="19">
        <v>42714</v>
      </c>
      <c r="C3435" s="21">
        <v>0.10625</v>
      </c>
      <c r="D3435" s="20" t="s">
        <v>3052</v>
      </c>
      <c r="E3435" t="s">
        <v>6</v>
      </c>
      <c r="F3435" t="s">
        <v>21</v>
      </c>
      <c r="G3435" t="s">
        <v>870</v>
      </c>
      <c r="H3435">
        <v>24</v>
      </c>
      <c r="I3435">
        <f t="shared" si="55"/>
        <v>30</v>
      </c>
    </row>
    <row r="3436" spans="1:9">
      <c r="A3436" s="1">
        <v>42530.931944444441</v>
      </c>
      <c r="B3436" s="19">
        <v>42714</v>
      </c>
      <c r="C3436" s="21">
        <v>1.5972222222222221E-2</v>
      </c>
      <c r="D3436" s="20" t="s">
        <v>3050</v>
      </c>
      <c r="E3436" t="s">
        <v>6</v>
      </c>
      <c r="F3436" t="s">
        <v>21</v>
      </c>
      <c r="G3436" t="s">
        <v>871</v>
      </c>
      <c r="H3436">
        <v>19</v>
      </c>
      <c r="I3436">
        <f t="shared" si="55"/>
        <v>24</v>
      </c>
    </row>
    <row r="3437" spans="1:9">
      <c r="A3437" s="1">
        <v>42530.927083333336</v>
      </c>
      <c r="B3437" s="19">
        <v>42716</v>
      </c>
      <c r="C3437" s="21">
        <v>0.93194444444444446</v>
      </c>
      <c r="D3437" s="20" t="s">
        <v>3049</v>
      </c>
      <c r="E3437" t="s">
        <v>2</v>
      </c>
      <c r="F3437" t="s">
        <v>5</v>
      </c>
      <c r="G3437" t="s">
        <v>858</v>
      </c>
      <c r="H3437" t="e">
        <v>#VALUE!</v>
      </c>
      <c r="I3437" t="e">
        <f t="shared" si="55"/>
        <v>#VALUE!</v>
      </c>
    </row>
    <row r="3438" spans="1:9">
      <c r="A3438" s="1">
        <v>42530.84652777778</v>
      </c>
      <c r="B3438" s="19">
        <v>42716</v>
      </c>
      <c r="C3438" s="21">
        <v>0.91666666666666663</v>
      </c>
      <c r="D3438" s="20" t="s">
        <v>3049</v>
      </c>
      <c r="E3438" t="s">
        <v>6</v>
      </c>
      <c r="F3438" t="s">
        <v>21</v>
      </c>
      <c r="G3438" t="s">
        <v>249</v>
      </c>
      <c r="H3438">
        <v>28</v>
      </c>
      <c r="I3438">
        <f t="shared" si="55"/>
        <v>35</v>
      </c>
    </row>
    <row r="3439" spans="1:9">
      <c r="A3439" s="1">
        <v>42530.816666666666</v>
      </c>
      <c r="B3439" s="19">
        <v>42716</v>
      </c>
      <c r="C3439" s="21">
        <v>0.89513888888888893</v>
      </c>
      <c r="D3439" s="20" t="s">
        <v>3048</v>
      </c>
      <c r="E3439" t="s">
        <v>2</v>
      </c>
      <c r="F3439" t="s">
        <v>5</v>
      </c>
      <c r="G3439" t="s">
        <v>859</v>
      </c>
      <c r="H3439">
        <v>38</v>
      </c>
      <c r="I3439">
        <f t="shared" si="55"/>
        <v>48</v>
      </c>
    </row>
    <row r="3440" spans="1:9">
      <c r="A3440" s="1">
        <v>42530.598611111112</v>
      </c>
      <c r="B3440" s="19">
        <v>42716</v>
      </c>
      <c r="C3440" s="21">
        <v>0.88472222222222219</v>
      </c>
      <c r="D3440" s="20" t="s">
        <v>3048</v>
      </c>
      <c r="E3440" t="s">
        <v>6</v>
      </c>
      <c r="F3440" t="s">
        <v>76</v>
      </c>
      <c r="G3440" t="s">
        <v>860</v>
      </c>
      <c r="H3440">
        <v>19</v>
      </c>
      <c r="I3440">
        <f t="shared" si="55"/>
        <v>24</v>
      </c>
    </row>
    <row r="3441" spans="1:9">
      <c r="A3441" s="1">
        <v>42530.432638888888</v>
      </c>
      <c r="B3441" s="19">
        <v>42716</v>
      </c>
      <c r="C3441" s="21">
        <v>0.83402777777777781</v>
      </c>
      <c r="D3441" s="20" t="s">
        <v>3047</v>
      </c>
      <c r="E3441" t="s">
        <v>2</v>
      </c>
      <c r="F3441" t="s">
        <v>3</v>
      </c>
      <c r="G3441" t="s">
        <v>861</v>
      </c>
      <c r="H3441">
        <v>17</v>
      </c>
      <c r="I3441">
        <f t="shared" si="55"/>
        <v>22</v>
      </c>
    </row>
    <row r="3442" spans="1:9">
      <c r="A3442" s="1">
        <v>42530.939583333333</v>
      </c>
      <c r="B3442" s="19">
        <v>42716</v>
      </c>
      <c r="C3442" s="21">
        <v>0.68819444444444444</v>
      </c>
      <c r="D3442" s="20" t="s">
        <v>3043</v>
      </c>
      <c r="E3442" t="s">
        <v>6</v>
      </c>
      <c r="F3442" t="s">
        <v>21</v>
      </c>
      <c r="G3442" t="s">
        <v>862</v>
      </c>
      <c r="H3442" t="e">
        <v>#VALUE!</v>
      </c>
      <c r="I3442" t="e">
        <f t="shared" si="55"/>
        <v>#VALUE!</v>
      </c>
    </row>
    <row r="3443" spans="1:9">
      <c r="A3443" s="1">
        <v>42530.686805555553</v>
      </c>
      <c r="B3443" s="19">
        <v>42716</v>
      </c>
      <c r="C3443" s="21">
        <v>0.6645833333333333</v>
      </c>
      <c r="D3443" s="20" t="s">
        <v>3042</v>
      </c>
      <c r="E3443" t="s">
        <v>6</v>
      </c>
      <c r="F3443" t="s">
        <v>15</v>
      </c>
      <c r="G3443" t="s">
        <v>103</v>
      </c>
      <c r="H3443">
        <v>19</v>
      </c>
      <c r="I3443">
        <f t="shared" si="55"/>
        <v>24</v>
      </c>
    </row>
    <row r="3444" spans="1:9">
      <c r="A3444" s="1">
        <v>42530.665277777778</v>
      </c>
      <c r="B3444" s="19">
        <v>42716</v>
      </c>
      <c r="C3444" s="21">
        <v>0.51458333333333328</v>
      </c>
      <c r="D3444" s="20" t="s">
        <v>3038</v>
      </c>
      <c r="E3444" t="s">
        <v>2</v>
      </c>
      <c r="F3444" t="s">
        <v>5</v>
      </c>
      <c r="H3444">
        <v>12</v>
      </c>
      <c r="I3444">
        <f t="shared" si="55"/>
        <v>15</v>
      </c>
    </row>
    <row r="3445" spans="1:9">
      <c r="A3445" s="1">
        <v>42530.63958333333</v>
      </c>
      <c r="B3445" s="19">
        <v>42716</v>
      </c>
      <c r="C3445" s="21">
        <v>0.49583333333333335</v>
      </c>
      <c r="D3445" s="20" t="s">
        <v>3037</v>
      </c>
      <c r="E3445" t="s">
        <v>6</v>
      </c>
      <c r="F3445" t="s">
        <v>26</v>
      </c>
      <c r="G3445" t="s">
        <v>232</v>
      </c>
      <c r="H3445">
        <v>31</v>
      </c>
      <c r="I3445">
        <f t="shared" si="55"/>
        <v>39</v>
      </c>
    </row>
    <row r="3446" spans="1:9">
      <c r="A3446" s="1">
        <v>42530.59097222222</v>
      </c>
      <c r="B3446" s="19">
        <v>42716</v>
      </c>
      <c r="C3446" s="21">
        <v>0.34583333333333333</v>
      </c>
      <c r="D3446" s="20" t="s">
        <v>3034</v>
      </c>
      <c r="E3446" t="s">
        <v>6</v>
      </c>
      <c r="F3446" t="s">
        <v>15</v>
      </c>
      <c r="G3446" t="s">
        <v>864</v>
      </c>
      <c r="H3446">
        <v>19</v>
      </c>
      <c r="I3446">
        <f t="shared" si="55"/>
        <v>24</v>
      </c>
    </row>
    <row r="3447" spans="1:9">
      <c r="A3447" s="1">
        <v>42530.286111111112</v>
      </c>
      <c r="B3447" s="19">
        <v>42716</v>
      </c>
      <c r="C3447" s="21">
        <v>0.33263888888888887</v>
      </c>
      <c r="D3447" s="20" t="s">
        <v>3033</v>
      </c>
      <c r="E3447" t="s">
        <v>6</v>
      </c>
      <c r="F3447" t="s">
        <v>26</v>
      </c>
      <c r="G3447" t="s">
        <v>307</v>
      </c>
      <c r="H3447">
        <v>7</v>
      </c>
      <c r="I3447">
        <f t="shared" si="55"/>
        <v>9</v>
      </c>
    </row>
    <row r="3448" spans="1:9">
      <c r="A3448" s="1">
        <v>42530.274305555555</v>
      </c>
      <c r="B3448" s="19">
        <v>42716</v>
      </c>
      <c r="C3448" s="21">
        <v>0.30625000000000002</v>
      </c>
      <c r="D3448" s="20" t="s">
        <v>3033</v>
      </c>
      <c r="E3448" t="s">
        <v>2</v>
      </c>
      <c r="F3448" t="s">
        <v>5</v>
      </c>
      <c r="G3448" t="s">
        <v>866</v>
      </c>
      <c r="H3448">
        <v>7</v>
      </c>
      <c r="I3448">
        <f t="shared" si="55"/>
        <v>9</v>
      </c>
    </row>
    <row r="3449" spans="1:9">
      <c r="A3449" s="1">
        <v>42530.250694444447</v>
      </c>
      <c r="B3449" s="19">
        <v>42716</v>
      </c>
      <c r="C3449" s="21">
        <v>0.28472222222222221</v>
      </c>
      <c r="D3449" s="20" t="s">
        <v>3031</v>
      </c>
      <c r="E3449" t="s">
        <v>6</v>
      </c>
      <c r="G3449" t="s">
        <v>867</v>
      </c>
      <c r="H3449" t="e">
        <v>#VALUE!</v>
      </c>
      <c r="I3449" t="e">
        <f t="shared" si="55"/>
        <v>#VALUE!</v>
      </c>
    </row>
    <row r="3450" spans="1:9">
      <c r="A3450" s="1">
        <v>42529.675000000003</v>
      </c>
      <c r="B3450" s="19">
        <v>42716</v>
      </c>
      <c r="C3450" s="21">
        <v>0.66666666666666663</v>
      </c>
      <c r="D3450" s="20" t="s">
        <v>3043</v>
      </c>
      <c r="E3450" t="s">
        <v>0</v>
      </c>
      <c r="F3450" t="s">
        <v>10</v>
      </c>
      <c r="G3450" t="s">
        <v>64</v>
      </c>
      <c r="H3450">
        <v>13</v>
      </c>
      <c r="I3450">
        <f t="shared" si="55"/>
        <v>17</v>
      </c>
    </row>
    <row r="3451" spans="1:9">
      <c r="A3451" s="1">
        <v>42529.62777777778</v>
      </c>
      <c r="B3451" s="19">
        <v>42716</v>
      </c>
      <c r="C3451" s="21">
        <v>0.58472222222222225</v>
      </c>
      <c r="D3451" s="20" t="s">
        <v>3040</v>
      </c>
      <c r="E3451" t="s">
        <v>0</v>
      </c>
      <c r="G3451" t="s">
        <v>9</v>
      </c>
      <c r="H3451">
        <v>13</v>
      </c>
      <c r="I3451">
        <f t="shared" si="55"/>
        <v>17</v>
      </c>
    </row>
    <row r="3452" spans="1:9">
      <c r="A3452" s="1">
        <v>42529.571527777778</v>
      </c>
      <c r="B3452" s="19">
        <v>42716</v>
      </c>
      <c r="C3452" s="21">
        <v>0.50069444444444444</v>
      </c>
      <c r="D3452" s="20" t="s">
        <v>3038</v>
      </c>
      <c r="E3452" t="s">
        <v>0</v>
      </c>
      <c r="F3452" t="s">
        <v>10</v>
      </c>
      <c r="G3452" t="s">
        <v>863</v>
      </c>
      <c r="H3452">
        <v>13</v>
      </c>
      <c r="I3452">
        <f t="shared" si="55"/>
        <v>17</v>
      </c>
    </row>
    <row r="3453" spans="1:9">
      <c r="A3453" s="1">
        <v>42529.26666666667</v>
      </c>
      <c r="B3453" s="19">
        <v>42716</v>
      </c>
      <c r="C3453" s="21">
        <v>0.31874999999999998</v>
      </c>
      <c r="D3453" s="20" t="s">
        <v>3033</v>
      </c>
      <c r="E3453" t="s">
        <v>0</v>
      </c>
      <c r="G3453" t="s">
        <v>865</v>
      </c>
      <c r="H3453">
        <v>31</v>
      </c>
      <c r="I3453">
        <f t="shared" si="55"/>
        <v>39</v>
      </c>
    </row>
    <row r="3454" spans="1:9">
      <c r="A3454" s="1">
        <v>42529.265972222223</v>
      </c>
      <c r="B3454" s="19">
        <v>42716</v>
      </c>
      <c r="C3454" s="21">
        <v>0.26319444444444445</v>
      </c>
      <c r="D3454" s="20" t="s">
        <v>3031</v>
      </c>
      <c r="E3454" t="s">
        <v>0</v>
      </c>
      <c r="G3454" t="s">
        <v>868</v>
      </c>
      <c r="H3454">
        <v>2</v>
      </c>
      <c r="I3454">
        <f t="shared" si="55"/>
        <v>3</v>
      </c>
    </row>
    <row r="3455" spans="1:9">
      <c r="A3455" s="1">
        <v>42529.25</v>
      </c>
      <c r="B3455" s="19">
        <v>42716</v>
      </c>
      <c r="C3455" s="21">
        <v>0.25694444444444442</v>
      </c>
      <c r="D3455" s="20" t="s">
        <v>3031</v>
      </c>
      <c r="E3455" t="s">
        <v>730</v>
      </c>
      <c r="G3455" t="s">
        <v>869</v>
      </c>
      <c r="H3455" t="e">
        <v>#VALUE!</v>
      </c>
      <c r="I3455" t="e">
        <f t="shared" si="55"/>
        <v>#VALUE!</v>
      </c>
    </row>
    <row r="3456" spans="1:9">
      <c r="A3456" s="1">
        <v>42529.020833333336</v>
      </c>
      <c r="B3456" s="19">
        <v>42717</v>
      </c>
      <c r="C3456" s="21">
        <v>0.78263888888888888</v>
      </c>
      <c r="D3456" s="20" t="s">
        <v>3045</v>
      </c>
      <c r="E3456" t="s">
        <v>6</v>
      </c>
      <c r="F3456" t="s">
        <v>26</v>
      </c>
      <c r="G3456" t="s">
        <v>855</v>
      </c>
      <c r="H3456">
        <v>70</v>
      </c>
      <c r="I3456">
        <f t="shared" si="55"/>
        <v>87</v>
      </c>
    </row>
    <row r="3457" spans="1:9">
      <c r="A3457" s="1">
        <v>42529.92083333333</v>
      </c>
      <c r="B3457" s="19">
        <v>42717</v>
      </c>
      <c r="C3457" s="21">
        <v>0.68958333333333333</v>
      </c>
      <c r="D3457" s="20" t="s">
        <v>3043</v>
      </c>
      <c r="E3457" t="s">
        <v>6</v>
      </c>
      <c r="F3457" t="s">
        <v>26</v>
      </c>
      <c r="G3457" t="s">
        <v>855</v>
      </c>
      <c r="H3457" t="e">
        <v>#VALUE!</v>
      </c>
      <c r="I3457" t="e">
        <f t="shared" si="55"/>
        <v>#VALUE!</v>
      </c>
    </row>
    <row r="3458" spans="1:9">
      <c r="A3458" s="1">
        <v>42529.888194444444</v>
      </c>
      <c r="B3458" s="19">
        <v>42717</v>
      </c>
      <c r="C3458" s="21">
        <v>0.55972222222222223</v>
      </c>
      <c r="D3458" s="20" t="s">
        <v>3039</v>
      </c>
      <c r="E3458" t="s">
        <v>6</v>
      </c>
      <c r="F3458" t="s">
        <v>12</v>
      </c>
      <c r="G3458" t="s">
        <v>857</v>
      </c>
      <c r="H3458">
        <v>9</v>
      </c>
      <c r="I3458">
        <f t="shared" si="55"/>
        <v>12</v>
      </c>
    </row>
    <row r="3459" spans="1:9">
      <c r="A3459" s="1">
        <v>42529.877083333333</v>
      </c>
      <c r="B3459" s="19">
        <v>42717</v>
      </c>
      <c r="C3459" s="21">
        <v>0.54791666666666672</v>
      </c>
      <c r="D3459" s="20" t="s">
        <v>3039</v>
      </c>
      <c r="E3459" t="s">
        <v>6</v>
      </c>
      <c r="F3459" t="s">
        <v>12</v>
      </c>
      <c r="G3459" t="s">
        <v>65</v>
      </c>
      <c r="H3459">
        <v>4</v>
      </c>
      <c r="I3459">
        <f t="shared" ref="I3459:I3522" si="56">ROUNDUP((H3459*1.24), 0)</f>
        <v>5</v>
      </c>
    </row>
    <row r="3460" spans="1:9">
      <c r="A3460" s="1">
        <v>42529.872916666667</v>
      </c>
      <c r="B3460" s="19">
        <v>42717</v>
      </c>
      <c r="C3460" s="21">
        <v>0.27500000000000002</v>
      </c>
      <c r="D3460" s="20" t="s">
        <v>3031</v>
      </c>
      <c r="E3460" t="s">
        <v>2</v>
      </c>
      <c r="F3460" t="s">
        <v>3</v>
      </c>
      <c r="G3460" t="s">
        <v>572</v>
      </c>
      <c r="H3460">
        <v>7</v>
      </c>
      <c r="I3460">
        <f t="shared" si="56"/>
        <v>9</v>
      </c>
    </row>
    <row r="3461" spans="1:9">
      <c r="A3461" s="1">
        <v>42529.793055555558</v>
      </c>
      <c r="B3461" s="19">
        <v>42717</v>
      </c>
      <c r="C3461" s="21">
        <v>0.13263888888888889</v>
      </c>
      <c r="D3461" s="20" t="s">
        <v>3053</v>
      </c>
      <c r="E3461" t="s">
        <v>6</v>
      </c>
      <c r="F3461" t="s">
        <v>21</v>
      </c>
      <c r="G3461" t="s">
        <v>791</v>
      </c>
      <c r="H3461">
        <v>9</v>
      </c>
      <c r="I3461">
        <f t="shared" si="56"/>
        <v>12</v>
      </c>
    </row>
    <row r="3462" spans="1:9">
      <c r="A3462" s="1">
        <v>42529.76666666667</v>
      </c>
      <c r="B3462" s="19">
        <v>42717</v>
      </c>
      <c r="C3462" s="21">
        <v>0.91874999999999996</v>
      </c>
      <c r="D3462" s="20" t="s">
        <v>3049</v>
      </c>
      <c r="E3462" t="s">
        <v>0</v>
      </c>
      <c r="F3462" t="s">
        <v>10</v>
      </c>
      <c r="G3462" t="s">
        <v>255</v>
      </c>
      <c r="H3462">
        <v>13</v>
      </c>
      <c r="I3462">
        <f t="shared" si="56"/>
        <v>17</v>
      </c>
    </row>
    <row r="3463" spans="1:9">
      <c r="A3463" s="1">
        <v>42529.614583333336</v>
      </c>
      <c r="B3463" s="19">
        <v>42717</v>
      </c>
      <c r="C3463" s="21">
        <v>0.82013888888888886</v>
      </c>
      <c r="D3463" s="20" t="s">
        <v>3046</v>
      </c>
      <c r="E3463" t="s">
        <v>0</v>
      </c>
      <c r="G3463" t="s">
        <v>854</v>
      </c>
      <c r="H3463">
        <v>2</v>
      </c>
      <c r="I3463">
        <f t="shared" si="56"/>
        <v>3</v>
      </c>
    </row>
    <row r="3464" spans="1:9">
      <c r="A3464" s="1">
        <v>42529.59375</v>
      </c>
      <c r="B3464" s="19">
        <v>42717</v>
      </c>
      <c r="C3464" s="21">
        <v>0.69722222222222219</v>
      </c>
      <c r="D3464" s="20" t="s">
        <v>3043</v>
      </c>
      <c r="E3464" t="s">
        <v>33</v>
      </c>
      <c r="F3464" t="s">
        <v>34</v>
      </c>
      <c r="G3464" t="s">
        <v>856</v>
      </c>
      <c r="H3464">
        <v>19</v>
      </c>
      <c r="I3464">
        <f t="shared" si="56"/>
        <v>24</v>
      </c>
    </row>
    <row r="3465" spans="1:9">
      <c r="A3465" s="1">
        <v>42529.544444444444</v>
      </c>
      <c r="B3465" s="19">
        <v>42717</v>
      </c>
      <c r="C3465" s="21">
        <v>0.58263888888888893</v>
      </c>
      <c r="D3465" s="20" t="s">
        <v>3039</v>
      </c>
      <c r="E3465" t="s">
        <v>0</v>
      </c>
      <c r="G3465" t="s">
        <v>9</v>
      </c>
      <c r="H3465">
        <v>13</v>
      </c>
      <c r="I3465">
        <f t="shared" si="56"/>
        <v>17</v>
      </c>
    </row>
    <row r="3466" spans="1:9">
      <c r="A3466" s="1">
        <v>42529.538888888892</v>
      </c>
      <c r="B3466" s="19">
        <v>42717</v>
      </c>
      <c r="C3466" s="21">
        <v>0.25</v>
      </c>
      <c r="D3466" s="20" t="s">
        <v>3031</v>
      </c>
      <c r="E3466" t="s">
        <v>0</v>
      </c>
      <c r="G3466" t="s">
        <v>756</v>
      </c>
      <c r="H3466">
        <v>13</v>
      </c>
      <c r="I3466">
        <f t="shared" si="56"/>
        <v>17</v>
      </c>
    </row>
    <row r="3467" spans="1:9">
      <c r="A3467" s="1">
        <v>42529.536805555559</v>
      </c>
      <c r="B3467" s="19">
        <v>42717</v>
      </c>
      <c r="C3467" s="21">
        <v>0.16597222222222222</v>
      </c>
      <c r="D3467" s="20" t="s">
        <v>3053</v>
      </c>
      <c r="E3467" t="s">
        <v>0</v>
      </c>
      <c r="F3467" t="s">
        <v>10</v>
      </c>
      <c r="G3467" t="s">
        <v>64</v>
      </c>
      <c r="H3467">
        <v>13</v>
      </c>
      <c r="I3467">
        <f t="shared" si="56"/>
        <v>17</v>
      </c>
    </row>
    <row r="3468" spans="1:9">
      <c r="A3468" s="1">
        <v>42529.513194444444</v>
      </c>
      <c r="B3468" s="19">
        <v>42718</v>
      </c>
      <c r="C3468" s="21">
        <v>0.79722222222222228</v>
      </c>
      <c r="D3468" s="20" t="s">
        <v>3046</v>
      </c>
      <c r="E3468" t="s">
        <v>6</v>
      </c>
      <c r="F3468" t="s">
        <v>21</v>
      </c>
      <c r="G3468" t="s">
        <v>103</v>
      </c>
      <c r="H3468">
        <v>9</v>
      </c>
      <c r="I3468">
        <f t="shared" si="56"/>
        <v>12</v>
      </c>
    </row>
    <row r="3469" spans="1:9">
      <c r="A3469" s="1">
        <v>42529.323611111111</v>
      </c>
      <c r="B3469" s="19">
        <v>42718</v>
      </c>
      <c r="C3469" s="21">
        <v>0.65902777777777777</v>
      </c>
      <c r="D3469" s="20" t="s">
        <v>3042</v>
      </c>
      <c r="E3469" t="s">
        <v>6</v>
      </c>
      <c r="F3469" t="s">
        <v>21</v>
      </c>
      <c r="G3469" t="s">
        <v>103</v>
      </c>
      <c r="H3469">
        <v>8</v>
      </c>
      <c r="I3469">
        <f t="shared" si="56"/>
        <v>10</v>
      </c>
    </row>
    <row r="3470" spans="1:9">
      <c r="A3470" s="1">
        <v>42529.295138888891</v>
      </c>
      <c r="B3470" s="19">
        <v>42718</v>
      </c>
      <c r="C3470" s="21">
        <v>0.6381944444444444</v>
      </c>
      <c r="D3470" s="20" t="s">
        <v>3042</v>
      </c>
      <c r="E3470" t="s">
        <v>6</v>
      </c>
      <c r="F3470" t="s">
        <v>21</v>
      </c>
      <c r="G3470" t="s">
        <v>849</v>
      </c>
      <c r="H3470">
        <v>10</v>
      </c>
      <c r="I3470">
        <f t="shared" si="56"/>
        <v>13</v>
      </c>
    </row>
    <row r="3471" spans="1:9">
      <c r="A3471" s="1">
        <v>42529.272222222222</v>
      </c>
      <c r="B3471" s="19">
        <v>42718</v>
      </c>
      <c r="C3471" s="21">
        <v>0.52222222222222225</v>
      </c>
      <c r="D3471" s="20" t="s">
        <v>3038</v>
      </c>
      <c r="E3471" t="s">
        <v>6</v>
      </c>
      <c r="F3471" t="s">
        <v>15</v>
      </c>
      <c r="G3471" t="s">
        <v>850</v>
      </c>
      <c r="H3471">
        <v>19</v>
      </c>
      <c r="I3471">
        <f t="shared" si="56"/>
        <v>24</v>
      </c>
    </row>
    <row r="3472" spans="1:9">
      <c r="A3472" s="1">
        <v>42529.268055555556</v>
      </c>
      <c r="B3472" s="19">
        <v>42718</v>
      </c>
      <c r="C3472" s="21">
        <v>0.50972222222222219</v>
      </c>
      <c r="D3472" s="20" t="s">
        <v>3038</v>
      </c>
      <c r="E3472" t="s">
        <v>2</v>
      </c>
      <c r="F3472" t="s">
        <v>48</v>
      </c>
      <c r="G3472" t="s">
        <v>851</v>
      </c>
      <c r="H3472">
        <v>7</v>
      </c>
      <c r="I3472">
        <f t="shared" si="56"/>
        <v>9</v>
      </c>
    </row>
    <row r="3473" spans="1:9">
      <c r="A3473" s="1">
        <v>42529.173611111109</v>
      </c>
      <c r="B3473" s="19">
        <v>42718</v>
      </c>
      <c r="C3473" s="21">
        <v>5.2083333333333336E-2</v>
      </c>
      <c r="D3473" s="20" t="s">
        <v>3051</v>
      </c>
      <c r="E3473" t="s">
        <v>6</v>
      </c>
      <c r="F3473" t="s">
        <v>12</v>
      </c>
      <c r="G3473" t="s">
        <v>853</v>
      </c>
      <c r="H3473">
        <v>4</v>
      </c>
      <c r="I3473">
        <f t="shared" si="56"/>
        <v>5</v>
      </c>
    </row>
    <row r="3474" spans="1:9">
      <c r="A3474" s="1">
        <v>42529.116666666669</v>
      </c>
      <c r="B3474" s="19">
        <v>42718</v>
      </c>
      <c r="C3474" s="21">
        <v>0.58402777777777781</v>
      </c>
      <c r="D3474" s="20" t="s">
        <v>3040</v>
      </c>
      <c r="E3474" t="s">
        <v>0</v>
      </c>
      <c r="G3474" t="s">
        <v>193</v>
      </c>
      <c r="H3474">
        <v>13</v>
      </c>
      <c r="I3474">
        <f t="shared" si="56"/>
        <v>17</v>
      </c>
    </row>
    <row r="3475" spans="1:9">
      <c r="A3475" s="1">
        <v>42528.9375</v>
      </c>
      <c r="B3475" s="19">
        <v>42718</v>
      </c>
      <c r="C3475" s="21">
        <v>0.33888888888888891</v>
      </c>
      <c r="D3475" s="20" t="s">
        <v>3034</v>
      </c>
      <c r="E3475" t="s">
        <v>33</v>
      </c>
      <c r="F3475" t="s">
        <v>44</v>
      </c>
      <c r="G3475" t="s">
        <v>852</v>
      </c>
      <c r="H3475">
        <v>8</v>
      </c>
      <c r="I3475">
        <f t="shared" si="56"/>
        <v>10</v>
      </c>
    </row>
    <row r="3476" spans="1:9">
      <c r="A3476" s="1">
        <v>42528.801388888889</v>
      </c>
      <c r="B3476" s="19">
        <v>42718</v>
      </c>
      <c r="C3476" s="21">
        <v>0.25069444444444444</v>
      </c>
      <c r="D3476" s="20" t="s">
        <v>3031</v>
      </c>
      <c r="E3476" t="s">
        <v>0</v>
      </c>
      <c r="G3476" t="s">
        <v>756</v>
      </c>
      <c r="H3476">
        <v>13</v>
      </c>
      <c r="I3476">
        <f t="shared" si="56"/>
        <v>17</v>
      </c>
    </row>
    <row r="3477" spans="1:9">
      <c r="A3477" s="1">
        <v>42528.765972222223</v>
      </c>
      <c r="B3477" s="19">
        <v>42719</v>
      </c>
      <c r="C3477" s="21">
        <v>0.93819444444444444</v>
      </c>
      <c r="D3477" s="20" t="s">
        <v>3049</v>
      </c>
      <c r="E3477" t="s">
        <v>6</v>
      </c>
      <c r="F3477" t="s">
        <v>7</v>
      </c>
      <c r="G3477" t="s">
        <v>833</v>
      </c>
      <c r="H3477">
        <v>22</v>
      </c>
      <c r="I3477">
        <f t="shared" si="56"/>
        <v>28</v>
      </c>
    </row>
    <row r="3478" spans="1:9">
      <c r="A3478" s="1">
        <v>42528.636805555558</v>
      </c>
      <c r="B3478" s="19">
        <v>42719</v>
      </c>
      <c r="C3478" s="21">
        <v>0.92013888888888884</v>
      </c>
      <c r="D3478" s="20" t="s">
        <v>3049</v>
      </c>
      <c r="E3478" t="s">
        <v>6</v>
      </c>
      <c r="F3478" t="s">
        <v>15</v>
      </c>
      <c r="G3478" t="s">
        <v>834</v>
      </c>
      <c r="H3478" t="e">
        <v>#VALUE!</v>
      </c>
      <c r="I3478" t="e">
        <f t="shared" si="56"/>
        <v>#VALUE!</v>
      </c>
    </row>
    <row r="3479" spans="1:9">
      <c r="A3479" s="1">
        <v>42528.495138888888</v>
      </c>
      <c r="B3479" s="19">
        <v>42719</v>
      </c>
      <c r="C3479" s="21">
        <v>0.89861111111111114</v>
      </c>
      <c r="D3479" s="20" t="s">
        <v>3048</v>
      </c>
      <c r="E3479" t="s">
        <v>6</v>
      </c>
      <c r="F3479" t="s">
        <v>21</v>
      </c>
      <c r="G3479" t="s">
        <v>455</v>
      </c>
      <c r="H3479">
        <v>13</v>
      </c>
      <c r="I3479">
        <f t="shared" si="56"/>
        <v>17</v>
      </c>
    </row>
    <row r="3480" spans="1:9">
      <c r="A3480" s="1">
        <v>42528.424305555556</v>
      </c>
      <c r="B3480" s="19">
        <v>42719</v>
      </c>
      <c r="C3480" s="21">
        <v>0.88124999999999998</v>
      </c>
      <c r="D3480" s="20" t="s">
        <v>3048</v>
      </c>
      <c r="E3480" t="s">
        <v>6</v>
      </c>
      <c r="G3480" t="s">
        <v>835</v>
      </c>
      <c r="H3480">
        <v>75</v>
      </c>
      <c r="I3480">
        <f t="shared" si="56"/>
        <v>93</v>
      </c>
    </row>
    <row r="3481" spans="1:9">
      <c r="A3481" s="1">
        <v>42528.392361111109</v>
      </c>
      <c r="B3481" s="19">
        <v>42719</v>
      </c>
      <c r="C3481" s="21">
        <v>0.67986111111111114</v>
      </c>
      <c r="D3481" s="20" t="s">
        <v>3043</v>
      </c>
      <c r="E3481" t="s">
        <v>6</v>
      </c>
      <c r="F3481" t="s">
        <v>15</v>
      </c>
      <c r="G3481" t="s">
        <v>103</v>
      </c>
      <c r="H3481">
        <v>13</v>
      </c>
      <c r="I3481">
        <f t="shared" si="56"/>
        <v>17</v>
      </c>
    </row>
    <row r="3482" spans="1:9">
      <c r="A3482" s="1">
        <v>42528.276388888888</v>
      </c>
      <c r="B3482" s="19">
        <v>42719</v>
      </c>
      <c r="C3482" s="21">
        <v>0.53680555555555554</v>
      </c>
      <c r="D3482" s="20" t="s">
        <v>3038</v>
      </c>
      <c r="E3482" t="s">
        <v>2</v>
      </c>
      <c r="F3482" t="s">
        <v>5</v>
      </c>
      <c r="H3482">
        <v>4</v>
      </c>
      <c r="I3482">
        <f t="shared" si="56"/>
        <v>5</v>
      </c>
    </row>
    <row r="3483" spans="1:9">
      <c r="A3483" s="1">
        <v>42528.231249999997</v>
      </c>
      <c r="B3483" s="19">
        <v>42719</v>
      </c>
      <c r="C3483" s="21">
        <v>0.48055555555555557</v>
      </c>
      <c r="D3483" s="20" t="s">
        <v>3037</v>
      </c>
      <c r="E3483" t="s">
        <v>6</v>
      </c>
      <c r="F3483" t="s">
        <v>12</v>
      </c>
      <c r="G3483" t="s">
        <v>840</v>
      </c>
      <c r="H3483">
        <v>48</v>
      </c>
      <c r="I3483">
        <f t="shared" si="56"/>
        <v>60</v>
      </c>
    </row>
    <row r="3484" spans="1:9">
      <c r="A3484" s="1">
        <v>42528.178472222222</v>
      </c>
      <c r="B3484" s="19">
        <v>42719</v>
      </c>
      <c r="C3484" s="21">
        <v>0.45416666666666666</v>
      </c>
      <c r="D3484" s="20" t="s">
        <v>3036</v>
      </c>
      <c r="E3484" t="s">
        <v>2</v>
      </c>
      <c r="F3484" t="s">
        <v>48</v>
      </c>
      <c r="H3484">
        <v>8</v>
      </c>
      <c r="I3484">
        <f t="shared" si="56"/>
        <v>10</v>
      </c>
    </row>
    <row r="3485" spans="1:9">
      <c r="A3485" s="1">
        <v>42528.053472222222</v>
      </c>
      <c r="B3485" s="19">
        <v>42719</v>
      </c>
      <c r="C3485" s="21">
        <v>0.44236111111111109</v>
      </c>
      <c r="D3485" s="20" t="s">
        <v>3036</v>
      </c>
      <c r="E3485" t="s">
        <v>2</v>
      </c>
      <c r="F3485" t="s">
        <v>5</v>
      </c>
      <c r="G3485" t="s">
        <v>841</v>
      </c>
      <c r="H3485" t="e">
        <v>#VALUE!</v>
      </c>
      <c r="I3485" t="e">
        <f t="shared" si="56"/>
        <v>#VALUE!</v>
      </c>
    </row>
    <row r="3486" spans="1:9">
      <c r="A3486" s="1">
        <v>42528.947916666664</v>
      </c>
      <c r="B3486" s="19">
        <v>42719</v>
      </c>
      <c r="C3486" s="21">
        <v>0.43958333333333333</v>
      </c>
      <c r="D3486" s="20" t="s">
        <v>3036</v>
      </c>
      <c r="E3486" t="s">
        <v>2</v>
      </c>
      <c r="F3486" t="s">
        <v>5</v>
      </c>
      <c r="G3486" t="s">
        <v>842</v>
      </c>
      <c r="H3486">
        <v>7</v>
      </c>
      <c r="I3486">
        <f t="shared" si="56"/>
        <v>9</v>
      </c>
    </row>
    <row r="3487" spans="1:9">
      <c r="A3487" s="1">
        <v>42528.92083333333</v>
      </c>
      <c r="B3487" s="19">
        <v>42719</v>
      </c>
      <c r="C3487" s="21">
        <v>0.43611111111111112</v>
      </c>
      <c r="D3487" s="20" t="s">
        <v>3036</v>
      </c>
      <c r="E3487" t="s">
        <v>6</v>
      </c>
      <c r="F3487" t="s">
        <v>12</v>
      </c>
      <c r="G3487" t="s">
        <v>45</v>
      </c>
      <c r="H3487">
        <v>5</v>
      </c>
      <c r="I3487">
        <f t="shared" si="56"/>
        <v>7</v>
      </c>
    </row>
    <row r="3488" spans="1:9">
      <c r="A3488" s="1">
        <v>42528.838888888888</v>
      </c>
      <c r="B3488" s="19">
        <v>42719</v>
      </c>
      <c r="C3488" s="21">
        <v>0.38541666666666669</v>
      </c>
      <c r="D3488" s="20" t="s">
        <v>3035</v>
      </c>
      <c r="E3488" t="s">
        <v>6</v>
      </c>
      <c r="F3488" t="s">
        <v>46</v>
      </c>
      <c r="G3488" t="s">
        <v>843</v>
      </c>
      <c r="H3488">
        <v>38</v>
      </c>
      <c r="I3488">
        <f t="shared" si="56"/>
        <v>48</v>
      </c>
    </row>
    <row r="3489" spans="1:9">
      <c r="A3489" s="1">
        <v>42528.805555555555</v>
      </c>
      <c r="B3489" s="19">
        <v>42719</v>
      </c>
      <c r="C3489" s="21">
        <v>0.36944444444444446</v>
      </c>
      <c r="D3489" s="20" t="s">
        <v>3034</v>
      </c>
      <c r="E3489" t="s">
        <v>6</v>
      </c>
      <c r="F3489" t="s">
        <v>46</v>
      </c>
      <c r="G3489" t="s">
        <v>844</v>
      </c>
      <c r="H3489">
        <v>3</v>
      </c>
      <c r="I3489">
        <f t="shared" si="56"/>
        <v>4</v>
      </c>
    </row>
    <row r="3490" spans="1:9">
      <c r="A3490" s="1">
        <v>42528.668749999997</v>
      </c>
      <c r="B3490" s="19">
        <v>42719</v>
      </c>
      <c r="C3490" s="21">
        <v>0.36041666666666666</v>
      </c>
      <c r="D3490" s="20" t="s">
        <v>3034</v>
      </c>
      <c r="E3490" t="s">
        <v>2</v>
      </c>
      <c r="F3490" t="s">
        <v>5</v>
      </c>
      <c r="H3490">
        <v>12</v>
      </c>
      <c r="I3490">
        <f t="shared" si="56"/>
        <v>15</v>
      </c>
    </row>
    <row r="3491" spans="1:9">
      <c r="A3491" s="1">
        <v>42528.636805555558</v>
      </c>
      <c r="B3491" s="19">
        <v>42719</v>
      </c>
      <c r="C3491" s="21">
        <v>0.34027777777777779</v>
      </c>
      <c r="D3491" s="20" t="s">
        <v>3034</v>
      </c>
      <c r="E3491" t="s">
        <v>6</v>
      </c>
      <c r="F3491" t="s">
        <v>46</v>
      </c>
      <c r="G3491" t="s">
        <v>845</v>
      </c>
      <c r="H3491">
        <v>36</v>
      </c>
      <c r="I3491">
        <f t="shared" si="56"/>
        <v>45</v>
      </c>
    </row>
    <row r="3492" spans="1:9">
      <c r="A3492" s="1">
        <v>42528.506249999999</v>
      </c>
      <c r="B3492" s="19">
        <v>42719</v>
      </c>
      <c r="C3492" s="21">
        <v>0.33124999999999999</v>
      </c>
      <c r="D3492" s="20" t="s">
        <v>3033</v>
      </c>
      <c r="E3492" t="s">
        <v>6</v>
      </c>
      <c r="F3492" t="s">
        <v>46</v>
      </c>
      <c r="G3492" t="s">
        <v>846</v>
      </c>
      <c r="H3492">
        <v>5</v>
      </c>
      <c r="I3492">
        <f t="shared" si="56"/>
        <v>7</v>
      </c>
    </row>
    <row r="3493" spans="1:9">
      <c r="A3493" s="1">
        <v>42528.492361111108</v>
      </c>
      <c r="B3493" s="19">
        <v>42719</v>
      </c>
      <c r="C3493" s="21">
        <v>0.18819444444444444</v>
      </c>
      <c r="D3493" s="20" t="s">
        <v>3054</v>
      </c>
      <c r="E3493" t="s">
        <v>2</v>
      </c>
      <c r="F3493" t="s">
        <v>3</v>
      </c>
      <c r="G3493" t="s">
        <v>847</v>
      </c>
      <c r="H3493">
        <v>54</v>
      </c>
      <c r="I3493">
        <f t="shared" si="56"/>
        <v>67</v>
      </c>
    </row>
    <row r="3494" spans="1:9">
      <c r="A3494" s="1">
        <v>42528.467361111114</v>
      </c>
      <c r="B3494" s="19">
        <v>42719</v>
      </c>
      <c r="C3494" s="21">
        <v>0.10972222222222222</v>
      </c>
      <c r="D3494" s="20" t="s">
        <v>3052</v>
      </c>
      <c r="E3494" t="s">
        <v>6</v>
      </c>
      <c r="F3494" t="s">
        <v>46</v>
      </c>
      <c r="G3494" t="s">
        <v>65</v>
      </c>
      <c r="H3494">
        <v>5</v>
      </c>
      <c r="I3494">
        <f t="shared" si="56"/>
        <v>7</v>
      </c>
    </row>
    <row r="3495" spans="1:9">
      <c r="A3495" s="1">
        <v>42528.322222222225</v>
      </c>
      <c r="B3495" s="19">
        <v>42719</v>
      </c>
      <c r="C3495" s="21">
        <v>0.87638888888888888</v>
      </c>
      <c r="D3495" s="20" t="s">
        <v>3048</v>
      </c>
      <c r="E3495" t="s">
        <v>33</v>
      </c>
      <c r="G3495" t="s">
        <v>836</v>
      </c>
      <c r="H3495">
        <v>4</v>
      </c>
      <c r="I3495">
        <f t="shared" si="56"/>
        <v>5</v>
      </c>
    </row>
    <row r="3496" spans="1:9">
      <c r="A3496" s="1">
        <v>42528.176388888889</v>
      </c>
      <c r="B3496" s="19">
        <v>42719</v>
      </c>
      <c r="C3496" s="21">
        <v>0.76597222222222228</v>
      </c>
      <c r="D3496" s="20" t="s">
        <v>3045</v>
      </c>
      <c r="E3496" t="s">
        <v>149</v>
      </c>
      <c r="F3496" t="s">
        <v>150</v>
      </c>
      <c r="G3496" t="s">
        <v>837</v>
      </c>
      <c r="H3496">
        <v>7</v>
      </c>
      <c r="I3496">
        <f t="shared" si="56"/>
        <v>9</v>
      </c>
    </row>
    <row r="3497" spans="1:9">
      <c r="A3497" s="1">
        <v>42528.063888888886</v>
      </c>
      <c r="B3497" s="19">
        <v>42719</v>
      </c>
      <c r="C3497" s="21">
        <v>0.6645833333333333</v>
      </c>
      <c r="D3497" s="20" t="s">
        <v>3042</v>
      </c>
      <c r="E3497" t="s">
        <v>0</v>
      </c>
      <c r="G3497" t="s">
        <v>838</v>
      </c>
      <c r="H3497">
        <v>2</v>
      </c>
      <c r="I3497">
        <f t="shared" si="56"/>
        <v>3</v>
      </c>
    </row>
    <row r="3498" spans="1:9">
      <c r="A3498" s="1">
        <v>42527.974999999999</v>
      </c>
      <c r="B3498" s="19">
        <v>42719</v>
      </c>
      <c r="C3498" s="21">
        <v>0.58750000000000002</v>
      </c>
      <c r="D3498" s="20" t="s">
        <v>3040</v>
      </c>
      <c r="E3498" t="s">
        <v>0</v>
      </c>
      <c r="G3498" t="s">
        <v>828</v>
      </c>
      <c r="H3498" t="e">
        <v>#VALUE!</v>
      </c>
      <c r="I3498" t="e">
        <f t="shared" si="56"/>
        <v>#VALUE!</v>
      </c>
    </row>
    <row r="3499" spans="1:9">
      <c r="A3499" s="1">
        <v>42527.956250000003</v>
      </c>
      <c r="B3499" s="19">
        <v>42719</v>
      </c>
      <c r="C3499" s="21">
        <v>0.56458333333333333</v>
      </c>
      <c r="D3499" s="20" t="s">
        <v>3039</v>
      </c>
      <c r="E3499" t="s">
        <v>0</v>
      </c>
      <c r="G3499" t="s">
        <v>839</v>
      </c>
      <c r="H3499" t="e">
        <v>#VALUE!</v>
      </c>
      <c r="I3499" t="e">
        <f t="shared" si="56"/>
        <v>#VALUE!</v>
      </c>
    </row>
    <row r="3500" spans="1:9">
      <c r="A3500" s="1">
        <v>42527.950694444444</v>
      </c>
      <c r="B3500" s="19">
        <v>42719</v>
      </c>
      <c r="C3500" s="21">
        <v>0.25</v>
      </c>
      <c r="D3500" s="20" t="s">
        <v>3031</v>
      </c>
      <c r="E3500" t="s">
        <v>0</v>
      </c>
      <c r="G3500" t="s">
        <v>756</v>
      </c>
      <c r="H3500">
        <v>13</v>
      </c>
      <c r="I3500">
        <f t="shared" si="56"/>
        <v>17</v>
      </c>
    </row>
    <row r="3501" spans="1:9">
      <c r="A3501" s="1">
        <v>42527.946527777778</v>
      </c>
      <c r="B3501" s="19">
        <v>42719</v>
      </c>
      <c r="C3501" s="21">
        <v>3.4027777777777775E-2</v>
      </c>
      <c r="D3501" s="20" t="s">
        <v>3050</v>
      </c>
      <c r="E3501" t="s">
        <v>0</v>
      </c>
      <c r="F3501" t="s">
        <v>1</v>
      </c>
      <c r="H3501">
        <v>15</v>
      </c>
      <c r="I3501">
        <f t="shared" si="56"/>
        <v>19</v>
      </c>
    </row>
    <row r="3502" spans="1:9">
      <c r="A3502" s="1">
        <v>42527.879861111112</v>
      </c>
      <c r="B3502" s="19">
        <v>42719</v>
      </c>
      <c r="C3502" s="21">
        <v>2.2222222222222223E-2</v>
      </c>
      <c r="D3502" s="20" t="s">
        <v>3050</v>
      </c>
      <c r="E3502" t="s">
        <v>33</v>
      </c>
      <c r="F3502" t="s">
        <v>155</v>
      </c>
      <c r="G3502" t="s">
        <v>848</v>
      </c>
      <c r="H3502">
        <v>22</v>
      </c>
      <c r="I3502">
        <f t="shared" si="56"/>
        <v>28</v>
      </c>
    </row>
    <row r="3503" spans="1:9">
      <c r="A3503" s="1">
        <v>42527.729166666664</v>
      </c>
      <c r="B3503" s="19">
        <v>42720</v>
      </c>
      <c r="C3503" s="21">
        <v>0.85624999999999996</v>
      </c>
      <c r="D3503" s="20" t="s">
        <v>3047</v>
      </c>
      <c r="E3503" t="s">
        <v>6</v>
      </c>
      <c r="F3503" t="s">
        <v>21</v>
      </c>
      <c r="G3503" t="s">
        <v>829</v>
      </c>
      <c r="H3503">
        <v>38</v>
      </c>
      <c r="I3503">
        <f t="shared" si="56"/>
        <v>48</v>
      </c>
    </row>
    <row r="3504" spans="1:9">
      <c r="A3504" s="1">
        <v>42527.696527777778</v>
      </c>
      <c r="B3504" s="19">
        <v>42720</v>
      </c>
      <c r="C3504" s="21">
        <v>0.84513888888888888</v>
      </c>
      <c r="D3504" s="20" t="s">
        <v>3047</v>
      </c>
      <c r="E3504" t="s">
        <v>6</v>
      </c>
      <c r="F3504" t="s">
        <v>21</v>
      </c>
      <c r="G3504" t="s">
        <v>103</v>
      </c>
      <c r="H3504">
        <v>20</v>
      </c>
      <c r="I3504">
        <f t="shared" si="56"/>
        <v>25</v>
      </c>
    </row>
    <row r="3505" spans="1:9">
      <c r="A3505" s="1">
        <v>42527.626388888886</v>
      </c>
      <c r="B3505" s="19">
        <v>42720</v>
      </c>
      <c r="C3505" s="21">
        <v>0.71180555555555558</v>
      </c>
      <c r="D3505" s="20" t="s">
        <v>3044</v>
      </c>
      <c r="E3505" t="s">
        <v>6</v>
      </c>
      <c r="F3505" t="s">
        <v>21</v>
      </c>
      <c r="G3505" t="s">
        <v>103</v>
      </c>
      <c r="H3505">
        <v>13</v>
      </c>
      <c r="I3505">
        <f t="shared" si="56"/>
        <v>17</v>
      </c>
    </row>
    <row r="3506" spans="1:9">
      <c r="A3506" s="1">
        <v>42527.551388888889</v>
      </c>
      <c r="B3506" s="19">
        <v>42720</v>
      </c>
      <c r="C3506" s="21">
        <v>0.49583333333333335</v>
      </c>
      <c r="D3506" s="20" t="s">
        <v>3037</v>
      </c>
      <c r="E3506" t="s">
        <v>2</v>
      </c>
      <c r="G3506" t="s">
        <v>831</v>
      </c>
      <c r="H3506">
        <v>13</v>
      </c>
      <c r="I3506">
        <f t="shared" si="56"/>
        <v>17</v>
      </c>
    </row>
    <row r="3507" spans="1:9">
      <c r="A3507" s="1">
        <v>42527.450694444444</v>
      </c>
      <c r="B3507" s="19">
        <v>42720</v>
      </c>
      <c r="C3507" s="21">
        <v>0.42152777777777778</v>
      </c>
      <c r="D3507" s="20" t="s">
        <v>3036</v>
      </c>
      <c r="E3507" t="s">
        <v>2</v>
      </c>
      <c r="F3507" t="s">
        <v>56</v>
      </c>
      <c r="G3507" t="s">
        <v>832</v>
      </c>
      <c r="H3507">
        <v>41</v>
      </c>
      <c r="I3507">
        <f t="shared" si="56"/>
        <v>51</v>
      </c>
    </row>
    <row r="3508" spans="1:9">
      <c r="A3508" s="1">
        <v>42527.250694444447</v>
      </c>
      <c r="B3508" s="19">
        <v>42720</v>
      </c>
      <c r="C3508" s="21">
        <v>0.94513888888888886</v>
      </c>
      <c r="D3508" s="20" t="s">
        <v>3049</v>
      </c>
      <c r="E3508" t="s">
        <v>0</v>
      </c>
      <c r="F3508" t="s">
        <v>1</v>
      </c>
      <c r="H3508">
        <v>17</v>
      </c>
      <c r="I3508">
        <f t="shared" si="56"/>
        <v>22</v>
      </c>
    </row>
    <row r="3509" spans="1:9">
      <c r="A3509" s="1">
        <v>42527.913888888892</v>
      </c>
      <c r="B3509" s="19">
        <v>42720</v>
      </c>
      <c r="C3509" s="21">
        <v>0.91805555555555551</v>
      </c>
      <c r="D3509" s="20" t="s">
        <v>3049</v>
      </c>
      <c r="E3509" t="s">
        <v>730</v>
      </c>
      <c r="G3509" t="s">
        <v>828</v>
      </c>
      <c r="H3509">
        <v>51</v>
      </c>
      <c r="I3509">
        <f t="shared" si="56"/>
        <v>64</v>
      </c>
    </row>
    <row r="3510" spans="1:9">
      <c r="A3510" s="1">
        <v>42527.908333333333</v>
      </c>
      <c r="B3510" s="19">
        <v>42720</v>
      </c>
      <c r="C3510" s="21">
        <v>0.76388888888888884</v>
      </c>
      <c r="D3510" s="20" t="s">
        <v>3045</v>
      </c>
      <c r="E3510" t="s">
        <v>0</v>
      </c>
      <c r="G3510" t="s">
        <v>830</v>
      </c>
      <c r="H3510">
        <v>25</v>
      </c>
      <c r="I3510">
        <f t="shared" si="56"/>
        <v>31</v>
      </c>
    </row>
    <row r="3511" spans="1:9">
      <c r="A3511" s="1">
        <v>42527.804166666669</v>
      </c>
      <c r="B3511" s="19">
        <v>42720</v>
      </c>
      <c r="C3511" s="21">
        <v>0.75277777777777777</v>
      </c>
      <c r="D3511" s="20" t="s">
        <v>3045</v>
      </c>
      <c r="E3511" t="s">
        <v>0</v>
      </c>
      <c r="G3511" t="s">
        <v>828</v>
      </c>
      <c r="H3511">
        <v>25</v>
      </c>
      <c r="I3511">
        <f t="shared" si="56"/>
        <v>31</v>
      </c>
    </row>
    <row r="3512" spans="1:9">
      <c r="A3512" s="1">
        <v>42527.792361111111</v>
      </c>
      <c r="B3512" s="19">
        <v>42720</v>
      </c>
      <c r="C3512" s="21">
        <v>0.25069444444444444</v>
      </c>
      <c r="D3512" s="20" t="s">
        <v>3031</v>
      </c>
      <c r="E3512" t="s">
        <v>0</v>
      </c>
      <c r="G3512" t="s">
        <v>756</v>
      </c>
      <c r="H3512">
        <v>13</v>
      </c>
      <c r="I3512">
        <f t="shared" si="56"/>
        <v>17</v>
      </c>
    </row>
    <row r="3513" spans="1:9">
      <c r="A3513" s="1">
        <v>42527.771527777775</v>
      </c>
      <c r="B3513" s="19">
        <v>42721</v>
      </c>
      <c r="C3513" s="21">
        <v>0.10069444444444445</v>
      </c>
      <c r="D3513" s="20" t="s">
        <v>3052</v>
      </c>
      <c r="E3513" t="s">
        <v>6</v>
      </c>
      <c r="F3513" t="s">
        <v>15</v>
      </c>
      <c r="G3513" t="s">
        <v>827</v>
      </c>
      <c r="H3513">
        <v>8</v>
      </c>
      <c r="I3513">
        <f t="shared" si="56"/>
        <v>10</v>
      </c>
    </row>
    <row r="3514" spans="1:9">
      <c r="A3514" s="1">
        <v>42527.629166666666</v>
      </c>
      <c r="B3514" s="19">
        <v>42721</v>
      </c>
      <c r="C3514" s="21">
        <v>0.22083333333333333</v>
      </c>
      <c r="D3514" s="20" t="s">
        <v>3055</v>
      </c>
      <c r="E3514" t="s">
        <v>0</v>
      </c>
      <c r="G3514" t="s">
        <v>335</v>
      </c>
      <c r="H3514">
        <v>3</v>
      </c>
      <c r="I3514">
        <f t="shared" si="56"/>
        <v>4</v>
      </c>
    </row>
    <row r="3515" spans="1:9">
      <c r="A3515" s="1">
        <v>42525.148611111108</v>
      </c>
      <c r="B3515" s="19">
        <v>42721</v>
      </c>
      <c r="C3515" s="21">
        <v>0.20624999999999999</v>
      </c>
      <c r="D3515" s="20" t="s">
        <v>3054</v>
      </c>
      <c r="E3515" t="s">
        <v>33</v>
      </c>
      <c r="F3515" t="s">
        <v>155</v>
      </c>
      <c r="G3515" t="s">
        <v>826</v>
      </c>
      <c r="H3515">
        <v>2</v>
      </c>
      <c r="I3515">
        <f t="shared" si="56"/>
        <v>3</v>
      </c>
    </row>
    <row r="3516" spans="1:9">
      <c r="A3516" s="1">
        <v>42525.090277777781</v>
      </c>
      <c r="B3516" s="19">
        <v>42723</v>
      </c>
      <c r="C3516" s="21">
        <v>0.9916666666666667</v>
      </c>
      <c r="D3516" s="20" t="s">
        <v>3063</v>
      </c>
      <c r="E3516" t="s">
        <v>6</v>
      </c>
      <c r="F3516" t="s">
        <v>21</v>
      </c>
      <c r="G3516" t="s">
        <v>816</v>
      </c>
      <c r="H3516">
        <v>7</v>
      </c>
      <c r="I3516">
        <f t="shared" si="56"/>
        <v>9</v>
      </c>
    </row>
    <row r="3517" spans="1:9">
      <c r="A3517" s="1">
        <v>42525.084722222222</v>
      </c>
      <c r="B3517" s="19">
        <v>42723</v>
      </c>
      <c r="C3517" s="21">
        <v>0.97222222222222221</v>
      </c>
      <c r="D3517" s="20" t="s">
        <v>3063</v>
      </c>
      <c r="E3517" t="s">
        <v>6</v>
      </c>
      <c r="F3517" t="s">
        <v>12</v>
      </c>
      <c r="G3517" t="s">
        <v>817</v>
      </c>
      <c r="H3517">
        <v>4</v>
      </c>
      <c r="I3517">
        <f t="shared" si="56"/>
        <v>5</v>
      </c>
    </row>
    <row r="3518" spans="1:9">
      <c r="A3518" s="1">
        <v>42524.908333333333</v>
      </c>
      <c r="B3518" s="19">
        <v>42723</v>
      </c>
      <c r="C3518" s="21">
        <v>0.78125</v>
      </c>
      <c r="D3518" s="20" t="s">
        <v>3045</v>
      </c>
      <c r="E3518" t="s">
        <v>2</v>
      </c>
      <c r="F3518" t="s">
        <v>5</v>
      </c>
      <c r="G3518" t="s">
        <v>103</v>
      </c>
      <c r="H3518">
        <v>19</v>
      </c>
      <c r="I3518">
        <f t="shared" si="56"/>
        <v>24</v>
      </c>
    </row>
    <row r="3519" spans="1:9">
      <c r="A3519" s="1">
        <v>42524.814583333333</v>
      </c>
      <c r="B3519" s="19">
        <v>42723</v>
      </c>
      <c r="C3519" s="21">
        <v>0.67291666666666672</v>
      </c>
      <c r="D3519" s="20" t="s">
        <v>3043</v>
      </c>
      <c r="E3519" t="s">
        <v>6</v>
      </c>
      <c r="F3519" t="s">
        <v>26</v>
      </c>
      <c r="G3519" t="s">
        <v>818</v>
      </c>
      <c r="H3519" t="e">
        <v>#VALUE!</v>
      </c>
      <c r="I3519" t="e">
        <f t="shared" si="56"/>
        <v>#VALUE!</v>
      </c>
    </row>
    <row r="3520" spans="1:9">
      <c r="A3520" s="1">
        <v>42524.499305555553</v>
      </c>
      <c r="B3520" s="19">
        <v>42723</v>
      </c>
      <c r="C3520" s="21">
        <v>0.50069444444444444</v>
      </c>
      <c r="D3520" s="20" t="s">
        <v>3038</v>
      </c>
      <c r="E3520" t="s">
        <v>6</v>
      </c>
      <c r="F3520" t="s">
        <v>15</v>
      </c>
      <c r="G3520" t="s">
        <v>819</v>
      </c>
      <c r="H3520">
        <v>15</v>
      </c>
      <c r="I3520">
        <f t="shared" si="56"/>
        <v>19</v>
      </c>
    </row>
    <row r="3521" spans="1:9">
      <c r="A3521" s="1">
        <v>42524.249305555553</v>
      </c>
      <c r="B3521" s="19">
        <v>42723</v>
      </c>
      <c r="C3521" s="21">
        <v>0.27847222222222223</v>
      </c>
      <c r="D3521" s="20" t="s">
        <v>3031</v>
      </c>
      <c r="E3521" t="s">
        <v>6</v>
      </c>
      <c r="F3521" t="s">
        <v>167</v>
      </c>
      <c r="G3521" t="s">
        <v>824</v>
      </c>
      <c r="H3521">
        <v>44</v>
      </c>
      <c r="I3521">
        <f t="shared" si="56"/>
        <v>55</v>
      </c>
    </row>
    <row r="3522" spans="1:9">
      <c r="A3522" s="1">
        <v>42524.154861111114</v>
      </c>
      <c r="B3522" s="19">
        <v>42723</v>
      </c>
      <c r="C3522" s="21">
        <v>0.2590277777777778</v>
      </c>
      <c r="D3522" s="20" t="s">
        <v>3031</v>
      </c>
      <c r="E3522" t="s">
        <v>6</v>
      </c>
      <c r="F3522" t="s">
        <v>21</v>
      </c>
      <c r="G3522" t="s">
        <v>825</v>
      </c>
      <c r="H3522">
        <v>19</v>
      </c>
      <c r="I3522">
        <f t="shared" si="56"/>
        <v>24</v>
      </c>
    </row>
    <row r="3523" spans="1:9">
      <c r="A3523" s="1">
        <v>42524.12777777778</v>
      </c>
      <c r="B3523" s="19">
        <v>42723</v>
      </c>
      <c r="C3523" s="21">
        <v>0.99861111111111112</v>
      </c>
      <c r="D3523" s="20" t="s">
        <v>3063</v>
      </c>
      <c r="E3523" t="s">
        <v>33</v>
      </c>
      <c r="F3523" t="s">
        <v>34</v>
      </c>
      <c r="G3523" t="s">
        <v>815</v>
      </c>
      <c r="H3523">
        <v>31</v>
      </c>
      <c r="I3523">
        <f t="shared" ref="I3523:I3586" si="57">ROUNDUP((H3523*1.24), 0)</f>
        <v>39</v>
      </c>
    </row>
    <row r="3524" spans="1:9">
      <c r="A3524" s="1">
        <v>42524.109027777777</v>
      </c>
      <c r="B3524" s="19">
        <v>42723</v>
      </c>
      <c r="C3524" s="21">
        <v>0.91736111111111107</v>
      </c>
      <c r="D3524" s="20" t="s">
        <v>3049</v>
      </c>
      <c r="E3524" t="s">
        <v>0</v>
      </c>
      <c r="G3524" t="s">
        <v>756</v>
      </c>
      <c r="H3524">
        <v>13</v>
      </c>
      <c r="I3524">
        <f t="shared" si="57"/>
        <v>17</v>
      </c>
    </row>
    <row r="3525" spans="1:9">
      <c r="A3525" s="1">
        <v>42524.087500000001</v>
      </c>
      <c r="B3525" s="19">
        <v>42723</v>
      </c>
      <c r="C3525" s="21">
        <v>0.78819444444444442</v>
      </c>
      <c r="D3525" s="20" t="s">
        <v>3045</v>
      </c>
      <c r="H3525">
        <v>0</v>
      </c>
      <c r="I3525">
        <f t="shared" si="57"/>
        <v>0</v>
      </c>
    </row>
    <row r="3526" spans="1:9">
      <c r="A3526" s="1">
        <v>42524.976388888892</v>
      </c>
      <c r="B3526" s="19">
        <v>42723</v>
      </c>
      <c r="C3526" s="21">
        <v>0.45902777777777776</v>
      </c>
      <c r="D3526" s="20" t="s">
        <v>3037</v>
      </c>
      <c r="E3526" t="s">
        <v>33</v>
      </c>
      <c r="F3526" t="s">
        <v>44</v>
      </c>
      <c r="G3526" t="s">
        <v>820</v>
      </c>
      <c r="H3526">
        <v>8</v>
      </c>
      <c r="I3526">
        <f t="shared" si="57"/>
        <v>10</v>
      </c>
    </row>
    <row r="3527" spans="1:9">
      <c r="A3527" s="1">
        <v>42524.845138888886</v>
      </c>
      <c r="B3527" s="19">
        <v>42723</v>
      </c>
      <c r="C3527" s="21">
        <v>0.39513888888888887</v>
      </c>
      <c r="D3527" s="20" t="s">
        <v>3035</v>
      </c>
      <c r="E3527" t="s">
        <v>0</v>
      </c>
      <c r="F3527" t="s">
        <v>75</v>
      </c>
      <c r="G3527" t="s">
        <v>821</v>
      </c>
      <c r="H3527">
        <v>4</v>
      </c>
      <c r="I3527">
        <f t="shared" si="57"/>
        <v>5</v>
      </c>
    </row>
    <row r="3528" spans="1:9">
      <c r="A3528" s="1">
        <v>42524.829861111109</v>
      </c>
      <c r="B3528" s="19">
        <v>42723</v>
      </c>
      <c r="C3528" s="21">
        <v>0.39374999999999999</v>
      </c>
      <c r="D3528" s="20" t="s">
        <v>3035</v>
      </c>
      <c r="E3528" t="s">
        <v>33</v>
      </c>
      <c r="F3528" t="s">
        <v>155</v>
      </c>
      <c r="G3528" t="s">
        <v>822</v>
      </c>
      <c r="H3528">
        <v>10</v>
      </c>
      <c r="I3528">
        <f t="shared" si="57"/>
        <v>13</v>
      </c>
    </row>
    <row r="3529" spans="1:9">
      <c r="A3529" s="1">
        <v>42524.773611111108</v>
      </c>
      <c r="B3529" s="19">
        <v>42723</v>
      </c>
      <c r="C3529" s="21">
        <v>0.29097222222222224</v>
      </c>
      <c r="D3529" s="20" t="s">
        <v>3031</v>
      </c>
      <c r="E3529" t="s">
        <v>0</v>
      </c>
      <c r="G3529" t="s">
        <v>823</v>
      </c>
      <c r="H3529">
        <v>2</v>
      </c>
      <c r="I3529">
        <f t="shared" si="57"/>
        <v>3</v>
      </c>
    </row>
    <row r="3530" spans="1:9">
      <c r="A3530" s="1">
        <v>42524.71597222222</v>
      </c>
      <c r="B3530" s="19">
        <v>42723</v>
      </c>
      <c r="C3530" s="21">
        <v>0.25347222222222221</v>
      </c>
      <c r="D3530" s="20" t="s">
        <v>3031</v>
      </c>
      <c r="E3530" t="s">
        <v>0</v>
      </c>
      <c r="G3530" t="s">
        <v>9</v>
      </c>
      <c r="H3530">
        <v>13</v>
      </c>
      <c r="I3530">
        <f t="shared" si="57"/>
        <v>17</v>
      </c>
    </row>
    <row r="3531" spans="1:9">
      <c r="A3531" s="1">
        <v>42524.586805555555</v>
      </c>
      <c r="B3531" s="19">
        <v>42724</v>
      </c>
      <c r="C3531" s="21">
        <v>0.6</v>
      </c>
      <c r="D3531" s="20" t="s">
        <v>3040</v>
      </c>
      <c r="E3531" t="s">
        <v>6</v>
      </c>
      <c r="F3531" t="s">
        <v>15</v>
      </c>
      <c r="G3531" t="s">
        <v>791</v>
      </c>
      <c r="H3531">
        <v>9</v>
      </c>
      <c r="I3531">
        <f t="shared" si="57"/>
        <v>12</v>
      </c>
    </row>
    <row r="3532" spans="1:9">
      <c r="A3532" s="1">
        <v>42524.563194444447</v>
      </c>
      <c r="B3532" s="19">
        <v>42724</v>
      </c>
      <c r="C3532" s="21">
        <v>0.53749999999999998</v>
      </c>
      <c r="D3532" s="20" t="s">
        <v>3038</v>
      </c>
      <c r="E3532" t="s">
        <v>6</v>
      </c>
      <c r="F3532" t="s">
        <v>21</v>
      </c>
      <c r="G3532" t="s">
        <v>417</v>
      </c>
      <c r="H3532">
        <v>13</v>
      </c>
      <c r="I3532">
        <f t="shared" si="57"/>
        <v>17</v>
      </c>
    </row>
    <row r="3533" spans="1:9">
      <c r="A3533" s="1">
        <v>42524.551388888889</v>
      </c>
      <c r="B3533" s="19">
        <v>42724</v>
      </c>
      <c r="C3533" s="21">
        <v>0.4909722222222222</v>
      </c>
      <c r="D3533" s="20" t="s">
        <v>3037</v>
      </c>
      <c r="E3533" t="s">
        <v>6</v>
      </c>
      <c r="F3533" t="s">
        <v>21</v>
      </c>
      <c r="G3533" t="s">
        <v>808</v>
      </c>
      <c r="H3533">
        <v>15</v>
      </c>
      <c r="I3533">
        <f t="shared" si="57"/>
        <v>19</v>
      </c>
    </row>
    <row r="3534" spans="1:9">
      <c r="A3534" s="1">
        <v>42524.545138888891</v>
      </c>
      <c r="B3534" s="19">
        <v>42724</v>
      </c>
      <c r="C3534" s="21">
        <v>0.34861111111111109</v>
      </c>
      <c r="D3534" s="20" t="s">
        <v>3034</v>
      </c>
      <c r="E3534" t="s">
        <v>6</v>
      </c>
      <c r="F3534" t="s">
        <v>167</v>
      </c>
      <c r="G3534" t="s">
        <v>809</v>
      </c>
      <c r="H3534">
        <v>13</v>
      </c>
      <c r="I3534">
        <f t="shared" si="57"/>
        <v>17</v>
      </c>
    </row>
    <row r="3535" spans="1:9">
      <c r="A3535" s="1">
        <v>42524.538888888892</v>
      </c>
      <c r="B3535" s="19">
        <v>42724</v>
      </c>
      <c r="C3535" s="21">
        <v>0.29791666666666666</v>
      </c>
      <c r="D3535" s="20" t="s">
        <v>3033</v>
      </c>
      <c r="E3535" t="s">
        <v>2</v>
      </c>
      <c r="F3535" t="s">
        <v>5</v>
      </c>
      <c r="G3535" t="s">
        <v>811</v>
      </c>
      <c r="H3535">
        <v>50</v>
      </c>
      <c r="I3535">
        <f t="shared" si="57"/>
        <v>62</v>
      </c>
    </row>
    <row r="3536" spans="1:9">
      <c r="A3536" s="1">
        <v>42524.397916666669</v>
      </c>
      <c r="B3536" s="19">
        <v>42724</v>
      </c>
      <c r="C3536" s="21">
        <v>0.25069444444444444</v>
      </c>
      <c r="D3536" s="20" t="s">
        <v>3031</v>
      </c>
      <c r="E3536" t="s">
        <v>6</v>
      </c>
      <c r="F3536" t="s">
        <v>167</v>
      </c>
      <c r="G3536" t="s">
        <v>812</v>
      </c>
      <c r="H3536" t="e">
        <v>#VALUE!</v>
      </c>
      <c r="I3536" t="e">
        <f t="shared" si="57"/>
        <v>#VALUE!</v>
      </c>
    </row>
    <row r="3537" spans="1:9">
      <c r="A3537" s="1">
        <v>42524.249305555553</v>
      </c>
      <c r="B3537" s="19">
        <v>42724</v>
      </c>
      <c r="C3537" s="21">
        <v>0.23125000000000001</v>
      </c>
      <c r="D3537" s="20" t="s">
        <v>3055</v>
      </c>
      <c r="E3537" t="s">
        <v>6</v>
      </c>
      <c r="F3537" t="s">
        <v>167</v>
      </c>
      <c r="G3537" t="s">
        <v>813</v>
      </c>
      <c r="H3537">
        <v>34</v>
      </c>
      <c r="I3537">
        <f t="shared" si="57"/>
        <v>43</v>
      </c>
    </row>
    <row r="3538" spans="1:9">
      <c r="A3538" s="1">
        <v>42524.144444444442</v>
      </c>
      <c r="B3538" s="19">
        <v>42724</v>
      </c>
      <c r="C3538" s="21">
        <v>0.91666666666666663</v>
      </c>
      <c r="D3538" s="20" t="s">
        <v>3049</v>
      </c>
      <c r="E3538" t="s">
        <v>0</v>
      </c>
      <c r="G3538" t="s">
        <v>622</v>
      </c>
      <c r="H3538">
        <v>13</v>
      </c>
      <c r="I3538">
        <f t="shared" si="57"/>
        <v>17</v>
      </c>
    </row>
    <row r="3539" spans="1:9">
      <c r="A3539" s="1">
        <v>42524.122916666667</v>
      </c>
      <c r="B3539" s="19">
        <v>42724</v>
      </c>
      <c r="C3539" s="21">
        <v>0.52361111111111114</v>
      </c>
      <c r="D3539" s="20" t="s">
        <v>3038</v>
      </c>
      <c r="E3539" t="s">
        <v>33</v>
      </c>
      <c r="F3539" t="s">
        <v>34</v>
      </c>
      <c r="G3539" t="s">
        <v>616</v>
      </c>
      <c r="H3539">
        <v>0</v>
      </c>
      <c r="I3539">
        <f t="shared" si="57"/>
        <v>0</v>
      </c>
    </row>
    <row r="3540" spans="1:9">
      <c r="A3540" s="1">
        <v>42524.036805555559</v>
      </c>
      <c r="B3540" s="19">
        <v>42724</v>
      </c>
      <c r="C3540" s="21">
        <v>0.33263888888888887</v>
      </c>
      <c r="D3540" s="20" t="s">
        <v>3033</v>
      </c>
      <c r="E3540" t="s">
        <v>0</v>
      </c>
      <c r="F3540" t="s">
        <v>1</v>
      </c>
      <c r="G3540" t="s">
        <v>810</v>
      </c>
      <c r="H3540">
        <v>13</v>
      </c>
      <c r="I3540">
        <f t="shared" si="57"/>
        <v>17</v>
      </c>
    </row>
    <row r="3541" spans="1:9">
      <c r="A3541" s="1">
        <v>42524.015277777777</v>
      </c>
      <c r="B3541" s="19">
        <v>42724</v>
      </c>
      <c r="C3541" s="21">
        <v>0.2902777777777778</v>
      </c>
      <c r="D3541" s="20" t="s">
        <v>3031</v>
      </c>
      <c r="E3541" t="s">
        <v>0</v>
      </c>
      <c r="G3541" t="s">
        <v>193</v>
      </c>
      <c r="H3541">
        <v>13</v>
      </c>
      <c r="I3541">
        <f t="shared" si="57"/>
        <v>17</v>
      </c>
    </row>
    <row r="3542" spans="1:9">
      <c r="A3542" s="1">
        <v>42523.839583333334</v>
      </c>
      <c r="B3542" s="19">
        <v>42724</v>
      </c>
      <c r="C3542" s="21">
        <v>0.18958333333333333</v>
      </c>
      <c r="D3542" s="20" t="s">
        <v>3054</v>
      </c>
      <c r="E3542" t="s">
        <v>0</v>
      </c>
      <c r="F3542" t="s">
        <v>1</v>
      </c>
      <c r="H3542">
        <v>13</v>
      </c>
      <c r="I3542">
        <f t="shared" si="57"/>
        <v>17</v>
      </c>
    </row>
    <row r="3543" spans="1:9">
      <c r="A3543" s="1">
        <v>42523.457638888889</v>
      </c>
      <c r="B3543" s="19">
        <v>42724</v>
      </c>
      <c r="C3543" s="21">
        <v>0.1763888888888889</v>
      </c>
      <c r="D3543" s="20" t="s">
        <v>3054</v>
      </c>
      <c r="E3543" t="s">
        <v>33</v>
      </c>
      <c r="F3543" t="s">
        <v>34</v>
      </c>
      <c r="G3543" t="s">
        <v>814</v>
      </c>
      <c r="H3543">
        <v>25</v>
      </c>
      <c r="I3543">
        <f t="shared" si="57"/>
        <v>31</v>
      </c>
    </row>
    <row r="3544" spans="1:9">
      <c r="A3544" s="1">
        <v>42523.420138888891</v>
      </c>
      <c r="B3544" s="19">
        <v>42725</v>
      </c>
      <c r="C3544" s="21">
        <v>0.97083333333333333</v>
      </c>
      <c r="D3544" s="20" t="s">
        <v>3063</v>
      </c>
      <c r="E3544" t="s">
        <v>2</v>
      </c>
      <c r="F3544" t="s">
        <v>5</v>
      </c>
      <c r="H3544">
        <v>53</v>
      </c>
      <c r="I3544">
        <f t="shared" si="57"/>
        <v>66</v>
      </c>
    </row>
    <row r="3545" spans="1:9">
      <c r="A3545" s="1">
        <v>42523.26666666667</v>
      </c>
      <c r="B3545" s="19">
        <v>42725</v>
      </c>
      <c r="C3545" s="21">
        <v>0.91736111111111107</v>
      </c>
      <c r="D3545" s="20" t="s">
        <v>3049</v>
      </c>
      <c r="E3545" t="s">
        <v>6</v>
      </c>
      <c r="F3545" t="s">
        <v>15</v>
      </c>
      <c r="G3545" t="s">
        <v>800</v>
      </c>
      <c r="H3545" t="e">
        <v>#VALUE!</v>
      </c>
      <c r="I3545" t="e">
        <f t="shared" si="57"/>
        <v>#VALUE!</v>
      </c>
    </row>
    <row r="3546" spans="1:9">
      <c r="A3546" s="1">
        <v>42523.25</v>
      </c>
      <c r="B3546" s="19">
        <v>42725</v>
      </c>
      <c r="C3546" s="21">
        <v>0.71736111111111112</v>
      </c>
      <c r="D3546" s="20" t="s">
        <v>3044</v>
      </c>
      <c r="E3546" t="s">
        <v>6</v>
      </c>
      <c r="F3546" t="s">
        <v>21</v>
      </c>
      <c r="G3546" t="s">
        <v>801</v>
      </c>
      <c r="H3546">
        <v>15</v>
      </c>
      <c r="I3546">
        <f t="shared" si="57"/>
        <v>19</v>
      </c>
    </row>
    <row r="3547" spans="1:9">
      <c r="A3547" s="1">
        <v>42523.15</v>
      </c>
      <c r="B3547" s="19">
        <v>42725</v>
      </c>
      <c r="C3547" s="21">
        <v>0.66874999999999996</v>
      </c>
      <c r="D3547" s="20" t="s">
        <v>3043</v>
      </c>
      <c r="E3547" t="s">
        <v>2</v>
      </c>
      <c r="F3547" t="s">
        <v>5</v>
      </c>
      <c r="H3547">
        <v>15</v>
      </c>
      <c r="I3547">
        <f t="shared" si="57"/>
        <v>19</v>
      </c>
    </row>
    <row r="3548" spans="1:9" ht="28.8">
      <c r="A3548" s="1">
        <v>42523.952777777777</v>
      </c>
      <c r="B3548" s="19">
        <v>42725</v>
      </c>
      <c r="C3548" s="21">
        <v>0.65763888888888888</v>
      </c>
      <c r="D3548" s="20" t="s">
        <v>3042</v>
      </c>
      <c r="E3548" t="s">
        <v>6</v>
      </c>
      <c r="F3548" t="s">
        <v>26</v>
      </c>
      <c r="G3548" s="2" t="s">
        <v>802</v>
      </c>
      <c r="H3548">
        <v>20</v>
      </c>
      <c r="I3548">
        <f t="shared" si="57"/>
        <v>25</v>
      </c>
    </row>
    <row r="3549" spans="1:9">
      <c r="A3549" s="1">
        <v>42523.931250000001</v>
      </c>
      <c r="B3549" s="19">
        <v>42725</v>
      </c>
      <c r="C3549" s="21">
        <v>0.65</v>
      </c>
      <c r="D3549" s="20" t="s">
        <v>3042</v>
      </c>
      <c r="E3549" t="s">
        <v>6</v>
      </c>
      <c r="F3549" t="s">
        <v>21</v>
      </c>
      <c r="G3549" t="s">
        <v>791</v>
      </c>
      <c r="H3549">
        <v>8</v>
      </c>
      <c r="I3549">
        <f t="shared" si="57"/>
        <v>10</v>
      </c>
    </row>
    <row r="3550" spans="1:9">
      <c r="A3550" s="1">
        <v>42523.561805555553</v>
      </c>
      <c r="B3550" s="19">
        <v>42725</v>
      </c>
      <c r="C3550" s="21">
        <v>0.64166666666666672</v>
      </c>
      <c r="D3550" s="20" t="s">
        <v>3042</v>
      </c>
      <c r="E3550" t="s">
        <v>6</v>
      </c>
      <c r="F3550" t="s">
        <v>15</v>
      </c>
      <c r="G3550" t="s">
        <v>803</v>
      </c>
      <c r="H3550" t="e">
        <v>#VALUE!</v>
      </c>
      <c r="I3550" t="e">
        <f t="shared" si="57"/>
        <v>#VALUE!</v>
      </c>
    </row>
    <row r="3551" spans="1:9">
      <c r="A3551" s="1">
        <v>42523.556944444441</v>
      </c>
      <c r="B3551" s="19">
        <v>42725</v>
      </c>
      <c r="C3551" s="21">
        <v>0.5854166666666667</v>
      </c>
      <c r="D3551" s="20" t="s">
        <v>3040</v>
      </c>
      <c r="E3551" t="s">
        <v>2</v>
      </c>
      <c r="F3551" t="s">
        <v>48</v>
      </c>
      <c r="G3551" t="s">
        <v>804</v>
      </c>
      <c r="H3551" t="e">
        <v>#VALUE!</v>
      </c>
      <c r="I3551" t="e">
        <f t="shared" si="57"/>
        <v>#VALUE!</v>
      </c>
    </row>
    <row r="3552" spans="1:9">
      <c r="A3552" s="1">
        <v>42523.422222222223</v>
      </c>
      <c r="B3552" s="19">
        <v>42725</v>
      </c>
      <c r="C3552" s="21">
        <v>0.33402777777777776</v>
      </c>
      <c r="D3552" s="20" t="s">
        <v>3034</v>
      </c>
      <c r="E3552" t="s">
        <v>2</v>
      </c>
      <c r="F3552" t="s">
        <v>48</v>
      </c>
      <c r="G3552" t="s">
        <v>805</v>
      </c>
      <c r="H3552" t="e">
        <v>#VALUE!</v>
      </c>
      <c r="I3552" t="e">
        <f t="shared" si="57"/>
        <v>#VALUE!</v>
      </c>
    </row>
    <row r="3553" spans="1:9">
      <c r="A3553" s="1">
        <v>42523.380555555559</v>
      </c>
      <c r="B3553" s="19">
        <v>42725</v>
      </c>
      <c r="C3553" s="21">
        <v>0.32916666666666666</v>
      </c>
      <c r="D3553" s="20" t="s">
        <v>3033</v>
      </c>
      <c r="E3553" t="s">
        <v>6</v>
      </c>
      <c r="F3553" t="s">
        <v>21</v>
      </c>
      <c r="G3553" t="s">
        <v>103</v>
      </c>
      <c r="H3553">
        <v>8</v>
      </c>
      <c r="I3553">
        <f t="shared" si="57"/>
        <v>10</v>
      </c>
    </row>
    <row r="3554" spans="1:9">
      <c r="A3554" s="1">
        <v>42523.364583333336</v>
      </c>
      <c r="B3554" s="19">
        <v>42725</v>
      </c>
      <c r="C3554" s="21">
        <v>0.13263888888888889</v>
      </c>
      <c r="D3554" s="20" t="s">
        <v>3053</v>
      </c>
      <c r="E3554" t="s">
        <v>6</v>
      </c>
      <c r="F3554" t="s">
        <v>15</v>
      </c>
      <c r="G3554" t="s">
        <v>307</v>
      </c>
      <c r="H3554">
        <v>12</v>
      </c>
      <c r="I3554">
        <f t="shared" si="57"/>
        <v>15</v>
      </c>
    </row>
    <row r="3555" spans="1:9">
      <c r="A3555" s="1">
        <v>42523.043749999997</v>
      </c>
      <c r="B3555" s="19">
        <v>42725</v>
      </c>
      <c r="C3555" s="21">
        <v>0.91874999999999996</v>
      </c>
      <c r="D3555" s="20" t="s">
        <v>3049</v>
      </c>
      <c r="E3555" t="s">
        <v>0</v>
      </c>
      <c r="G3555" t="s">
        <v>799</v>
      </c>
      <c r="H3555">
        <v>13</v>
      </c>
      <c r="I3555">
        <f t="shared" si="57"/>
        <v>17</v>
      </c>
    </row>
    <row r="3556" spans="1:9">
      <c r="A3556" s="1">
        <v>42522.84097222222</v>
      </c>
      <c r="B3556" s="19">
        <v>42725</v>
      </c>
      <c r="C3556" s="21">
        <v>0.68958333333333333</v>
      </c>
      <c r="D3556" s="20" t="s">
        <v>3043</v>
      </c>
      <c r="E3556" t="s">
        <v>0</v>
      </c>
      <c r="F3556" t="s">
        <v>75</v>
      </c>
      <c r="H3556">
        <v>4</v>
      </c>
      <c r="I3556">
        <f t="shared" si="57"/>
        <v>5</v>
      </c>
    </row>
    <row r="3557" spans="1:9">
      <c r="A3557" s="1">
        <v>42522.76458333333</v>
      </c>
      <c r="B3557" s="19">
        <v>42725</v>
      </c>
      <c r="C3557" s="21">
        <v>0.26180555555555557</v>
      </c>
      <c r="D3557" s="20" t="s">
        <v>3031</v>
      </c>
      <c r="E3557" t="s">
        <v>0</v>
      </c>
      <c r="G3557" t="s">
        <v>806</v>
      </c>
      <c r="H3557" t="e">
        <v>#VALUE!</v>
      </c>
      <c r="I3557" t="e">
        <f t="shared" si="57"/>
        <v>#VALUE!</v>
      </c>
    </row>
    <row r="3558" spans="1:9">
      <c r="A3558" s="1">
        <v>42522.429861111108</v>
      </c>
      <c r="B3558" s="19">
        <v>42725</v>
      </c>
      <c r="C3558" s="21">
        <v>0.25763888888888886</v>
      </c>
      <c r="D3558" s="20" t="s">
        <v>3031</v>
      </c>
      <c r="E3558" t="s">
        <v>0</v>
      </c>
      <c r="G3558" t="s">
        <v>9</v>
      </c>
      <c r="H3558">
        <v>13</v>
      </c>
      <c r="I3558">
        <f t="shared" si="57"/>
        <v>17</v>
      </c>
    </row>
    <row r="3559" spans="1:9">
      <c r="A3559" s="1">
        <v>42522.394444444442</v>
      </c>
      <c r="B3559" s="19">
        <v>42725</v>
      </c>
      <c r="C3559" s="21">
        <v>8.3333333333333329E-2</v>
      </c>
      <c r="D3559" s="20" t="s">
        <v>3052</v>
      </c>
      <c r="E3559" t="s">
        <v>0</v>
      </c>
      <c r="F3559" t="s">
        <v>1</v>
      </c>
      <c r="H3559">
        <v>15</v>
      </c>
      <c r="I3559">
        <f t="shared" si="57"/>
        <v>19</v>
      </c>
    </row>
    <row r="3560" spans="1:9">
      <c r="A3560" s="1">
        <v>42522.322916666664</v>
      </c>
      <c r="B3560" s="19">
        <v>42725</v>
      </c>
      <c r="C3560" s="21">
        <v>4.2361111111111113E-2</v>
      </c>
      <c r="D3560" s="20" t="s">
        <v>3051</v>
      </c>
      <c r="E3560" t="s">
        <v>33</v>
      </c>
      <c r="F3560" t="s">
        <v>34</v>
      </c>
      <c r="G3560" t="s">
        <v>807</v>
      </c>
      <c r="H3560">
        <v>25</v>
      </c>
      <c r="I3560">
        <f t="shared" si="57"/>
        <v>31</v>
      </c>
    </row>
    <row r="3561" spans="1:9">
      <c r="A3561" s="1">
        <v>42522.255555555559</v>
      </c>
      <c r="B3561" s="19">
        <v>42726</v>
      </c>
      <c r="C3561" s="21">
        <v>0.97916666666666663</v>
      </c>
      <c r="D3561" s="20" t="s">
        <v>3063</v>
      </c>
      <c r="E3561" t="s">
        <v>6</v>
      </c>
      <c r="F3561" t="s">
        <v>15</v>
      </c>
      <c r="G3561" t="s">
        <v>788</v>
      </c>
      <c r="H3561">
        <v>25</v>
      </c>
      <c r="I3561">
        <f t="shared" si="57"/>
        <v>31</v>
      </c>
    </row>
    <row r="3562" spans="1:9">
      <c r="A3562" s="1">
        <v>42522.253472222219</v>
      </c>
      <c r="B3562" s="19">
        <v>42726</v>
      </c>
      <c r="C3562" s="21">
        <v>0.96319444444444446</v>
      </c>
      <c r="D3562" s="20" t="s">
        <v>3063</v>
      </c>
      <c r="E3562" t="s">
        <v>6</v>
      </c>
      <c r="F3562" t="s">
        <v>46</v>
      </c>
      <c r="G3562" t="s">
        <v>65</v>
      </c>
      <c r="H3562">
        <v>5</v>
      </c>
      <c r="I3562">
        <f t="shared" si="57"/>
        <v>7</v>
      </c>
    </row>
    <row r="3563" spans="1:9">
      <c r="A3563" s="1">
        <v>42522.202777777777</v>
      </c>
      <c r="B3563" s="19">
        <v>42726</v>
      </c>
      <c r="C3563" s="21">
        <v>0.94236111111111109</v>
      </c>
      <c r="D3563" s="20" t="s">
        <v>3049</v>
      </c>
      <c r="E3563" t="s">
        <v>6</v>
      </c>
      <c r="F3563" t="s">
        <v>76</v>
      </c>
      <c r="G3563" t="s">
        <v>65</v>
      </c>
      <c r="H3563">
        <v>7</v>
      </c>
      <c r="I3563">
        <f t="shared" si="57"/>
        <v>9</v>
      </c>
    </row>
    <row r="3564" spans="1:9">
      <c r="A3564" s="1">
        <v>42522.145138888889</v>
      </c>
      <c r="B3564" s="19">
        <v>42726</v>
      </c>
      <c r="C3564" s="21">
        <v>0.91874999999999996</v>
      </c>
      <c r="D3564" s="20" t="s">
        <v>3049</v>
      </c>
      <c r="E3564" t="s">
        <v>6</v>
      </c>
      <c r="G3564" t="s">
        <v>789</v>
      </c>
      <c r="H3564">
        <v>13</v>
      </c>
      <c r="I3564">
        <f t="shared" si="57"/>
        <v>17</v>
      </c>
    </row>
    <row r="3565" spans="1:9">
      <c r="A3565" s="1">
        <v>42522.138194444444</v>
      </c>
      <c r="B3565" s="19">
        <v>42726</v>
      </c>
      <c r="C3565" s="21">
        <v>0.79513888888888884</v>
      </c>
      <c r="D3565" s="20" t="s">
        <v>3046</v>
      </c>
      <c r="E3565" t="s">
        <v>6</v>
      </c>
      <c r="F3565" t="s">
        <v>21</v>
      </c>
      <c r="G3565" t="s">
        <v>790</v>
      </c>
      <c r="H3565">
        <v>34</v>
      </c>
      <c r="I3565">
        <f t="shared" si="57"/>
        <v>43</v>
      </c>
    </row>
    <row r="3566" spans="1:9">
      <c r="A3566" s="1">
        <v>42522.04791666667</v>
      </c>
      <c r="B3566" s="19">
        <v>42726</v>
      </c>
      <c r="C3566" s="21">
        <v>0.69236111111111109</v>
      </c>
      <c r="D3566" s="20" t="s">
        <v>3043</v>
      </c>
      <c r="E3566" t="s">
        <v>6</v>
      </c>
      <c r="F3566" t="s">
        <v>15</v>
      </c>
      <c r="G3566" t="s">
        <v>791</v>
      </c>
      <c r="H3566">
        <v>9</v>
      </c>
      <c r="I3566">
        <f t="shared" si="57"/>
        <v>12</v>
      </c>
    </row>
    <row r="3567" spans="1:9">
      <c r="A3567" s="1">
        <v>42522.029861111114</v>
      </c>
      <c r="B3567" s="19">
        <v>42726</v>
      </c>
      <c r="C3567" s="21">
        <v>0.6333333333333333</v>
      </c>
      <c r="D3567" s="20" t="s">
        <v>3042</v>
      </c>
      <c r="E3567" t="s">
        <v>2</v>
      </c>
      <c r="F3567" t="s">
        <v>3</v>
      </c>
      <c r="G3567" t="s">
        <v>735</v>
      </c>
      <c r="H3567">
        <v>12</v>
      </c>
      <c r="I3567">
        <f t="shared" si="57"/>
        <v>15</v>
      </c>
    </row>
    <row r="3568" spans="1:9">
      <c r="A3568" s="1">
        <v>42522.026388888888</v>
      </c>
      <c r="B3568" s="19">
        <v>42726</v>
      </c>
      <c r="C3568" s="21">
        <v>0.60347222222222219</v>
      </c>
      <c r="D3568" s="20" t="s">
        <v>3040</v>
      </c>
      <c r="E3568" t="s">
        <v>6</v>
      </c>
      <c r="F3568" t="s">
        <v>15</v>
      </c>
      <c r="G3568" t="s">
        <v>792</v>
      </c>
      <c r="H3568">
        <v>93</v>
      </c>
      <c r="I3568">
        <f t="shared" si="57"/>
        <v>116</v>
      </c>
    </row>
    <row r="3569" spans="1:9">
      <c r="A3569" s="1">
        <v>42522.977777777778</v>
      </c>
      <c r="B3569" s="19">
        <v>42726</v>
      </c>
      <c r="C3569" s="21">
        <v>0.4597222222222222</v>
      </c>
      <c r="D3569" s="20" t="s">
        <v>3037</v>
      </c>
      <c r="E3569" t="s">
        <v>2</v>
      </c>
      <c r="F3569" t="s">
        <v>48</v>
      </c>
      <c r="G3569" t="s">
        <v>793</v>
      </c>
      <c r="H3569" t="e">
        <v>#VALUE!</v>
      </c>
      <c r="I3569" t="e">
        <f t="shared" si="57"/>
        <v>#VALUE!</v>
      </c>
    </row>
    <row r="3570" spans="1:9">
      <c r="A3570" s="1">
        <v>42522.938194444447</v>
      </c>
      <c r="B3570" s="19">
        <v>42726</v>
      </c>
      <c r="C3570" s="21">
        <v>0.33124999999999999</v>
      </c>
      <c r="D3570" s="20" t="s">
        <v>3033</v>
      </c>
      <c r="E3570" t="s">
        <v>2</v>
      </c>
      <c r="F3570" t="s">
        <v>48</v>
      </c>
      <c r="G3570" t="s">
        <v>795</v>
      </c>
      <c r="H3570" t="e">
        <v>#VALUE!</v>
      </c>
      <c r="I3570" t="e">
        <f t="shared" si="57"/>
        <v>#VALUE!</v>
      </c>
    </row>
    <row r="3571" spans="1:9">
      <c r="A3571" s="1">
        <v>42522.929166666669</v>
      </c>
      <c r="B3571" s="19">
        <v>42726</v>
      </c>
      <c r="C3571" s="21">
        <v>0.26874999999999999</v>
      </c>
      <c r="D3571" s="20" t="s">
        <v>3031</v>
      </c>
      <c r="E3571" t="s">
        <v>2</v>
      </c>
      <c r="F3571" t="s">
        <v>3</v>
      </c>
      <c r="G3571" t="s">
        <v>759</v>
      </c>
      <c r="H3571">
        <v>23</v>
      </c>
      <c r="I3571">
        <f t="shared" si="57"/>
        <v>29</v>
      </c>
    </row>
    <row r="3572" spans="1:9">
      <c r="A3572" s="1">
        <v>42522.928472222222</v>
      </c>
      <c r="B3572" s="19">
        <v>42726</v>
      </c>
      <c r="C3572" s="21">
        <v>0.2590277777777778</v>
      </c>
      <c r="D3572" s="20" t="s">
        <v>3031</v>
      </c>
      <c r="E3572" t="s">
        <v>6</v>
      </c>
      <c r="F3572" t="s">
        <v>15</v>
      </c>
      <c r="G3572" t="s">
        <v>629</v>
      </c>
      <c r="H3572" t="e">
        <v>#VALUE!</v>
      </c>
      <c r="I3572" t="e">
        <f t="shared" si="57"/>
        <v>#VALUE!</v>
      </c>
    </row>
    <row r="3573" spans="1:9">
      <c r="A3573" s="1">
        <v>42522.924305555556</v>
      </c>
      <c r="B3573" s="19">
        <v>42726</v>
      </c>
      <c r="C3573" s="21">
        <v>5.347222222222222E-2</v>
      </c>
      <c r="D3573" s="20" t="s">
        <v>3051</v>
      </c>
      <c r="E3573" t="s">
        <v>6</v>
      </c>
      <c r="F3573" t="s">
        <v>15</v>
      </c>
      <c r="G3573" t="s">
        <v>796</v>
      </c>
      <c r="H3573" t="e">
        <v>#VALUE!</v>
      </c>
      <c r="I3573" t="e">
        <f t="shared" si="57"/>
        <v>#VALUE!</v>
      </c>
    </row>
    <row r="3574" spans="1:9">
      <c r="A3574" s="1">
        <v>42522.896527777775</v>
      </c>
      <c r="B3574" s="19">
        <v>42726</v>
      </c>
      <c r="C3574" s="21">
        <v>0.05</v>
      </c>
      <c r="D3574" s="20" t="s">
        <v>3051</v>
      </c>
      <c r="E3574" t="s">
        <v>6</v>
      </c>
      <c r="F3574" t="s">
        <v>44</v>
      </c>
      <c r="G3574" t="s">
        <v>797</v>
      </c>
      <c r="H3574">
        <v>14</v>
      </c>
      <c r="I3574">
        <f t="shared" si="57"/>
        <v>18</v>
      </c>
    </row>
    <row r="3575" spans="1:9">
      <c r="A3575" s="1">
        <v>42522.887499999997</v>
      </c>
      <c r="B3575" s="19">
        <v>42726</v>
      </c>
      <c r="C3575" s="21">
        <v>3.6805555555555557E-2</v>
      </c>
      <c r="D3575" s="20" t="s">
        <v>3050</v>
      </c>
      <c r="E3575" t="s">
        <v>6</v>
      </c>
      <c r="F3575" t="s">
        <v>15</v>
      </c>
      <c r="G3575" t="s">
        <v>798</v>
      </c>
      <c r="H3575">
        <v>9</v>
      </c>
      <c r="I3575">
        <f t="shared" si="57"/>
        <v>12</v>
      </c>
    </row>
    <row r="3576" spans="1:9">
      <c r="A3576" s="1">
        <v>42522.699305555558</v>
      </c>
      <c r="B3576" s="19">
        <v>42726</v>
      </c>
      <c r="C3576" s="21">
        <v>0.90972222222222221</v>
      </c>
      <c r="D3576" s="20" t="s">
        <v>3048</v>
      </c>
      <c r="E3576" t="s">
        <v>0</v>
      </c>
      <c r="F3576" t="s">
        <v>10</v>
      </c>
      <c r="G3576" t="s">
        <v>145</v>
      </c>
      <c r="H3576">
        <v>13</v>
      </c>
      <c r="I3576">
        <f t="shared" si="57"/>
        <v>17</v>
      </c>
    </row>
    <row r="3577" spans="1:9">
      <c r="A3577" s="1">
        <v>42522.657638888886</v>
      </c>
      <c r="B3577" s="19">
        <v>42726</v>
      </c>
      <c r="C3577" s="21">
        <v>0.44513888888888886</v>
      </c>
      <c r="D3577" s="20" t="s">
        <v>3036</v>
      </c>
      <c r="E3577" t="s">
        <v>33</v>
      </c>
      <c r="F3577" t="s">
        <v>44</v>
      </c>
      <c r="G3577" t="s">
        <v>794</v>
      </c>
      <c r="H3577">
        <v>2</v>
      </c>
      <c r="I3577">
        <f t="shared" si="57"/>
        <v>3</v>
      </c>
    </row>
    <row r="3578" spans="1:9">
      <c r="A3578" s="1">
        <v>42522.585416666669</v>
      </c>
      <c r="B3578" s="19">
        <v>42726</v>
      </c>
      <c r="C3578" s="21">
        <v>0.41944444444444445</v>
      </c>
      <c r="D3578" s="20" t="s">
        <v>3036</v>
      </c>
      <c r="E3578" t="s">
        <v>0</v>
      </c>
      <c r="F3578" t="s">
        <v>1</v>
      </c>
      <c r="H3578">
        <v>8</v>
      </c>
      <c r="I3578">
        <f t="shared" si="57"/>
        <v>10</v>
      </c>
    </row>
    <row r="3579" spans="1:9">
      <c r="A3579" s="1">
        <v>42522.520833333336</v>
      </c>
      <c r="B3579" s="19">
        <v>42726</v>
      </c>
      <c r="C3579" s="21">
        <v>0.25833333333333336</v>
      </c>
      <c r="D3579" s="20" t="s">
        <v>3031</v>
      </c>
      <c r="E3579" t="s">
        <v>0</v>
      </c>
      <c r="G3579" t="s">
        <v>9</v>
      </c>
      <c r="H3579">
        <v>13</v>
      </c>
      <c r="I3579">
        <f t="shared" si="57"/>
        <v>17</v>
      </c>
    </row>
    <row r="3580" spans="1:9">
      <c r="A3580" s="1">
        <v>42522.489583333336</v>
      </c>
      <c r="B3580" s="19">
        <v>42726</v>
      </c>
      <c r="C3580" s="21">
        <v>0.25277777777777777</v>
      </c>
      <c r="D3580" s="20" t="s">
        <v>3031</v>
      </c>
      <c r="E3580" t="s">
        <v>0</v>
      </c>
      <c r="F3580" t="s">
        <v>10</v>
      </c>
      <c r="G3580" t="s">
        <v>448</v>
      </c>
      <c r="H3580">
        <v>13</v>
      </c>
      <c r="I3580">
        <f t="shared" si="57"/>
        <v>17</v>
      </c>
    </row>
    <row r="3581" spans="1:9">
      <c r="A3581" s="1">
        <v>42522.44027777778</v>
      </c>
      <c r="B3581" s="19">
        <v>42727</v>
      </c>
      <c r="C3581" s="21">
        <v>0.42152777777777778</v>
      </c>
      <c r="D3581" s="20" t="s">
        <v>3036</v>
      </c>
      <c r="E3581" t="s">
        <v>6</v>
      </c>
      <c r="F3581" t="s">
        <v>46</v>
      </c>
      <c r="H3581">
        <v>62</v>
      </c>
      <c r="I3581">
        <f t="shared" si="57"/>
        <v>77</v>
      </c>
    </row>
    <row r="3582" spans="1:9">
      <c r="A3582" s="1">
        <v>42522.157638888886</v>
      </c>
      <c r="B3582" s="19">
        <v>42727</v>
      </c>
      <c r="C3582" s="21">
        <v>0.13194444444444445</v>
      </c>
      <c r="D3582" s="20" t="s">
        <v>3053</v>
      </c>
      <c r="E3582" t="s">
        <v>6</v>
      </c>
      <c r="F3582" t="s">
        <v>26</v>
      </c>
      <c r="G3582" t="s">
        <v>785</v>
      </c>
      <c r="H3582">
        <v>62</v>
      </c>
      <c r="I3582">
        <f t="shared" si="57"/>
        <v>77</v>
      </c>
    </row>
    <row r="3583" spans="1:9">
      <c r="A3583" s="1">
        <v>42522.12777777778</v>
      </c>
      <c r="B3583" s="19">
        <v>42727</v>
      </c>
      <c r="C3583" s="21">
        <v>8.4722222222222227E-2</v>
      </c>
      <c r="D3583" s="20" t="s">
        <v>3052</v>
      </c>
      <c r="E3583" t="s">
        <v>6</v>
      </c>
      <c r="F3583" t="s">
        <v>21</v>
      </c>
      <c r="G3583" t="s">
        <v>786</v>
      </c>
      <c r="H3583">
        <v>13</v>
      </c>
      <c r="I3583">
        <f t="shared" si="57"/>
        <v>17</v>
      </c>
    </row>
    <row r="3584" spans="1:9">
      <c r="A3584" s="1">
        <v>42522.113888888889</v>
      </c>
      <c r="B3584" s="19">
        <v>42727</v>
      </c>
      <c r="C3584" s="21">
        <v>0.28958333333333336</v>
      </c>
      <c r="D3584" s="20" t="s">
        <v>3031</v>
      </c>
      <c r="E3584" t="s">
        <v>33</v>
      </c>
      <c r="G3584" t="s">
        <v>783</v>
      </c>
      <c r="H3584">
        <v>13</v>
      </c>
      <c r="I3584">
        <f t="shared" si="57"/>
        <v>17</v>
      </c>
    </row>
    <row r="3585" spans="1:9">
      <c r="A3585" s="1">
        <v>42522.100694444445</v>
      </c>
      <c r="B3585" s="19">
        <v>42727</v>
      </c>
      <c r="C3585" s="21">
        <v>0.17986111111111111</v>
      </c>
      <c r="D3585" s="20" t="s">
        <v>3054</v>
      </c>
      <c r="E3585" t="s">
        <v>33</v>
      </c>
      <c r="F3585" t="s">
        <v>15</v>
      </c>
      <c r="G3585" t="s">
        <v>784</v>
      </c>
      <c r="H3585">
        <v>2</v>
      </c>
      <c r="I3585">
        <f t="shared" si="57"/>
        <v>3</v>
      </c>
    </row>
    <row r="3586" spans="1:9">
      <c r="A3586" s="1">
        <v>42522.09652777778</v>
      </c>
      <c r="B3586" s="19">
        <v>42727</v>
      </c>
      <c r="C3586" s="21">
        <v>3.888888888888889E-2</v>
      </c>
      <c r="D3586" s="20" t="s">
        <v>3050</v>
      </c>
      <c r="E3586" t="s">
        <v>33</v>
      </c>
      <c r="F3586" t="s">
        <v>89</v>
      </c>
      <c r="G3586" t="s">
        <v>787</v>
      </c>
      <c r="H3586">
        <v>25</v>
      </c>
      <c r="I3586">
        <f t="shared" si="57"/>
        <v>31</v>
      </c>
    </row>
    <row r="3587" spans="1:9">
      <c r="A3587" s="1">
        <v>42522.00277777778</v>
      </c>
      <c r="B3587" s="19">
        <v>42738</v>
      </c>
      <c r="C3587" s="21">
        <v>0.92013888888888884</v>
      </c>
      <c r="D3587" s="20" t="s">
        <v>3049</v>
      </c>
      <c r="E3587" t="s">
        <v>6</v>
      </c>
      <c r="F3587" t="s">
        <v>21</v>
      </c>
      <c r="G3587" t="s">
        <v>774</v>
      </c>
      <c r="H3587">
        <v>8</v>
      </c>
      <c r="I3587">
        <f t="shared" ref="I3587:I3650" si="58">ROUNDUP((H3587*1.24), 0)</f>
        <v>10</v>
      </c>
    </row>
    <row r="3588" spans="1:9">
      <c r="A3588" s="1">
        <v>42521.997916666667</v>
      </c>
      <c r="B3588" s="19">
        <v>42738</v>
      </c>
      <c r="C3588" s="21">
        <v>0.89722222222222225</v>
      </c>
      <c r="D3588" s="20" t="s">
        <v>3048</v>
      </c>
      <c r="E3588" t="s">
        <v>6</v>
      </c>
      <c r="F3588" t="s">
        <v>21</v>
      </c>
      <c r="G3588" t="s">
        <v>103</v>
      </c>
      <c r="H3588">
        <v>10</v>
      </c>
      <c r="I3588">
        <f t="shared" si="58"/>
        <v>13</v>
      </c>
    </row>
    <row r="3589" spans="1:9">
      <c r="A3589" s="1">
        <v>42521.909722222219</v>
      </c>
      <c r="B3589" s="19">
        <v>42738</v>
      </c>
      <c r="C3589" s="21">
        <v>0.75347222222222221</v>
      </c>
      <c r="D3589" s="20" t="s">
        <v>3045</v>
      </c>
      <c r="E3589" t="s">
        <v>6</v>
      </c>
      <c r="F3589" t="s">
        <v>76</v>
      </c>
      <c r="G3589" t="s">
        <v>65</v>
      </c>
      <c r="H3589">
        <v>4</v>
      </c>
      <c r="I3589">
        <f t="shared" si="58"/>
        <v>5</v>
      </c>
    </row>
    <row r="3590" spans="1:9">
      <c r="A3590" s="1">
        <v>42521.797222222223</v>
      </c>
      <c r="B3590" s="19">
        <v>42738</v>
      </c>
      <c r="C3590" s="21">
        <v>0.64861111111111114</v>
      </c>
      <c r="D3590" s="20" t="s">
        <v>3042</v>
      </c>
      <c r="E3590" t="s">
        <v>2</v>
      </c>
      <c r="F3590" t="s">
        <v>48</v>
      </c>
      <c r="G3590" t="s">
        <v>775</v>
      </c>
      <c r="H3590">
        <v>38</v>
      </c>
      <c r="I3590">
        <f t="shared" si="58"/>
        <v>48</v>
      </c>
    </row>
    <row r="3591" spans="1:9">
      <c r="A3591" s="1">
        <v>42521.620138888888</v>
      </c>
      <c r="B3591" s="19">
        <v>42738</v>
      </c>
      <c r="C3591" s="21">
        <v>0.48472222222222222</v>
      </c>
      <c r="D3591" s="20" t="s">
        <v>3037</v>
      </c>
      <c r="E3591" t="s">
        <v>6</v>
      </c>
      <c r="F3591" t="s">
        <v>26</v>
      </c>
      <c r="G3591" t="s">
        <v>307</v>
      </c>
      <c r="H3591">
        <v>9</v>
      </c>
      <c r="I3591">
        <f t="shared" si="58"/>
        <v>12</v>
      </c>
    </row>
    <row r="3592" spans="1:9">
      <c r="A3592" s="1">
        <v>42521.601388888892</v>
      </c>
      <c r="B3592" s="19">
        <v>42738</v>
      </c>
      <c r="C3592" s="21">
        <v>0.45208333333333334</v>
      </c>
      <c r="D3592" s="20" t="s">
        <v>3036</v>
      </c>
      <c r="E3592" t="s">
        <v>6</v>
      </c>
      <c r="F3592" t="s">
        <v>26</v>
      </c>
      <c r="G3592" t="s">
        <v>778</v>
      </c>
      <c r="H3592">
        <v>4</v>
      </c>
      <c r="I3592">
        <f t="shared" si="58"/>
        <v>5</v>
      </c>
    </row>
    <row r="3593" spans="1:9">
      <c r="A3593" s="1">
        <v>42521.541666666664</v>
      </c>
      <c r="B3593" s="19">
        <v>42738</v>
      </c>
      <c r="C3593" s="21">
        <v>0.3972222222222222</v>
      </c>
      <c r="D3593" s="20" t="s">
        <v>3035</v>
      </c>
      <c r="E3593" t="s">
        <v>6</v>
      </c>
      <c r="F3593" t="s">
        <v>12</v>
      </c>
      <c r="G3593" t="s">
        <v>779</v>
      </c>
      <c r="H3593" t="e">
        <v>#VALUE!</v>
      </c>
      <c r="I3593" t="e">
        <f t="shared" si="58"/>
        <v>#VALUE!</v>
      </c>
    </row>
    <row r="3594" spans="1:9">
      <c r="A3594" s="1">
        <v>42521.359722222223</v>
      </c>
      <c r="B3594" s="19">
        <v>42738</v>
      </c>
      <c r="C3594" s="21">
        <v>0.39444444444444443</v>
      </c>
      <c r="D3594" s="20" t="s">
        <v>3035</v>
      </c>
      <c r="E3594" t="s">
        <v>6</v>
      </c>
      <c r="F3594" t="s">
        <v>26</v>
      </c>
      <c r="G3594" t="s">
        <v>778</v>
      </c>
      <c r="H3594">
        <v>4</v>
      </c>
      <c r="I3594">
        <f t="shared" si="58"/>
        <v>5</v>
      </c>
    </row>
    <row r="3595" spans="1:9">
      <c r="A3595" s="1">
        <v>42521.270833333336</v>
      </c>
      <c r="B3595" s="19">
        <v>42738</v>
      </c>
      <c r="C3595" s="21">
        <v>0.38472222222222224</v>
      </c>
      <c r="D3595" s="20" t="s">
        <v>3035</v>
      </c>
      <c r="E3595" t="s">
        <v>6</v>
      </c>
      <c r="F3595" t="s">
        <v>21</v>
      </c>
      <c r="G3595" t="s">
        <v>781</v>
      </c>
      <c r="H3595">
        <v>30</v>
      </c>
      <c r="I3595">
        <f t="shared" si="58"/>
        <v>38</v>
      </c>
    </row>
    <row r="3596" spans="1:9">
      <c r="A3596" s="1">
        <v>42521.262499999997</v>
      </c>
      <c r="B3596" s="19">
        <v>42738</v>
      </c>
      <c r="C3596" s="21">
        <v>0.90972222222222221</v>
      </c>
      <c r="D3596" s="20" t="s">
        <v>3048</v>
      </c>
      <c r="E3596" t="s">
        <v>0</v>
      </c>
      <c r="F3596" t="s">
        <v>10</v>
      </c>
      <c r="G3596" t="s">
        <v>3062</v>
      </c>
      <c r="H3596">
        <v>13</v>
      </c>
      <c r="I3596">
        <f t="shared" si="58"/>
        <v>17</v>
      </c>
    </row>
    <row r="3597" spans="1:9">
      <c r="A3597" s="1">
        <v>42521.988888888889</v>
      </c>
      <c r="B3597" s="19">
        <v>42738</v>
      </c>
      <c r="C3597" s="21">
        <v>0.58333333333333337</v>
      </c>
      <c r="D3597" s="20" t="s">
        <v>3040</v>
      </c>
      <c r="E3597" t="s">
        <v>0</v>
      </c>
      <c r="G3597" t="s">
        <v>9</v>
      </c>
      <c r="H3597">
        <v>13</v>
      </c>
      <c r="I3597">
        <f t="shared" si="58"/>
        <v>17</v>
      </c>
    </row>
    <row r="3598" spans="1:9">
      <c r="A3598" s="1">
        <v>42521.934027777781</v>
      </c>
      <c r="B3598" s="19">
        <v>42738</v>
      </c>
      <c r="C3598" s="21">
        <v>0.53541666666666665</v>
      </c>
      <c r="D3598" s="20" t="s">
        <v>3038</v>
      </c>
      <c r="E3598" t="s">
        <v>0</v>
      </c>
      <c r="F3598" t="s">
        <v>1</v>
      </c>
      <c r="H3598">
        <v>13</v>
      </c>
      <c r="I3598">
        <f t="shared" si="58"/>
        <v>17</v>
      </c>
    </row>
    <row r="3599" spans="1:9">
      <c r="A3599" s="1">
        <v>42521.661111111112</v>
      </c>
      <c r="B3599" s="19">
        <v>42738</v>
      </c>
      <c r="C3599" s="21">
        <v>0.51597222222222228</v>
      </c>
      <c r="D3599" s="20" t="s">
        <v>3038</v>
      </c>
      <c r="E3599" t="s">
        <v>0</v>
      </c>
      <c r="F3599" t="s">
        <v>10</v>
      </c>
      <c r="G3599" t="s">
        <v>776</v>
      </c>
      <c r="H3599">
        <v>44</v>
      </c>
      <c r="I3599">
        <f t="shared" si="58"/>
        <v>55</v>
      </c>
    </row>
    <row r="3600" spans="1:9">
      <c r="A3600" s="1">
        <v>42521.647916666669</v>
      </c>
      <c r="B3600" s="19">
        <v>42738</v>
      </c>
      <c r="C3600" s="21">
        <v>0.4777777777777778</v>
      </c>
      <c r="D3600" s="20" t="s">
        <v>3037</v>
      </c>
      <c r="E3600" t="s">
        <v>0</v>
      </c>
      <c r="G3600" t="s">
        <v>777</v>
      </c>
      <c r="H3600">
        <v>38</v>
      </c>
      <c r="I3600">
        <f t="shared" si="58"/>
        <v>48</v>
      </c>
    </row>
    <row r="3601" spans="1:9">
      <c r="A3601" s="1">
        <v>42521.627083333333</v>
      </c>
      <c r="B3601" s="19">
        <v>42738</v>
      </c>
      <c r="C3601" s="21">
        <v>0.42430555555555555</v>
      </c>
      <c r="D3601" s="20" t="s">
        <v>3036</v>
      </c>
      <c r="E3601" t="s">
        <v>0</v>
      </c>
      <c r="F3601" t="s">
        <v>10</v>
      </c>
      <c r="G3601" t="s">
        <v>776</v>
      </c>
      <c r="H3601">
        <v>19</v>
      </c>
      <c r="I3601">
        <f t="shared" si="58"/>
        <v>24</v>
      </c>
    </row>
    <row r="3602" spans="1:9">
      <c r="A3602" s="1">
        <v>42521.611111111109</v>
      </c>
      <c r="B3602" s="19">
        <v>42738</v>
      </c>
      <c r="C3602" s="21">
        <v>0.38541666666666669</v>
      </c>
      <c r="D3602" s="20" t="s">
        <v>3035</v>
      </c>
      <c r="E3602" t="s">
        <v>33</v>
      </c>
      <c r="F3602" t="s">
        <v>155</v>
      </c>
      <c r="G3602" t="s">
        <v>780</v>
      </c>
      <c r="H3602">
        <v>28</v>
      </c>
      <c r="I3602">
        <f t="shared" si="58"/>
        <v>35</v>
      </c>
    </row>
    <row r="3603" spans="1:9">
      <c r="A3603" s="1">
        <v>42521.586805555555</v>
      </c>
      <c r="B3603" s="19">
        <v>42738</v>
      </c>
      <c r="C3603" s="21">
        <v>0.38472222222222224</v>
      </c>
      <c r="D3603" s="20" t="s">
        <v>3035</v>
      </c>
      <c r="E3603" t="s">
        <v>0</v>
      </c>
      <c r="G3603" t="s">
        <v>782</v>
      </c>
      <c r="H3603">
        <v>13</v>
      </c>
      <c r="I3603">
        <f t="shared" si="58"/>
        <v>17</v>
      </c>
    </row>
    <row r="3604" spans="1:9">
      <c r="A3604" s="1">
        <v>42521.48333333333</v>
      </c>
      <c r="B3604" s="19">
        <v>42739</v>
      </c>
      <c r="C3604" s="21">
        <v>0.87986111111111109</v>
      </c>
      <c r="D3604" s="20" t="s">
        <v>3048</v>
      </c>
      <c r="E3604" t="s">
        <v>2</v>
      </c>
      <c r="F3604" t="s">
        <v>3</v>
      </c>
      <c r="G3604" t="s">
        <v>759</v>
      </c>
      <c r="H3604">
        <v>14</v>
      </c>
      <c r="I3604">
        <f t="shared" si="58"/>
        <v>18</v>
      </c>
    </row>
    <row r="3605" spans="1:9">
      <c r="A3605" s="1">
        <v>42521.379166666666</v>
      </c>
      <c r="B3605" s="19">
        <v>42739</v>
      </c>
      <c r="C3605" s="21">
        <v>0.81319444444444444</v>
      </c>
      <c r="D3605" s="20" t="s">
        <v>3046</v>
      </c>
      <c r="E3605" t="s">
        <v>6</v>
      </c>
      <c r="F3605" t="s">
        <v>15</v>
      </c>
      <c r="G3605" t="s">
        <v>761</v>
      </c>
      <c r="H3605" t="e">
        <v>#VALUE!</v>
      </c>
      <c r="I3605" t="e">
        <f t="shared" si="58"/>
        <v>#VALUE!</v>
      </c>
    </row>
    <row r="3606" spans="1:9">
      <c r="A3606" s="1">
        <v>42521.359027777777</v>
      </c>
      <c r="B3606" s="19">
        <v>42739</v>
      </c>
      <c r="C3606" s="21">
        <v>0.58750000000000002</v>
      </c>
      <c r="D3606" s="20" t="s">
        <v>3040</v>
      </c>
      <c r="E3606" t="s">
        <v>6</v>
      </c>
      <c r="F3606" t="s">
        <v>15</v>
      </c>
      <c r="G3606" t="s">
        <v>103</v>
      </c>
      <c r="H3606">
        <v>13</v>
      </c>
      <c r="I3606">
        <f t="shared" si="58"/>
        <v>17</v>
      </c>
    </row>
    <row r="3607" spans="1:9">
      <c r="A3607" s="1">
        <v>42521.258333333331</v>
      </c>
      <c r="B3607" s="19">
        <v>42739</v>
      </c>
      <c r="C3607" s="21">
        <v>0.56736111111111109</v>
      </c>
      <c r="D3607" s="20" t="s">
        <v>3039</v>
      </c>
      <c r="E3607" t="s">
        <v>6</v>
      </c>
      <c r="F3607" t="s">
        <v>15</v>
      </c>
      <c r="G3607" t="s">
        <v>417</v>
      </c>
      <c r="H3607">
        <v>13</v>
      </c>
      <c r="I3607">
        <f t="shared" si="58"/>
        <v>17</v>
      </c>
    </row>
    <row r="3608" spans="1:9">
      <c r="A3608" s="1">
        <v>42521.252083333333</v>
      </c>
      <c r="B3608" s="19">
        <v>42739</v>
      </c>
      <c r="C3608" s="21">
        <v>0.5444444444444444</v>
      </c>
      <c r="D3608" s="20" t="s">
        <v>3039</v>
      </c>
      <c r="E3608" t="s">
        <v>2</v>
      </c>
      <c r="F3608" t="s">
        <v>56</v>
      </c>
      <c r="G3608" t="s">
        <v>762</v>
      </c>
      <c r="H3608">
        <v>30</v>
      </c>
      <c r="I3608">
        <f t="shared" si="58"/>
        <v>38</v>
      </c>
    </row>
    <row r="3609" spans="1:9">
      <c r="A3609" s="1">
        <v>42520.884722222225</v>
      </c>
      <c r="B3609" s="19">
        <v>42739</v>
      </c>
      <c r="C3609" s="21">
        <v>0.53541666666666665</v>
      </c>
      <c r="D3609" s="20" t="s">
        <v>3038</v>
      </c>
      <c r="E3609" t="s">
        <v>6</v>
      </c>
      <c r="F3609" t="s">
        <v>21</v>
      </c>
      <c r="G3609" t="s">
        <v>763</v>
      </c>
      <c r="H3609">
        <v>7</v>
      </c>
      <c r="I3609">
        <f t="shared" si="58"/>
        <v>9</v>
      </c>
    </row>
    <row r="3610" spans="1:9">
      <c r="A3610" s="1">
        <v>42520.433333333334</v>
      </c>
      <c r="B3610" s="19">
        <v>42739</v>
      </c>
      <c r="C3610" s="21">
        <v>0.48472222222222222</v>
      </c>
      <c r="D3610" s="20" t="s">
        <v>3037</v>
      </c>
      <c r="E3610" t="s">
        <v>6</v>
      </c>
      <c r="F3610" t="s">
        <v>12</v>
      </c>
      <c r="G3610" t="s">
        <v>765</v>
      </c>
      <c r="H3610">
        <v>4</v>
      </c>
      <c r="I3610">
        <f t="shared" si="58"/>
        <v>5</v>
      </c>
    </row>
    <row r="3611" spans="1:9">
      <c r="A3611" s="1">
        <v>42520.332638888889</v>
      </c>
      <c r="B3611" s="19">
        <v>42739</v>
      </c>
      <c r="C3611" s="21">
        <v>0.36180555555555555</v>
      </c>
      <c r="D3611" s="20" t="s">
        <v>3034</v>
      </c>
      <c r="E3611" t="s">
        <v>6</v>
      </c>
      <c r="F3611" t="s">
        <v>21</v>
      </c>
      <c r="G3611" t="s">
        <v>766</v>
      </c>
      <c r="H3611">
        <v>33</v>
      </c>
      <c r="I3611">
        <f t="shared" si="58"/>
        <v>41</v>
      </c>
    </row>
    <row r="3612" spans="1:9">
      <c r="A3612" s="1">
        <v>42520.3125</v>
      </c>
      <c r="B3612" s="19">
        <v>42739</v>
      </c>
      <c r="C3612" s="21">
        <v>0.34791666666666665</v>
      </c>
      <c r="D3612" s="20" t="s">
        <v>3034</v>
      </c>
      <c r="E3612" t="s">
        <v>6</v>
      </c>
      <c r="F3612" t="s">
        <v>21</v>
      </c>
      <c r="G3612" t="s">
        <v>768</v>
      </c>
      <c r="H3612">
        <v>13</v>
      </c>
      <c r="I3612">
        <f t="shared" si="58"/>
        <v>17</v>
      </c>
    </row>
    <row r="3613" spans="1:9">
      <c r="A3613" s="1">
        <v>42520.275694444441</v>
      </c>
      <c r="B3613" s="19">
        <v>42739</v>
      </c>
      <c r="C3613" s="21">
        <v>0.14722222222222223</v>
      </c>
      <c r="D3613" s="20" t="s">
        <v>3053</v>
      </c>
      <c r="E3613" t="s">
        <v>2</v>
      </c>
      <c r="F3613" t="s">
        <v>5</v>
      </c>
      <c r="H3613">
        <v>4</v>
      </c>
      <c r="I3613">
        <f t="shared" si="58"/>
        <v>5</v>
      </c>
    </row>
    <row r="3614" spans="1:9">
      <c r="A3614" s="1">
        <v>42520.272222222222</v>
      </c>
      <c r="B3614" s="19">
        <v>42739</v>
      </c>
      <c r="C3614" s="21">
        <v>0.13194444444444445</v>
      </c>
      <c r="D3614" s="20" t="s">
        <v>3053</v>
      </c>
      <c r="E3614" t="s">
        <v>6</v>
      </c>
      <c r="F3614" t="s">
        <v>46</v>
      </c>
      <c r="G3614" t="s">
        <v>772</v>
      </c>
      <c r="H3614">
        <v>28</v>
      </c>
      <c r="I3614">
        <f t="shared" si="58"/>
        <v>35</v>
      </c>
    </row>
    <row r="3615" spans="1:9">
      <c r="A3615" s="1">
        <v>42520.25277777778</v>
      </c>
      <c r="B3615" s="19">
        <v>42739</v>
      </c>
      <c r="C3615" s="21">
        <v>1.2500000000000001E-2</v>
      </c>
      <c r="D3615" s="20" t="s">
        <v>3050</v>
      </c>
      <c r="E3615" t="s">
        <v>6</v>
      </c>
      <c r="F3615" t="s">
        <v>21</v>
      </c>
      <c r="G3615" t="s">
        <v>773</v>
      </c>
      <c r="H3615">
        <v>9</v>
      </c>
      <c r="I3615">
        <f t="shared" si="58"/>
        <v>12</v>
      </c>
    </row>
    <row r="3616" spans="1:9">
      <c r="A3616" s="1">
        <v>42520.919444444444</v>
      </c>
      <c r="B3616" s="19">
        <v>42739</v>
      </c>
      <c r="C3616" s="21">
        <v>0.90694444444444444</v>
      </c>
      <c r="D3616" s="20" t="s">
        <v>3048</v>
      </c>
      <c r="E3616" t="s">
        <v>33</v>
      </c>
      <c r="F3616" t="s">
        <v>34</v>
      </c>
      <c r="G3616" t="s">
        <v>758</v>
      </c>
      <c r="H3616">
        <v>8</v>
      </c>
      <c r="I3616">
        <f t="shared" si="58"/>
        <v>10</v>
      </c>
    </row>
    <row r="3617" spans="1:9">
      <c r="A3617" s="1">
        <v>42520.754861111112</v>
      </c>
      <c r="B3617" s="19">
        <v>42739</v>
      </c>
      <c r="C3617" s="21">
        <v>0.87430555555555556</v>
      </c>
      <c r="D3617" s="20" t="s">
        <v>3047</v>
      </c>
      <c r="E3617" t="s">
        <v>33</v>
      </c>
      <c r="F3617" t="s">
        <v>155</v>
      </c>
      <c r="G3617" t="s">
        <v>760</v>
      </c>
      <c r="H3617">
        <v>10</v>
      </c>
      <c r="I3617">
        <f t="shared" si="58"/>
        <v>13</v>
      </c>
    </row>
    <row r="3618" spans="1:9">
      <c r="A3618" s="1">
        <v>42520.734722222223</v>
      </c>
      <c r="B3618" s="19">
        <v>42739</v>
      </c>
      <c r="C3618" s="21">
        <v>0.5854166666666667</v>
      </c>
      <c r="D3618" s="20" t="s">
        <v>3040</v>
      </c>
      <c r="E3618" t="s">
        <v>0</v>
      </c>
      <c r="G3618" t="s">
        <v>9</v>
      </c>
      <c r="H3618">
        <v>13</v>
      </c>
      <c r="I3618">
        <f t="shared" si="58"/>
        <v>17</v>
      </c>
    </row>
    <row r="3619" spans="1:9">
      <c r="A3619" s="1">
        <v>42520.71597222222</v>
      </c>
      <c r="B3619" s="19">
        <v>42739</v>
      </c>
      <c r="C3619" s="21">
        <v>0.5180555555555556</v>
      </c>
      <c r="D3619" s="20" t="s">
        <v>3038</v>
      </c>
      <c r="E3619" t="s">
        <v>33</v>
      </c>
      <c r="F3619" t="s">
        <v>155</v>
      </c>
      <c r="G3619" t="s">
        <v>764</v>
      </c>
      <c r="H3619">
        <v>19</v>
      </c>
      <c r="I3619">
        <f t="shared" si="58"/>
        <v>24</v>
      </c>
    </row>
    <row r="3620" spans="1:9">
      <c r="A3620" s="1">
        <v>42520.659722222219</v>
      </c>
      <c r="B3620" s="19">
        <v>42739</v>
      </c>
      <c r="C3620" s="21">
        <v>0.35416666666666669</v>
      </c>
      <c r="D3620" s="20" t="s">
        <v>3034</v>
      </c>
      <c r="E3620" t="s">
        <v>33</v>
      </c>
      <c r="F3620" t="s">
        <v>155</v>
      </c>
      <c r="G3620" t="s">
        <v>767</v>
      </c>
      <c r="H3620">
        <v>13</v>
      </c>
      <c r="I3620">
        <f t="shared" si="58"/>
        <v>17</v>
      </c>
    </row>
    <row r="3621" spans="1:9">
      <c r="A3621" s="1">
        <v>42520.586805555555</v>
      </c>
      <c r="B3621" s="19">
        <v>42739</v>
      </c>
      <c r="C3621" s="21">
        <v>0.2902777777777778</v>
      </c>
      <c r="D3621" s="20" t="s">
        <v>3031</v>
      </c>
      <c r="E3621" t="s">
        <v>33</v>
      </c>
      <c r="F3621" t="s">
        <v>155</v>
      </c>
      <c r="G3621" t="s">
        <v>769</v>
      </c>
      <c r="H3621">
        <v>18</v>
      </c>
      <c r="I3621">
        <f t="shared" si="58"/>
        <v>23</v>
      </c>
    </row>
    <row r="3622" spans="1:9">
      <c r="A3622" s="1">
        <v>42520.583333333336</v>
      </c>
      <c r="B3622" s="19">
        <v>42739</v>
      </c>
      <c r="C3622" s="21">
        <v>0.27291666666666664</v>
      </c>
      <c r="D3622" s="20" t="s">
        <v>3031</v>
      </c>
      <c r="E3622" t="s">
        <v>33</v>
      </c>
      <c r="F3622" t="s">
        <v>155</v>
      </c>
      <c r="G3622" t="s">
        <v>770</v>
      </c>
      <c r="H3622">
        <v>10</v>
      </c>
      <c r="I3622">
        <f t="shared" si="58"/>
        <v>13</v>
      </c>
    </row>
    <row r="3623" spans="1:9">
      <c r="A3623" s="1">
        <v>42520.561805555553</v>
      </c>
      <c r="B3623" s="19">
        <v>42739</v>
      </c>
      <c r="C3623" s="21">
        <v>0.25</v>
      </c>
      <c r="D3623" s="20" t="s">
        <v>3031</v>
      </c>
      <c r="E3623" t="s">
        <v>0</v>
      </c>
      <c r="G3623" t="s">
        <v>771</v>
      </c>
      <c r="H3623">
        <v>13</v>
      </c>
      <c r="I3623">
        <f t="shared" si="58"/>
        <v>17</v>
      </c>
    </row>
    <row r="3624" spans="1:9">
      <c r="A3624" s="1">
        <v>42520.54583333333</v>
      </c>
      <c r="B3624" s="19">
        <v>42740</v>
      </c>
      <c r="C3624" s="21">
        <v>0.84722222222222221</v>
      </c>
      <c r="D3624" s="20" t="s">
        <v>3047</v>
      </c>
      <c r="E3624" t="s">
        <v>6</v>
      </c>
      <c r="F3624" t="s">
        <v>15</v>
      </c>
      <c r="G3624" t="s">
        <v>751</v>
      </c>
      <c r="H3624">
        <v>7</v>
      </c>
      <c r="I3624">
        <f t="shared" si="58"/>
        <v>9</v>
      </c>
    </row>
    <row r="3625" spans="1:9">
      <c r="A3625" s="1">
        <v>42520.439583333333</v>
      </c>
      <c r="B3625" s="19">
        <v>42740</v>
      </c>
      <c r="C3625" s="21">
        <v>0.77222222222222225</v>
      </c>
      <c r="D3625" s="20" t="s">
        <v>3045</v>
      </c>
      <c r="E3625" t="s">
        <v>6</v>
      </c>
      <c r="F3625" t="s">
        <v>26</v>
      </c>
      <c r="G3625" t="s">
        <v>752</v>
      </c>
      <c r="H3625">
        <v>15</v>
      </c>
      <c r="I3625">
        <f t="shared" si="58"/>
        <v>19</v>
      </c>
    </row>
    <row r="3626" spans="1:9">
      <c r="A3626" s="1">
        <v>42520.350694444445</v>
      </c>
      <c r="B3626" s="19">
        <v>42740</v>
      </c>
      <c r="C3626" s="21">
        <v>0.53194444444444444</v>
      </c>
      <c r="D3626" s="20" t="s">
        <v>3038</v>
      </c>
      <c r="E3626" t="s">
        <v>6</v>
      </c>
      <c r="F3626" t="s">
        <v>12</v>
      </c>
      <c r="G3626" t="s">
        <v>65</v>
      </c>
      <c r="H3626">
        <v>4</v>
      </c>
      <c r="I3626">
        <f t="shared" si="58"/>
        <v>5</v>
      </c>
    </row>
    <row r="3627" spans="1:9">
      <c r="A3627" s="1">
        <v>42520.300694444442</v>
      </c>
      <c r="B3627" s="19">
        <v>42740</v>
      </c>
      <c r="C3627" s="21">
        <v>0.51388888888888884</v>
      </c>
      <c r="D3627" s="20" t="s">
        <v>3038</v>
      </c>
      <c r="E3627" t="s">
        <v>6</v>
      </c>
      <c r="F3627" t="s">
        <v>754</v>
      </c>
      <c r="G3627" t="s">
        <v>65</v>
      </c>
      <c r="H3627">
        <v>9</v>
      </c>
      <c r="I3627">
        <f t="shared" si="58"/>
        <v>12</v>
      </c>
    </row>
    <row r="3628" spans="1:9">
      <c r="A3628" s="1">
        <v>42517.938888888886</v>
      </c>
      <c r="B3628" s="19">
        <v>42740</v>
      </c>
      <c r="C3628" s="21">
        <v>0.20833333333333334</v>
      </c>
      <c r="D3628" s="20" t="s">
        <v>3055</v>
      </c>
      <c r="E3628" t="s">
        <v>6</v>
      </c>
      <c r="F3628" t="s">
        <v>15</v>
      </c>
      <c r="G3628" t="s">
        <v>757</v>
      </c>
      <c r="H3628">
        <v>15</v>
      </c>
      <c r="I3628">
        <f t="shared" si="58"/>
        <v>19</v>
      </c>
    </row>
    <row r="3629" spans="1:9">
      <c r="A3629" s="1">
        <v>42517.897222222222</v>
      </c>
      <c r="B3629" s="19">
        <v>42740</v>
      </c>
      <c r="C3629" s="21">
        <v>0.90208333333333335</v>
      </c>
      <c r="D3629" s="20" t="s">
        <v>3048</v>
      </c>
      <c r="E3629" t="s">
        <v>33</v>
      </c>
      <c r="F3629" t="s">
        <v>44</v>
      </c>
      <c r="G3629" t="s">
        <v>750</v>
      </c>
      <c r="H3629">
        <v>10</v>
      </c>
      <c r="I3629">
        <f t="shared" si="58"/>
        <v>13</v>
      </c>
    </row>
    <row r="3630" spans="1:9">
      <c r="A3630" s="1">
        <v>42517.839583333334</v>
      </c>
      <c r="B3630" s="19">
        <v>42740</v>
      </c>
      <c r="C3630" s="21">
        <v>0.76180555555555551</v>
      </c>
      <c r="D3630" s="20" t="s">
        <v>3045</v>
      </c>
      <c r="E3630" t="s">
        <v>77</v>
      </c>
      <c r="F3630" t="s">
        <v>78</v>
      </c>
      <c r="G3630" t="s">
        <v>662</v>
      </c>
      <c r="H3630">
        <v>4</v>
      </c>
      <c r="I3630">
        <f t="shared" si="58"/>
        <v>5</v>
      </c>
    </row>
    <row r="3631" spans="1:9">
      <c r="A3631" s="1">
        <v>42517.813194444447</v>
      </c>
      <c r="B3631" s="19">
        <v>42740</v>
      </c>
      <c r="C3631" s="21">
        <v>0.65138888888888891</v>
      </c>
      <c r="D3631" s="20" t="s">
        <v>3042</v>
      </c>
      <c r="E3631" t="s">
        <v>77</v>
      </c>
      <c r="F3631" t="s">
        <v>78</v>
      </c>
      <c r="G3631" t="s">
        <v>753</v>
      </c>
      <c r="H3631">
        <v>20</v>
      </c>
      <c r="I3631">
        <f t="shared" si="58"/>
        <v>25</v>
      </c>
    </row>
    <row r="3632" spans="1:9">
      <c r="A3632" s="1">
        <v>42517.722916666666</v>
      </c>
      <c r="B3632" s="19">
        <v>42740</v>
      </c>
      <c r="C3632" s="21">
        <v>0.58888888888888891</v>
      </c>
      <c r="D3632" s="20" t="s">
        <v>3040</v>
      </c>
      <c r="E3632" t="s">
        <v>0</v>
      </c>
      <c r="G3632" t="s">
        <v>9</v>
      </c>
      <c r="H3632">
        <v>13</v>
      </c>
      <c r="I3632">
        <f t="shared" si="58"/>
        <v>17</v>
      </c>
    </row>
    <row r="3633" spans="1:9">
      <c r="A3633" s="1">
        <v>42517.62222222222</v>
      </c>
      <c r="B3633" s="19">
        <v>42740</v>
      </c>
      <c r="C3633" s="21">
        <v>0.31041666666666667</v>
      </c>
      <c r="D3633" s="20" t="s">
        <v>3033</v>
      </c>
      <c r="E3633" t="s">
        <v>33</v>
      </c>
      <c r="F3633" t="s">
        <v>155</v>
      </c>
      <c r="G3633" t="s">
        <v>755</v>
      </c>
      <c r="H3633" t="e">
        <v>#VALUE!</v>
      </c>
      <c r="I3633" t="e">
        <f t="shared" si="58"/>
        <v>#VALUE!</v>
      </c>
    </row>
    <row r="3634" spans="1:9">
      <c r="A3634" s="1">
        <v>42517.609722222223</v>
      </c>
      <c r="B3634" s="19">
        <v>42740</v>
      </c>
      <c r="C3634" s="21">
        <v>0.24861111111111112</v>
      </c>
      <c r="D3634" s="20" t="s">
        <v>3055</v>
      </c>
      <c r="E3634" t="s">
        <v>0</v>
      </c>
      <c r="G3634" t="s">
        <v>756</v>
      </c>
      <c r="H3634">
        <v>19</v>
      </c>
      <c r="I3634">
        <f t="shared" si="58"/>
        <v>24</v>
      </c>
    </row>
    <row r="3635" spans="1:9">
      <c r="A3635" s="1">
        <v>42517.570138888892</v>
      </c>
      <c r="B3635" s="19">
        <v>42741</v>
      </c>
      <c r="C3635" s="21">
        <v>0.16944444444444445</v>
      </c>
      <c r="D3635" s="20" t="s">
        <v>3054</v>
      </c>
      <c r="E3635" t="s">
        <v>6</v>
      </c>
      <c r="F3635" t="s">
        <v>21</v>
      </c>
      <c r="G3635" t="s">
        <v>749</v>
      </c>
      <c r="H3635">
        <v>12</v>
      </c>
      <c r="I3635">
        <f t="shared" si="58"/>
        <v>15</v>
      </c>
    </row>
    <row r="3636" spans="1:9">
      <c r="A3636" s="1">
        <v>42517.435416666667</v>
      </c>
      <c r="B3636" s="19">
        <v>42744</v>
      </c>
      <c r="C3636" s="21">
        <v>0.86597222222222225</v>
      </c>
      <c r="D3636" s="20" t="s">
        <v>3047</v>
      </c>
      <c r="E3636" t="s">
        <v>2</v>
      </c>
      <c r="F3636" t="s">
        <v>5</v>
      </c>
      <c r="G3636" t="s">
        <v>746</v>
      </c>
      <c r="H3636" t="e">
        <v>#VALUE!</v>
      </c>
      <c r="I3636" t="e">
        <f t="shared" si="58"/>
        <v>#VALUE!</v>
      </c>
    </row>
    <row r="3637" spans="1:9">
      <c r="A3637" s="1">
        <v>42517.348611111112</v>
      </c>
      <c r="B3637" s="19">
        <v>42744</v>
      </c>
      <c r="C3637" s="21">
        <v>0.84375</v>
      </c>
      <c r="D3637" s="20" t="s">
        <v>3047</v>
      </c>
      <c r="E3637" t="s">
        <v>6</v>
      </c>
      <c r="F3637" t="s">
        <v>12</v>
      </c>
      <c r="G3637" t="s">
        <v>747</v>
      </c>
      <c r="H3637">
        <v>40</v>
      </c>
      <c r="I3637">
        <f t="shared" si="58"/>
        <v>50</v>
      </c>
    </row>
    <row r="3638" spans="1:9">
      <c r="A3638" s="1">
        <v>42517.951388888891</v>
      </c>
      <c r="B3638" s="19">
        <v>42744</v>
      </c>
      <c r="C3638" s="21">
        <v>0.99305555555555558</v>
      </c>
      <c r="D3638" s="20" t="s">
        <v>3063</v>
      </c>
      <c r="E3638" t="s">
        <v>77</v>
      </c>
      <c r="G3638" t="s">
        <v>744</v>
      </c>
      <c r="H3638">
        <v>38</v>
      </c>
      <c r="I3638">
        <f t="shared" si="58"/>
        <v>48</v>
      </c>
    </row>
    <row r="3639" spans="1:9">
      <c r="A3639" s="1">
        <v>42517.901388888888</v>
      </c>
      <c r="B3639" s="19">
        <v>42744</v>
      </c>
      <c r="C3639" s="21">
        <v>0.93263888888888891</v>
      </c>
      <c r="D3639" s="20" t="s">
        <v>3049</v>
      </c>
      <c r="E3639" t="s">
        <v>33</v>
      </c>
      <c r="F3639" t="s">
        <v>155</v>
      </c>
      <c r="G3639" t="s">
        <v>745</v>
      </c>
      <c r="H3639" t="e">
        <v>#VALUE!</v>
      </c>
      <c r="I3639" t="e">
        <f t="shared" si="58"/>
        <v>#VALUE!</v>
      </c>
    </row>
    <row r="3640" spans="1:9">
      <c r="A3640" s="1">
        <v>42517.830555555556</v>
      </c>
      <c r="B3640" s="19">
        <v>42744</v>
      </c>
      <c r="C3640" s="21">
        <v>0.91666666666666663</v>
      </c>
      <c r="D3640" s="20" t="s">
        <v>3049</v>
      </c>
      <c r="E3640" t="s">
        <v>0</v>
      </c>
      <c r="G3640" t="s">
        <v>567</v>
      </c>
      <c r="H3640">
        <v>13</v>
      </c>
      <c r="I3640">
        <f t="shared" si="58"/>
        <v>17</v>
      </c>
    </row>
    <row r="3641" spans="1:9">
      <c r="A3641" s="1">
        <v>42517.822916666664</v>
      </c>
      <c r="B3641" s="19">
        <v>42744</v>
      </c>
      <c r="C3641" s="21">
        <v>0.91666666666666663</v>
      </c>
      <c r="D3641" s="20" t="s">
        <v>3049</v>
      </c>
      <c r="E3641" t="s">
        <v>0</v>
      </c>
      <c r="F3641" t="s">
        <v>1</v>
      </c>
      <c r="H3641">
        <v>13</v>
      </c>
      <c r="I3641">
        <f t="shared" si="58"/>
        <v>17</v>
      </c>
    </row>
    <row r="3642" spans="1:9">
      <c r="A3642" s="1">
        <v>42517.673611111109</v>
      </c>
      <c r="B3642" s="19">
        <v>42744</v>
      </c>
      <c r="C3642" s="21">
        <v>0.63541666666666663</v>
      </c>
      <c r="D3642" s="20" t="s">
        <v>3042</v>
      </c>
      <c r="E3642" t="s">
        <v>33</v>
      </c>
      <c r="F3642" t="s">
        <v>34</v>
      </c>
      <c r="G3642" t="s">
        <v>748</v>
      </c>
      <c r="H3642">
        <v>2</v>
      </c>
      <c r="I3642">
        <f t="shared" si="58"/>
        <v>3</v>
      </c>
    </row>
    <row r="3643" spans="1:9">
      <c r="A3643" s="1">
        <v>42517.659722222219</v>
      </c>
      <c r="B3643" s="19">
        <v>42744</v>
      </c>
      <c r="C3643" s="21">
        <v>0.24861111111111112</v>
      </c>
      <c r="D3643" s="20" t="s">
        <v>3055</v>
      </c>
      <c r="E3643" t="s">
        <v>0</v>
      </c>
      <c r="G3643" t="s">
        <v>9</v>
      </c>
      <c r="H3643">
        <v>56</v>
      </c>
      <c r="I3643">
        <f t="shared" si="58"/>
        <v>70</v>
      </c>
    </row>
    <row r="3644" spans="1:9">
      <c r="A3644" s="1">
        <v>42517.586111111108</v>
      </c>
      <c r="B3644" s="19">
        <v>42745</v>
      </c>
      <c r="C3644" s="21">
        <v>0.85</v>
      </c>
      <c r="D3644" s="20" t="s">
        <v>3047</v>
      </c>
      <c r="E3644" t="s">
        <v>2</v>
      </c>
      <c r="F3644" t="s">
        <v>3</v>
      </c>
      <c r="G3644" t="s">
        <v>735</v>
      </c>
      <c r="H3644">
        <v>18</v>
      </c>
      <c r="I3644">
        <f t="shared" si="58"/>
        <v>23</v>
      </c>
    </row>
    <row r="3645" spans="1:9">
      <c r="A3645" s="1">
        <v>42517.567361111112</v>
      </c>
      <c r="B3645" s="19">
        <v>42745</v>
      </c>
      <c r="C3645" s="21">
        <v>0.55763888888888891</v>
      </c>
      <c r="D3645" s="20" t="s">
        <v>3039</v>
      </c>
      <c r="E3645" t="s">
        <v>6</v>
      </c>
      <c r="F3645" t="s">
        <v>46</v>
      </c>
      <c r="H3645">
        <v>13</v>
      </c>
      <c r="I3645">
        <f t="shared" si="58"/>
        <v>17</v>
      </c>
    </row>
    <row r="3646" spans="1:9">
      <c r="A3646" s="1">
        <v>42517.414583333331</v>
      </c>
      <c r="B3646" s="19">
        <v>42745</v>
      </c>
      <c r="C3646" s="21">
        <v>0.55694444444444446</v>
      </c>
      <c r="D3646" s="20" t="s">
        <v>3039</v>
      </c>
      <c r="E3646" t="s">
        <v>6</v>
      </c>
      <c r="F3646" t="s">
        <v>273</v>
      </c>
      <c r="G3646" t="s">
        <v>738</v>
      </c>
      <c r="H3646">
        <v>10</v>
      </c>
      <c r="I3646">
        <f t="shared" si="58"/>
        <v>13</v>
      </c>
    </row>
    <row r="3647" spans="1:9">
      <c r="A3647" s="1">
        <v>42517.374305555553</v>
      </c>
      <c r="B3647" s="19">
        <v>42745</v>
      </c>
      <c r="C3647" s="21">
        <v>0.43888888888888888</v>
      </c>
      <c r="D3647" s="20" t="s">
        <v>3036</v>
      </c>
      <c r="E3647" t="s">
        <v>2</v>
      </c>
      <c r="F3647" t="s">
        <v>5</v>
      </c>
      <c r="H3647" t="e">
        <v>#VALUE!</v>
      </c>
      <c r="I3647" t="e">
        <f t="shared" si="58"/>
        <v>#VALUE!</v>
      </c>
    </row>
    <row r="3648" spans="1:9">
      <c r="A3648" s="1">
        <v>42517.349305555559</v>
      </c>
      <c r="B3648" s="19">
        <v>42745</v>
      </c>
      <c r="C3648" s="21">
        <v>0.42638888888888887</v>
      </c>
      <c r="D3648" s="20" t="s">
        <v>3036</v>
      </c>
      <c r="E3648" t="s">
        <v>6</v>
      </c>
      <c r="G3648" t="s">
        <v>740</v>
      </c>
      <c r="H3648">
        <v>19</v>
      </c>
      <c r="I3648">
        <f t="shared" si="58"/>
        <v>24</v>
      </c>
    </row>
    <row r="3649" spans="1:9">
      <c r="A3649" s="1">
        <v>42517.335416666669</v>
      </c>
      <c r="B3649" s="19">
        <v>42745</v>
      </c>
      <c r="C3649" s="21">
        <v>0.15555555555555556</v>
      </c>
      <c r="D3649" s="20" t="s">
        <v>3053</v>
      </c>
      <c r="E3649" t="s">
        <v>2</v>
      </c>
      <c r="F3649" t="s">
        <v>5</v>
      </c>
      <c r="H3649">
        <v>2</v>
      </c>
      <c r="I3649">
        <f t="shared" si="58"/>
        <v>3</v>
      </c>
    </row>
    <row r="3650" spans="1:9">
      <c r="A3650" s="1">
        <v>42517.325694444444</v>
      </c>
      <c r="B3650" s="19">
        <v>42745</v>
      </c>
      <c r="C3650" s="21">
        <v>0.92361111111111116</v>
      </c>
      <c r="D3650" s="20" t="s">
        <v>3049</v>
      </c>
      <c r="E3650" t="s">
        <v>0</v>
      </c>
      <c r="G3650" t="s">
        <v>733</v>
      </c>
      <c r="H3650">
        <v>13</v>
      </c>
      <c r="I3650">
        <f t="shared" si="58"/>
        <v>17</v>
      </c>
    </row>
    <row r="3651" spans="1:9">
      <c r="A3651" s="1">
        <v>42517.279861111114</v>
      </c>
      <c r="B3651" s="19">
        <v>42745</v>
      </c>
      <c r="C3651" s="21">
        <v>0.90972222222222221</v>
      </c>
      <c r="D3651" s="20" t="s">
        <v>3048</v>
      </c>
      <c r="E3651" t="s">
        <v>0</v>
      </c>
      <c r="F3651" t="s">
        <v>10</v>
      </c>
      <c r="G3651" t="s">
        <v>734</v>
      </c>
      <c r="H3651">
        <v>13</v>
      </c>
      <c r="I3651">
        <f t="shared" ref="I3651:I3714" si="59">ROUNDUP((H3651*1.24), 0)</f>
        <v>17</v>
      </c>
    </row>
    <row r="3652" spans="1:9">
      <c r="A3652" s="1">
        <v>42517.211805555555</v>
      </c>
      <c r="B3652" s="19">
        <v>42745</v>
      </c>
      <c r="C3652" s="21">
        <v>0.68333333333333335</v>
      </c>
      <c r="D3652" s="20" t="s">
        <v>3043</v>
      </c>
      <c r="E3652" t="s">
        <v>33</v>
      </c>
      <c r="F3652" t="s">
        <v>34</v>
      </c>
      <c r="G3652" t="s">
        <v>736</v>
      </c>
      <c r="H3652" t="e">
        <v>#VALUE!</v>
      </c>
      <c r="I3652" t="e">
        <f t="shared" si="59"/>
        <v>#VALUE!</v>
      </c>
    </row>
    <row r="3653" spans="1:9">
      <c r="A3653" s="1">
        <v>42517.20208333333</v>
      </c>
      <c r="B3653" s="19">
        <v>42745</v>
      </c>
      <c r="C3653" s="21">
        <v>0.58819444444444446</v>
      </c>
      <c r="D3653" s="20" t="s">
        <v>3040</v>
      </c>
      <c r="E3653" t="s">
        <v>33</v>
      </c>
      <c r="F3653" t="s">
        <v>44</v>
      </c>
      <c r="G3653" t="s">
        <v>737</v>
      </c>
      <c r="H3653">
        <v>8</v>
      </c>
      <c r="I3653">
        <f t="shared" si="59"/>
        <v>10</v>
      </c>
    </row>
    <row r="3654" spans="1:9">
      <c r="A3654" s="1">
        <v>42517.201388888891</v>
      </c>
      <c r="B3654" s="19">
        <v>42745</v>
      </c>
      <c r="C3654" s="21">
        <v>0.56805555555555554</v>
      </c>
      <c r="D3654" s="20" t="s">
        <v>3039</v>
      </c>
      <c r="E3654" t="s">
        <v>0</v>
      </c>
      <c r="F3654" t="s">
        <v>1</v>
      </c>
      <c r="H3654">
        <v>15</v>
      </c>
      <c r="I3654">
        <f t="shared" si="59"/>
        <v>19</v>
      </c>
    </row>
    <row r="3655" spans="1:9">
      <c r="A3655" s="1">
        <v>42517.150694444441</v>
      </c>
      <c r="B3655" s="19">
        <v>42745</v>
      </c>
      <c r="C3655" s="21">
        <v>0.55138888888888893</v>
      </c>
      <c r="D3655" s="20" t="s">
        <v>3039</v>
      </c>
      <c r="E3655" t="s">
        <v>0</v>
      </c>
      <c r="G3655" t="s">
        <v>739</v>
      </c>
      <c r="H3655" t="e">
        <v>#VALUE!</v>
      </c>
      <c r="I3655" t="e">
        <f t="shared" si="59"/>
        <v>#VALUE!</v>
      </c>
    </row>
    <row r="3656" spans="1:9">
      <c r="A3656" s="1">
        <v>42517.119444444441</v>
      </c>
      <c r="B3656" s="19">
        <v>42745</v>
      </c>
      <c r="C3656" s="21">
        <v>0.33333333333333331</v>
      </c>
      <c r="D3656" s="20" t="s">
        <v>3034</v>
      </c>
      <c r="E3656" t="s">
        <v>0</v>
      </c>
      <c r="G3656" t="s">
        <v>741</v>
      </c>
      <c r="H3656">
        <v>7</v>
      </c>
      <c r="I3656">
        <f t="shared" si="59"/>
        <v>9</v>
      </c>
    </row>
    <row r="3657" spans="1:9">
      <c r="A3657" s="1">
        <v>42517.088888888888</v>
      </c>
      <c r="B3657" s="19">
        <v>42745</v>
      </c>
      <c r="C3657" s="21">
        <v>0.29097222222222224</v>
      </c>
      <c r="D3657" s="20" t="s">
        <v>3031</v>
      </c>
      <c r="E3657" t="s">
        <v>0</v>
      </c>
      <c r="G3657" t="s">
        <v>741</v>
      </c>
      <c r="H3657">
        <v>7</v>
      </c>
      <c r="I3657">
        <f t="shared" si="59"/>
        <v>9</v>
      </c>
    </row>
    <row r="3658" spans="1:9">
      <c r="A3658" s="1">
        <v>42516.665277777778</v>
      </c>
      <c r="B3658" s="19">
        <v>42745</v>
      </c>
      <c r="C3658" s="21">
        <v>0.26874999999999999</v>
      </c>
      <c r="D3658" s="20" t="s">
        <v>3031</v>
      </c>
      <c r="E3658" t="s">
        <v>33</v>
      </c>
      <c r="F3658" t="s">
        <v>34</v>
      </c>
      <c r="G3658" t="s">
        <v>742</v>
      </c>
      <c r="H3658" t="e">
        <v>#VALUE!</v>
      </c>
      <c r="I3658" t="e">
        <f t="shared" si="59"/>
        <v>#VALUE!</v>
      </c>
    </row>
    <row r="3659" spans="1:9">
      <c r="A3659" s="1">
        <v>42516.611805555556</v>
      </c>
      <c r="B3659" s="19">
        <v>42745</v>
      </c>
      <c r="C3659" s="21">
        <v>0.25138888888888888</v>
      </c>
      <c r="D3659" s="20" t="s">
        <v>3031</v>
      </c>
      <c r="E3659" t="s">
        <v>0</v>
      </c>
      <c r="G3659" t="s">
        <v>193</v>
      </c>
      <c r="H3659">
        <v>13</v>
      </c>
      <c r="I3659">
        <f t="shared" si="59"/>
        <v>17</v>
      </c>
    </row>
    <row r="3660" spans="1:9">
      <c r="A3660" s="1">
        <v>42516.611111111109</v>
      </c>
      <c r="B3660" s="19">
        <v>42745</v>
      </c>
      <c r="C3660" s="21">
        <v>0.22777777777777777</v>
      </c>
      <c r="D3660" s="20" t="s">
        <v>3055</v>
      </c>
      <c r="E3660" t="s">
        <v>33</v>
      </c>
      <c r="F3660" t="s">
        <v>150</v>
      </c>
      <c r="G3660" t="s">
        <v>743</v>
      </c>
      <c r="H3660">
        <v>7</v>
      </c>
      <c r="I3660">
        <f t="shared" si="59"/>
        <v>9</v>
      </c>
    </row>
    <row r="3661" spans="1:9">
      <c r="A3661" s="1">
        <v>42516.604861111111</v>
      </c>
      <c r="B3661" s="19">
        <v>42746</v>
      </c>
      <c r="C3661" s="21">
        <v>0.96458333333333335</v>
      </c>
      <c r="D3661" s="20" t="s">
        <v>3063</v>
      </c>
      <c r="E3661" t="s">
        <v>6</v>
      </c>
      <c r="F3661" t="s">
        <v>61</v>
      </c>
      <c r="G3661" t="s">
        <v>722</v>
      </c>
      <c r="H3661">
        <v>2</v>
      </c>
      <c r="I3661">
        <f t="shared" si="59"/>
        <v>3</v>
      </c>
    </row>
    <row r="3662" spans="1:9">
      <c r="A3662" s="1">
        <v>42516.602083333331</v>
      </c>
      <c r="B3662" s="19">
        <v>42746</v>
      </c>
      <c r="C3662" s="21">
        <v>0.93680555555555556</v>
      </c>
      <c r="D3662" s="20" t="s">
        <v>3049</v>
      </c>
      <c r="E3662" t="s">
        <v>2</v>
      </c>
      <c r="F3662" t="s">
        <v>3</v>
      </c>
      <c r="G3662" t="s">
        <v>723</v>
      </c>
      <c r="H3662">
        <v>14</v>
      </c>
      <c r="I3662">
        <f t="shared" si="59"/>
        <v>18</v>
      </c>
    </row>
    <row r="3663" spans="1:9">
      <c r="A3663" s="1">
        <v>42516.599305555559</v>
      </c>
      <c r="B3663" s="19">
        <v>42746</v>
      </c>
      <c r="C3663" s="21">
        <v>0.85069444444444442</v>
      </c>
      <c r="D3663" s="20" t="s">
        <v>3047</v>
      </c>
      <c r="E3663" t="s">
        <v>6</v>
      </c>
      <c r="F3663" t="s">
        <v>12</v>
      </c>
      <c r="G3663" t="s">
        <v>726</v>
      </c>
      <c r="H3663">
        <v>4</v>
      </c>
      <c r="I3663">
        <f t="shared" si="59"/>
        <v>5</v>
      </c>
    </row>
    <row r="3664" spans="1:9">
      <c r="A3664" s="1">
        <v>42516.59652777778</v>
      </c>
      <c r="B3664" s="19">
        <v>42746</v>
      </c>
      <c r="C3664" s="21">
        <v>0.64097222222222228</v>
      </c>
      <c r="D3664" s="20" t="s">
        <v>3042</v>
      </c>
      <c r="E3664" t="s">
        <v>2</v>
      </c>
      <c r="F3664" t="s">
        <v>48</v>
      </c>
      <c r="G3664" t="s">
        <v>728</v>
      </c>
      <c r="H3664">
        <v>38</v>
      </c>
      <c r="I3664">
        <f t="shared" si="59"/>
        <v>48</v>
      </c>
    </row>
    <row r="3665" spans="1:9">
      <c r="A3665" s="1">
        <v>42516.590277777781</v>
      </c>
      <c r="B3665" s="19">
        <v>42746</v>
      </c>
      <c r="C3665" s="21">
        <v>0.63124999999999998</v>
      </c>
      <c r="D3665" s="20" t="s">
        <v>3042</v>
      </c>
      <c r="E3665" t="s">
        <v>6</v>
      </c>
      <c r="F3665" t="s">
        <v>21</v>
      </c>
      <c r="G3665" t="s">
        <v>729</v>
      </c>
      <c r="H3665">
        <v>9</v>
      </c>
      <c r="I3665">
        <f t="shared" si="59"/>
        <v>12</v>
      </c>
    </row>
    <row r="3666" spans="1:9">
      <c r="A3666" s="1">
        <v>42516.588888888888</v>
      </c>
      <c r="B3666" s="19">
        <v>42746</v>
      </c>
      <c r="C3666" s="21">
        <v>0.49444444444444446</v>
      </c>
      <c r="D3666" s="20" t="s">
        <v>3037</v>
      </c>
      <c r="E3666" t="s">
        <v>6</v>
      </c>
      <c r="F3666" t="s">
        <v>46</v>
      </c>
      <c r="G3666" t="s">
        <v>732</v>
      </c>
      <c r="H3666">
        <v>7</v>
      </c>
      <c r="I3666">
        <f t="shared" si="59"/>
        <v>9</v>
      </c>
    </row>
    <row r="3667" spans="1:9">
      <c r="A3667" s="1">
        <v>42516.584722222222</v>
      </c>
      <c r="B3667" s="19">
        <v>42746</v>
      </c>
      <c r="C3667" s="21">
        <v>0.30416666666666664</v>
      </c>
      <c r="D3667" s="20" t="s">
        <v>3033</v>
      </c>
      <c r="E3667" t="s">
        <v>6</v>
      </c>
      <c r="F3667" t="s">
        <v>76</v>
      </c>
      <c r="G3667" t="s">
        <v>65</v>
      </c>
      <c r="H3667">
        <v>7</v>
      </c>
      <c r="I3667">
        <f t="shared" si="59"/>
        <v>9</v>
      </c>
    </row>
    <row r="3668" spans="1:9">
      <c r="A3668" s="1">
        <v>42516.577777777777</v>
      </c>
      <c r="B3668" s="19">
        <v>42746</v>
      </c>
      <c r="C3668" s="21">
        <v>0.92708333333333337</v>
      </c>
      <c r="D3668" s="20" t="s">
        <v>3049</v>
      </c>
      <c r="E3668" t="s">
        <v>0</v>
      </c>
      <c r="G3668" t="s">
        <v>724</v>
      </c>
      <c r="H3668">
        <v>25</v>
      </c>
      <c r="I3668">
        <f t="shared" si="59"/>
        <v>31</v>
      </c>
    </row>
    <row r="3669" spans="1:9">
      <c r="A3669" s="1">
        <v>42516.424305555556</v>
      </c>
      <c r="B3669" s="19">
        <v>42746</v>
      </c>
      <c r="C3669" s="21">
        <v>0.9194444444444444</v>
      </c>
      <c r="D3669" s="20" t="s">
        <v>3049</v>
      </c>
      <c r="E3669" t="s">
        <v>0</v>
      </c>
      <c r="G3669" t="s">
        <v>725</v>
      </c>
      <c r="H3669">
        <v>13</v>
      </c>
      <c r="I3669">
        <f t="shared" si="59"/>
        <v>17</v>
      </c>
    </row>
    <row r="3670" spans="1:9">
      <c r="A3670" s="1">
        <v>42516.395138888889</v>
      </c>
      <c r="B3670" s="19">
        <v>42746</v>
      </c>
      <c r="C3670" s="21">
        <v>0.87708333333333333</v>
      </c>
      <c r="D3670" s="20" t="s">
        <v>3048</v>
      </c>
      <c r="E3670" t="s">
        <v>18</v>
      </c>
      <c r="F3670" t="s">
        <v>19</v>
      </c>
      <c r="H3670">
        <v>4</v>
      </c>
      <c r="I3670">
        <f t="shared" si="59"/>
        <v>5</v>
      </c>
    </row>
    <row r="3671" spans="1:9">
      <c r="A3671" s="1">
        <v>42516.328472222223</v>
      </c>
      <c r="B3671" s="19">
        <v>42746</v>
      </c>
      <c r="C3671" s="21">
        <v>0.77847222222222223</v>
      </c>
      <c r="D3671" s="20" t="s">
        <v>3045</v>
      </c>
      <c r="E3671" t="s">
        <v>33</v>
      </c>
      <c r="F3671" t="s">
        <v>44</v>
      </c>
      <c r="G3671" t="s">
        <v>727</v>
      </c>
      <c r="H3671">
        <v>15</v>
      </c>
      <c r="I3671">
        <f t="shared" si="59"/>
        <v>19</v>
      </c>
    </row>
    <row r="3672" spans="1:9">
      <c r="A3672" s="1">
        <v>42516.188194444447</v>
      </c>
      <c r="B3672" s="19">
        <v>42746</v>
      </c>
      <c r="C3672" s="21">
        <v>0.59791666666666665</v>
      </c>
      <c r="D3672" s="20" t="s">
        <v>3040</v>
      </c>
      <c r="E3672" t="s">
        <v>0</v>
      </c>
      <c r="F3672" t="s">
        <v>1</v>
      </c>
      <c r="H3672">
        <v>19</v>
      </c>
      <c r="I3672">
        <f t="shared" si="59"/>
        <v>24</v>
      </c>
    </row>
    <row r="3673" spans="1:9">
      <c r="A3673" s="1">
        <v>42516.084722222222</v>
      </c>
      <c r="B3673" s="19">
        <v>42746</v>
      </c>
      <c r="C3673" s="21">
        <v>0.59097222222222223</v>
      </c>
      <c r="D3673" s="20" t="s">
        <v>3040</v>
      </c>
      <c r="E3673" t="s">
        <v>730</v>
      </c>
      <c r="G3673" t="s">
        <v>731</v>
      </c>
      <c r="H3673">
        <v>27</v>
      </c>
      <c r="I3673">
        <f t="shared" si="59"/>
        <v>34</v>
      </c>
    </row>
    <row r="3674" spans="1:9">
      <c r="A3674" s="1">
        <v>42516.996527777781</v>
      </c>
      <c r="B3674" s="19">
        <v>42746</v>
      </c>
      <c r="C3674" s="21">
        <v>0.49166666666666664</v>
      </c>
      <c r="D3674" s="20" t="s">
        <v>3037</v>
      </c>
      <c r="E3674" t="s">
        <v>18</v>
      </c>
      <c r="F3674" t="s">
        <v>19</v>
      </c>
      <c r="H3674">
        <v>7</v>
      </c>
      <c r="I3674">
        <f t="shared" si="59"/>
        <v>9</v>
      </c>
    </row>
    <row r="3675" spans="1:9">
      <c r="A3675" s="1">
        <v>42516.957638888889</v>
      </c>
      <c r="B3675" s="19">
        <v>42746</v>
      </c>
      <c r="C3675" s="21">
        <v>0.25138888888888888</v>
      </c>
      <c r="D3675" s="20" t="s">
        <v>3031</v>
      </c>
      <c r="E3675" t="s">
        <v>0</v>
      </c>
      <c r="G3675" t="s">
        <v>9</v>
      </c>
      <c r="H3675">
        <v>13</v>
      </c>
      <c r="I3675">
        <f t="shared" si="59"/>
        <v>17</v>
      </c>
    </row>
    <row r="3676" spans="1:9">
      <c r="A3676" s="1">
        <v>42516.924305555556</v>
      </c>
      <c r="B3676" s="19">
        <v>42747</v>
      </c>
      <c r="C3676" s="21">
        <v>0.8930555555555556</v>
      </c>
      <c r="D3676" s="20" t="s">
        <v>3048</v>
      </c>
      <c r="E3676" t="s">
        <v>2</v>
      </c>
      <c r="F3676" t="s">
        <v>5</v>
      </c>
      <c r="G3676" t="s">
        <v>716</v>
      </c>
      <c r="H3676">
        <v>23</v>
      </c>
      <c r="I3676">
        <f t="shared" si="59"/>
        <v>29</v>
      </c>
    </row>
    <row r="3677" spans="1:9">
      <c r="A3677" s="1">
        <v>42516.92083333333</v>
      </c>
      <c r="B3677" s="19">
        <v>42747</v>
      </c>
      <c r="C3677" s="21">
        <v>0.7729166666666667</v>
      </c>
      <c r="D3677" s="20" t="s">
        <v>3045</v>
      </c>
      <c r="E3677" t="s">
        <v>2</v>
      </c>
      <c r="F3677" t="s">
        <v>5</v>
      </c>
      <c r="G3677" t="s">
        <v>718</v>
      </c>
      <c r="H3677">
        <v>53</v>
      </c>
      <c r="I3677">
        <f t="shared" si="59"/>
        <v>66</v>
      </c>
    </row>
    <row r="3678" spans="1:9">
      <c r="A3678" s="1">
        <v>42516.824999999997</v>
      </c>
      <c r="B3678" s="19">
        <v>42747</v>
      </c>
      <c r="C3678" s="21">
        <v>0.75208333333333333</v>
      </c>
      <c r="D3678" s="20" t="s">
        <v>3045</v>
      </c>
      <c r="E3678" t="s">
        <v>6</v>
      </c>
      <c r="F3678" t="s">
        <v>21</v>
      </c>
      <c r="G3678" t="s">
        <v>719</v>
      </c>
      <c r="H3678">
        <v>41</v>
      </c>
      <c r="I3678">
        <f t="shared" si="59"/>
        <v>51</v>
      </c>
    </row>
    <row r="3679" spans="1:9">
      <c r="A3679" s="1">
        <v>42516.609027777777</v>
      </c>
      <c r="B3679" s="19">
        <v>42747</v>
      </c>
      <c r="C3679" s="21">
        <v>0.1701388888888889</v>
      </c>
      <c r="D3679" s="20" t="s">
        <v>3054</v>
      </c>
      <c r="E3679" t="s">
        <v>6</v>
      </c>
      <c r="F3679" t="s">
        <v>273</v>
      </c>
      <c r="G3679" t="s">
        <v>720</v>
      </c>
      <c r="H3679">
        <v>27</v>
      </c>
      <c r="I3679">
        <f t="shared" si="59"/>
        <v>34</v>
      </c>
    </row>
    <row r="3680" spans="1:9">
      <c r="A3680" s="1">
        <v>42516.590277777781</v>
      </c>
      <c r="B3680" s="19">
        <v>42747</v>
      </c>
      <c r="C3680" s="21">
        <v>0.14791666666666667</v>
      </c>
      <c r="D3680" s="20" t="s">
        <v>3053</v>
      </c>
      <c r="E3680" t="s">
        <v>6</v>
      </c>
      <c r="F3680" t="s">
        <v>21</v>
      </c>
      <c r="G3680" t="s">
        <v>721</v>
      </c>
      <c r="H3680">
        <v>19</v>
      </c>
      <c r="I3680">
        <f t="shared" si="59"/>
        <v>24</v>
      </c>
    </row>
    <row r="3681" spans="1:9">
      <c r="A3681" s="1">
        <v>42516.355555555558</v>
      </c>
      <c r="B3681" s="19">
        <v>42747</v>
      </c>
      <c r="C3681" s="21">
        <v>0.91736111111111107</v>
      </c>
      <c r="D3681" s="20" t="s">
        <v>3049</v>
      </c>
      <c r="E3681" t="s">
        <v>0</v>
      </c>
      <c r="G3681" t="s">
        <v>622</v>
      </c>
      <c r="H3681">
        <v>13</v>
      </c>
      <c r="I3681">
        <f t="shared" si="59"/>
        <v>17</v>
      </c>
    </row>
    <row r="3682" spans="1:9">
      <c r="A3682" s="1">
        <v>42516.25</v>
      </c>
      <c r="B3682" s="19">
        <v>42747</v>
      </c>
      <c r="C3682" s="21">
        <v>0.79861111111111116</v>
      </c>
      <c r="D3682" s="20" t="s">
        <v>3046</v>
      </c>
      <c r="E3682" t="s">
        <v>77</v>
      </c>
      <c r="G3682" t="s">
        <v>717</v>
      </c>
      <c r="H3682" t="e">
        <v>#VALUE!</v>
      </c>
      <c r="I3682" t="e">
        <f t="shared" si="59"/>
        <v>#VALUE!</v>
      </c>
    </row>
    <row r="3683" spans="1:9">
      <c r="A3683" s="1">
        <v>42516.20208333333</v>
      </c>
      <c r="B3683" s="19">
        <v>42747</v>
      </c>
      <c r="C3683" s="21">
        <v>0.25347222222222221</v>
      </c>
      <c r="D3683" s="20" t="s">
        <v>3031</v>
      </c>
      <c r="E3683" t="s">
        <v>0</v>
      </c>
      <c r="G3683" t="s">
        <v>9</v>
      </c>
      <c r="H3683">
        <v>13</v>
      </c>
      <c r="I3683">
        <f t="shared" si="59"/>
        <v>17</v>
      </c>
    </row>
    <row r="3684" spans="1:9">
      <c r="A3684" s="1">
        <v>42516.157638888886</v>
      </c>
      <c r="B3684" s="19">
        <v>42748</v>
      </c>
      <c r="C3684" s="21">
        <v>0.58750000000000002</v>
      </c>
      <c r="D3684" s="20" t="s">
        <v>3040</v>
      </c>
      <c r="E3684" t="s">
        <v>6</v>
      </c>
      <c r="F3684" t="s">
        <v>21</v>
      </c>
      <c r="G3684" t="s">
        <v>714</v>
      </c>
      <c r="H3684">
        <v>107</v>
      </c>
      <c r="I3684">
        <f t="shared" si="59"/>
        <v>133</v>
      </c>
    </row>
    <row r="3685" spans="1:9">
      <c r="A3685" s="1">
        <v>42516.145833333336</v>
      </c>
      <c r="B3685" s="19">
        <v>42748</v>
      </c>
      <c r="C3685" s="21">
        <v>0.5493055555555556</v>
      </c>
      <c r="D3685" s="20" t="s">
        <v>3039</v>
      </c>
      <c r="E3685" t="s">
        <v>2</v>
      </c>
      <c r="F3685" t="s">
        <v>56</v>
      </c>
      <c r="G3685" t="s">
        <v>609</v>
      </c>
      <c r="H3685">
        <v>28</v>
      </c>
      <c r="I3685">
        <f t="shared" si="59"/>
        <v>35</v>
      </c>
    </row>
    <row r="3686" spans="1:9">
      <c r="A3686" s="1">
        <v>42516.084027777775</v>
      </c>
      <c r="B3686" s="19">
        <v>42748</v>
      </c>
      <c r="C3686" s="21">
        <v>0.92083333333333328</v>
      </c>
      <c r="D3686" s="20" t="s">
        <v>3049</v>
      </c>
      <c r="E3686" t="s">
        <v>0</v>
      </c>
      <c r="G3686" t="s">
        <v>567</v>
      </c>
      <c r="H3686">
        <v>13</v>
      </c>
      <c r="I3686">
        <f t="shared" si="59"/>
        <v>17</v>
      </c>
    </row>
    <row r="3687" spans="1:9">
      <c r="A3687" s="1">
        <v>42515.715277777781</v>
      </c>
      <c r="B3687" s="19">
        <v>42748</v>
      </c>
      <c r="C3687" s="21">
        <v>0.90972222222222221</v>
      </c>
      <c r="D3687" s="20" t="s">
        <v>3048</v>
      </c>
      <c r="E3687" t="s">
        <v>0</v>
      </c>
      <c r="F3687" t="s">
        <v>10</v>
      </c>
      <c r="G3687" t="s">
        <v>145</v>
      </c>
      <c r="H3687">
        <v>13</v>
      </c>
      <c r="I3687">
        <f t="shared" si="59"/>
        <v>17</v>
      </c>
    </row>
    <row r="3688" spans="1:9">
      <c r="A3688" s="1">
        <v>42515.694444444445</v>
      </c>
      <c r="B3688" s="19">
        <v>42748</v>
      </c>
      <c r="C3688" s="21">
        <v>0.75902777777777775</v>
      </c>
      <c r="D3688" s="20" t="s">
        <v>3045</v>
      </c>
      <c r="E3688" t="s">
        <v>149</v>
      </c>
      <c r="G3688" t="s">
        <v>713</v>
      </c>
      <c r="H3688">
        <v>12</v>
      </c>
      <c r="I3688">
        <f t="shared" si="59"/>
        <v>15</v>
      </c>
    </row>
    <row r="3689" spans="1:9">
      <c r="A3689" s="1">
        <v>42515.652777777781</v>
      </c>
      <c r="B3689" s="19">
        <v>42748</v>
      </c>
      <c r="C3689" s="21">
        <v>0.57916666666666672</v>
      </c>
      <c r="D3689" s="20" t="s">
        <v>3039</v>
      </c>
      <c r="E3689" t="s">
        <v>33</v>
      </c>
      <c r="F3689" t="s">
        <v>34</v>
      </c>
      <c r="G3689" t="s">
        <v>715</v>
      </c>
      <c r="H3689">
        <v>7</v>
      </c>
      <c r="I3689">
        <f t="shared" si="59"/>
        <v>9</v>
      </c>
    </row>
    <row r="3690" spans="1:9">
      <c r="A3690" s="1">
        <v>42515.635416666664</v>
      </c>
      <c r="B3690" s="19">
        <v>42748</v>
      </c>
      <c r="C3690" s="21">
        <v>0.25416666666666665</v>
      </c>
      <c r="D3690" s="20" t="s">
        <v>3031</v>
      </c>
      <c r="E3690" t="s">
        <v>0</v>
      </c>
      <c r="G3690" t="s">
        <v>9</v>
      </c>
      <c r="H3690">
        <v>13</v>
      </c>
      <c r="I3690">
        <f t="shared" si="59"/>
        <v>17</v>
      </c>
    </row>
    <row r="3691" spans="1:9">
      <c r="A3691" s="1">
        <v>42515.629166666666</v>
      </c>
      <c r="B3691" s="19">
        <v>42751</v>
      </c>
      <c r="C3691" s="21">
        <v>0.44166666666666665</v>
      </c>
      <c r="D3691" s="20" t="s">
        <v>3036</v>
      </c>
      <c r="E3691" t="s">
        <v>6</v>
      </c>
      <c r="F3691" t="s">
        <v>76</v>
      </c>
      <c r="G3691" t="s">
        <v>710</v>
      </c>
      <c r="H3691">
        <v>12</v>
      </c>
      <c r="I3691">
        <f t="shared" si="59"/>
        <v>15</v>
      </c>
    </row>
    <row r="3692" spans="1:9">
      <c r="A3692" s="1">
        <v>42515.577777777777</v>
      </c>
      <c r="B3692" s="19">
        <v>42751</v>
      </c>
      <c r="C3692" s="21">
        <v>0.43055555555555558</v>
      </c>
      <c r="D3692" s="20" t="s">
        <v>3036</v>
      </c>
      <c r="E3692" t="s">
        <v>6</v>
      </c>
      <c r="F3692" t="s">
        <v>12</v>
      </c>
      <c r="G3692" t="s">
        <v>711</v>
      </c>
      <c r="H3692">
        <v>3</v>
      </c>
      <c r="I3692">
        <f t="shared" si="59"/>
        <v>4</v>
      </c>
    </row>
    <row r="3693" spans="1:9">
      <c r="A3693" s="1">
        <v>42515.956944444442</v>
      </c>
      <c r="B3693" s="19">
        <v>42751</v>
      </c>
      <c r="C3693" s="21">
        <v>0.91666666666666663</v>
      </c>
      <c r="D3693" s="20" t="s">
        <v>3049</v>
      </c>
      <c r="E3693" t="s">
        <v>0</v>
      </c>
      <c r="G3693" t="s">
        <v>193</v>
      </c>
      <c r="H3693">
        <v>13</v>
      </c>
      <c r="I3693">
        <f t="shared" si="59"/>
        <v>17</v>
      </c>
    </row>
    <row r="3694" spans="1:9">
      <c r="A3694" s="1">
        <v>42515.931250000001</v>
      </c>
      <c r="B3694" s="19">
        <v>42751</v>
      </c>
      <c r="C3694" s="21">
        <v>0.91111111111111109</v>
      </c>
      <c r="D3694" s="20" t="s">
        <v>3048</v>
      </c>
      <c r="E3694" t="s">
        <v>0</v>
      </c>
      <c r="F3694" t="s">
        <v>10</v>
      </c>
      <c r="G3694" t="s">
        <v>255</v>
      </c>
      <c r="H3694">
        <v>13</v>
      </c>
      <c r="I3694">
        <f t="shared" si="59"/>
        <v>17</v>
      </c>
    </row>
    <row r="3695" spans="1:9">
      <c r="A3695" s="1">
        <v>42515.920138888891</v>
      </c>
      <c r="B3695" s="19">
        <v>42751</v>
      </c>
      <c r="C3695" s="21">
        <v>0.58680555555555558</v>
      </c>
      <c r="D3695" s="20" t="s">
        <v>3040</v>
      </c>
      <c r="E3695" t="s">
        <v>0</v>
      </c>
      <c r="F3695" t="s">
        <v>10</v>
      </c>
      <c r="G3695" t="s">
        <v>255</v>
      </c>
      <c r="H3695">
        <v>13</v>
      </c>
      <c r="I3695">
        <f t="shared" si="59"/>
        <v>17</v>
      </c>
    </row>
    <row r="3696" spans="1:9">
      <c r="A3696" s="1">
        <v>42515.866666666669</v>
      </c>
      <c r="B3696" s="19">
        <v>42751</v>
      </c>
      <c r="C3696" s="21">
        <v>0.58680555555555558</v>
      </c>
      <c r="D3696" s="20" t="s">
        <v>3040</v>
      </c>
      <c r="E3696" t="s">
        <v>0</v>
      </c>
      <c r="G3696" t="s">
        <v>567</v>
      </c>
      <c r="H3696">
        <v>13</v>
      </c>
      <c r="I3696">
        <f t="shared" si="59"/>
        <v>17</v>
      </c>
    </row>
    <row r="3697" spans="1:9">
      <c r="A3697" s="1">
        <v>42515.865972222222</v>
      </c>
      <c r="B3697" s="19">
        <v>42751</v>
      </c>
      <c r="C3697" s="21">
        <v>0.34861111111111109</v>
      </c>
      <c r="D3697" s="20" t="s">
        <v>3034</v>
      </c>
      <c r="E3697" t="s">
        <v>0</v>
      </c>
      <c r="G3697" t="s">
        <v>712</v>
      </c>
      <c r="H3697">
        <v>9</v>
      </c>
      <c r="I3697">
        <f t="shared" si="59"/>
        <v>12</v>
      </c>
    </row>
    <row r="3698" spans="1:9">
      <c r="A3698" s="1">
        <v>42515.643750000003</v>
      </c>
      <c r="B3698" s="19">
        <v>42751</v>
      </c>
      <c r="C3698" s="21">
        <v>0.25</v>
      </c>
      <c r="D3698" s="20" t="s">
        <v>3031</v>
      </c>
      <c r="E3698" t="s">
        <v>0</v>
      </c>
      <c r="F3698" t="s">
        <v>10</v>
      </c>
      <c r="G3698" t="s">
        <v>84</v>
      </c>
      <c r="H3698">
        <v>13</v>
      </c>
      <c r="I3698">
        <f t="shared" si="59"/>
        <v>17</v>
      </c>
    </row>
    <row r="3699" spans="1:9">
      <c r="A3699" s="1">
        <v>42515.636805555558</v>
      </c>
      <c r="B3699" s="19">
        <v>42751</v>
      </c>
      <c r="C3699" s="21">
        <v>0.25</v>
      </c>
      <c r="D3699" s="20" t="s">
        <v>3031</v>
      </c>
      <c r="E3699" t="s">
        <v>0</v>
      </c>
      <c r="G3699" t="s">
        <v>594</v>
      </c>
      <c r="H3699">
        <v>38</v>
      </c>
      <c r="I3699">
        <f t="shared" si="59"/>
        <v>48</v>
      </c>
    </row>
    <row r="3700" spans="1:9">
      <c r="A3700" s="1">
        <v>42515.586111111108</v>
      </c>
      <c r="B3700" s="19">
        <v>42752</v>
      </c>
      <c r="C3700" s="21">
        <v>0.87708333333333333</v>
      </c>
      <c r="D3700" s="20" t="s">
        <v>3048</v>
      </c>
      <c r="E3700" t="s">
        <v>2</v>
      </c>
      <c r="F3700" t="s">
        <v>3</v>
      </c>
      <c r="G3700" t="s">
        <v>572</v>
      </c>
      <c r="H3700">
        <v>7</v>
      </c>
      <c r="I3700">
        <f t="shared" si="59"/>
        <v>9</v>
      </c>
    </row>
    <row r="3701" spans="1:9">
      <c r="A3701" s="1">
        <v>42515.501388888886</v>
      </c>
      <c r="B3701" s="19">
        <v>42752</v>
      </c>
      <c r="C3701" s="21">
        <v>0.84027777777777779</v>
      </c>
      <c r="D3701" s="20" t="s">
        <v>3047</v>
      </c>
      <c r="E3701" t="s">
        <v>6</v>
      </c>
      <c r="F3701" t="s">
        <v>61</v>
      </c>
      <c r="G3701" t="s">
        <v>705</v>
      </c>
      <c r="H3701" t="e">
        <v>#VALUE!</v>
      </c>
      <c r="I3701" t="e">
        <f t="shared" si="59"/>
        <v>#VALUE!</v>
      </c>
    </row>
    <row r="3702" spans="1:9">
      <c r="A3702" s="1">
        <v>42515.459027777775</v>
      </c>
      <c r="B3702" s="19">
        <v>42752</v>
      </c>
      <c r="C3702" s="21">
        <v>0.83888888888888891</v>
      </c>
      <c r="D3702" s="20" t="s">
        <v>3047</v>
      </c>
      <c r="E3702" t="s">
        <v>6</v>
      </c>
      <c r="F3702" t="s">
        <v>89</v>
      </c>
      <c r="G3702" t="s">
        <v>706</v>
      </c>
      <c r="H3702" t="e">
        <v>#VALUE!</v>
      </c>
      <c r="I3702" t="e">
        <f t="shared" si="59"/>
        <v>#VALUE!</v>
      </c>
    </row>
    <row r="3703" spans="1:9">
      <c r="A3703" s="1">
        <v>42515.418055555558</v>
      </c>
      <c r="B3703" s="19">
        <v>42752</v>
      </c>
      <c r="C3703" s="21">
        <v>0.75624999999999998</v>
      </c>
      <c r="D3703" s="20" t="s">
        <v>3045</v>
      </c>
      <c r="E3703" t="s">
        <v>6</v>
      </c>
      <c r="F3703" t="s">
        <v>12</v>
      </c>
      <c r="G3703" t="s">
        <v>707</v>
      </c>
      <c r="H3703">
        <v>10</v>
      </c>
      <c r="I3703">
        <f t="shared" si="59"/>
        <v>13</v>
      </c>
    </row>
    <row r="3704" spans="1:9">
      <c r="A3704" s="1">
        <v>42515.284722222219</v>
      </c>
      <c r="B3704" s="19">
        <v>42752</v>
      </c>
      <c r="C3704" s="21">
        <v>0.33055555555555555</v>
      </c>
      <c r="D3704" s="20" t="s">
        <v>3033</v>
      </c>
      <c r="E3704" t="s">
        <v>2</v>
      </c>
      <c r="F3704" t="s">
        <v>48</v>
      </c>
      <c r="G3704" t="s">
        <v>709</v>
      </c>
      <c r="H3704" t="e">
        <v>#VALUE!</v>
      </c>
      <c r="I3704" t="e">
        <f t="shared" si="59"/>
        <v>#VALUE!</v>
      </c>
    </row>
    <row r="3705" spans="1:9">
      <c r="A3705" s="1">
        <v>42515.249305555553</v>
      </c>
      <c r="B3705" s="19">
        <v>42752</v>
      </c>
      <c r="C3705" s="21">
        <v>0.92361111111111116</v>
      </c>
      <c r="D3705" s="20" t="s">
        <v>3049</v>
      </c>
      <c r="E3705" t="s">
        <v>0</v>
      </c>
      <c r="G3705" t="s">
        <v>9</v>
      </c>
      <c r="H3705">
        <v>13</v>
      </c>
      <c r="I3705">
        <f t="shared" si="59"/>
        <v>17</v>
      </c>
    </row>
    <row r="3706" spans="1:9">
      <c r="A3706" s="1">
        <v>42515.206944444442</v>
      </c>
      <c r="B3706" s="19">
        <v>42752</v>
      </c>
      <c r="C3706" s="21">
        <v>0.87847222222222221</v>
      </c>
      <c r="D3706" s="20" t="s">
        <v>3048</v>
      </c>
      <c r="E3706" t="s">
        <v>0</v>
      </c>
      <c r="G3706" t="s">
        <v>704</v>
      </c>
      <c r="H3706">
        <v>3</v>
      </c>
      <c r="I3706">
        <f t="shared" si="59"/>
        <v>4</v>
      </c>
    </row>
    <row r="3707" spans="1:9">
      <c r="A3707" s="1">
        <v>42515.193749999999</v>
      </c>
      <c r="B3707" s="19">
        <v>42752</v>
      </c>
      <c r="C3707" s="21">
        <v>0.68819444444444444</v>
      </c>
      <c r="D3707" s="20" t="s">
        <v>3043</v>
      </c>
      <c r="E3707" t="s">
        <v>18</v>
      </c>
      <c r="G3707" t="s">
        <v>708</v>
      </c>
      <c r="H3707">
        <v>50</v>
      </c>
      <c r="I3707">
        <f t="shared" si="59"/>
        <v>62</v>
      </c>
    </row>
    <row r="3708" spans="1:9">
      <c r="A3708" s="1">
        <v>42515.163888888892</v>
      </c>
      <c r="B3708" s="19">
        <v>42752</v>
      </c>
      <c r="C3708" s="21">
        <v>0.61041666666666672</v>
      </c>
      <c r="D3708" s="20" t="s">
        <v>3040</v>
      </c>
      <c r="E3708" t="s">
        <v>18</v>
      </c>
      <c r="F3708" t="s">
        <v>100</v>
      </c>
      <c r="H3708" t="e">
        <v>#VALUE!</v>
      </c>
      <c r="I3708" t="e">
        <f t="shared" si="59"/>
        <v>#VALUE!</v>
      </c>
    </row>
    <row r="3709" spans="1:9">
      <c r="A3709" s="1">
        <v>42515.144444444442</v>
      </c>
      <c r="B3709" s="19">
        <v>42752</v>
      </c>
      <c r="C3709" s="21">
        <v>0.59444444444444444</v>
      </c>
      <c r="D3709" s="20" t="s">
        <v>3040</v>
      </c>
      <c r="E3709" t="s">
        <v>0</v>
      </c>
      <c r="G3709" t="s">
        <v>675</v>
      </c>
      <c r="H3709">
        <v>44</v>
      </c>
      <c r="I3709">
        <f t="shared" si="59"/>
        <v>55</v>
      </c>
    </row>
    <row r="3710" spans="1:9">
      <c r="A3710" s="1">
        <v>42515.137499999997</v>
      </c>
      <c r="B3710" s="19">
        <v>42752</v>
      </c>
      <c r="C3710" s="21">
        <v>0.58402777777777781</v>
      </c>
      <c r="D3710" s="20" t="s">
        <v>3040</v>
      </c>
      <c r="E3710" t="s">
        <v>0</v>
      </c>
      <c r="G3710" t="s">
        <v>622</v>
      </c>
      <c r="H3710">
        <v>13</v>
      </c>
      <c r="I3710">
        <f t="shared" si="59"/>
        <v>17</v>
      </c>
    </row>
    <row r="3711" spans="1:9">
      <c r="A3711" s="1">
        <v>42515.015277777777</v>
      </c>
      <c r="B3711" s="19">
        <v>42753</v>
      </c>
      <c r="C3711" s="21">
        <v>0.93263888888888891</v>
      </c>
      <c r="D3711" s="20" t="s">
        <v>3049</v>
      </c>
      <c r="E3711" t="s">
        <v>6</v>
      </c>
      <c r="F3711" t="s">
        <v>46</v>
      </c>
      <c r="G3711" t="s">
        <v>65</v>
      </c>
      <c r="H3711">
        <v>19</v>
      </c>
      <c r="I3711">
        <f t="shared" si="59"/>
        <v>24</v>
      </c>
    </row>
    <row r="3712" spans="1:9">
      <c r="A3712" s="1">
        <v>42515</v>
      </c>
      <c r="B3712" s="19">
        <v>42753</v>
      </c>
      <c r="C3712" s="21">
        <v>0.77083333333333337</v>
      </c>
      <c r="D3712" s="20" t="s">
        <v>3045</v>
      </c>
      <c r="E3712" t="s">
        <v>6</v>
      </c>
      <c r="F3712" t="s">
        <v>26</v>
      </c>
      <c r="G3712" t="s">
        <v>698</v>
      </c>
      <c r="H3712">
        <v>8</v>
      </c>
      <c r="I3712">
        <f t="shared" si="59"/>
        <v>10</v>
      </c>
    </row>
    <row r="3713" spans="1:9">
      <c r="A3713" s="1">
        <v>42514.791666666664</v>
      </c>
      <c r="B3713" s="19">
        <v>42753</v>
      </c>
      <c r="C3713" s="21">
        <v>0.68958333333333333</v>
      </c>
      <c r="D3713" s="20" t="s">
        <v>3043</v>
      </c>
      <c r="E3713" t="s">
        <v>2</v>
      </c>
      <c r="F3713" t="s">
        <v>3</v>
      </c>
      <c r="G3713" t="s">
        <v>365</v>
      </c>
      <c r="H3713">
        <v>7</v>
      </c>
      <c r="I3713">
        <f t="shared" si="59"/>
        <v>9</v>
      </c>
    </row>
    <row r="3714" spans="1:9">
      <c r="A3714" s="1">
        <v>42514.659722222219</v>
      </c>
      <c r="B3714" s="19">
        <v>42753</v>
      </c>
      <c r="C3714" s="21">
        <v>0.58402777777777781</v>
      </c>
      <c r="D3714" s="20" t="s">
        <v>3040</v>
      </c>
      <c r="E3714" t="s">
        <v>6</v>
      </c>
      <c r="G3714" t="s">
        <v>701</v>
      </c>
      <c r="H3714">
        <v>38</v>
      </c>
      <c r="I3714">
        <f t="shared" si="59"/>
        <v>48</v>
      </c>
    </row>
    <row r="3715" spans="1:9">
      <c r="A3715" s="1">
        <v>42514.533333333333</v>
      </c>
      <c r="B3715" s="19">
        <v>42753</v>
      </c>
      <c r="C3715" s="21">
        <v>0.47916666666666669</v>
      </c>
      <c r="D3715" s="20" t="s">
        <v>3037</v>
      </c>
      <c r="E3715" t="s">
        <v>2</v>
      </c>
      <c r="F3715" t="s">
        <v>48</v>
      </c>
      <c r="G3715" t="s">
        <v>703</v>
      </c>
      <c r="H3715">
        <v>69</v>
      </c>
      <c r="I3715">
        <f t="shared" ref="I3715:I3778" si="60">ROUNDUP((H3715*1.24), 0)</f>
        <v>86</v>
      </c>
    </row>
    <row r="3716" spans="1:9">
      <c r="A3716" s="1">
        <v>42514.522916666669</v>
      </c>
      <c r="B3716" s="19">
        <v>42753</v>
      </c>
      <c r="C3716" s="21">
        <v>2.2222222222222223E-2</v>
      </c>
      <c r="D3716" s="20" t="s">
        <v>3050</v>
      </c>
      <c r="E3716" t="s">
        <v>2</v>
      </c>
      <c r="F3716" t="s">
        <v>5</v>
      </c>
      <c r="H3716">
        <v>13</v>
      </c>
      <c r="I3716">
        <f t="shared" si="60"/>
        <v>17</v>
      </c>
    </row>
    <row r="3717" spans="1:9">
      <c r="A3717" s="1">
        <v>42514.490277777775</v>
      </c>
      <c r="B3717" s="19">
        <v>42753</v>
      </c>
      <c r="C3717" s="21">
        <v>0.93263888888888891</v>
      </c>
      <c r="D3717" s="20" t="s">
        <v>3049</v>
      </c>
      <c r="E3717" t="s">
        <v>0</v>
      </c>
      <c r="G3717" t="s">
        <v>193</v>
      </c>
      <c r="H3717">
        <v>13</v>
      </c>
      <c r="I3717">
        <f t="shared" si="60"/>
        <v>17</v>
      </c>
    </row>
    <row r="3718" spans="1:9">
      <c r="A3718" s="1">
        <v>42514.314583333333</v>
      </c>
      <c r="B3718" s="19">
        <v>42753</v>
      </c>
      <c r="C3718" s="21">
        <v>0.90486111111111112</v>
      </c>
      <c r="D3718" s="20" t="s">
        <v>3048</v>
      </c>
      <c r="E3718" t="s">
        <v>0</v>
      </c>
      <c r="F3718" t="s">
        <v>10</v>
      </c>
      <c r="G3718" t="s">
        <v>255</v>
      </c>
      <c r="H3718">
        <v>13</v>
      </c>
      <c r="I3718">
        <f t="shared" si="60"/>
        <v>17</v>
      </c>
    </row>
    <row r="3719" spans="1:9">
      <c r="A3719" s="1">
        <v>42514.988888888889</v>
      </c>
      <c r="B3719" s="19">
        <v>42753</v>
      </c>
      <c r="C3719" s="21">
        <v>0.60972222222222228</v>
      </c>
      <c r="D3719" s="20" t="s">
        <v>3040</v>
      </c>
      <c r="E3719" t="s">
        <v>0</v>
      </c>
      <c r="G3719" t="s">
        <v>699</v>
      </c>
      <c r="H3719">
        <v>13</v>
      </c>
      <c r="I3719">
        <f t="shared" si="60"/>
        <v>17</v>
      </c>
    </row>
    <row r="3720" spans="1:9">
      <c r="A3720" s="1">
        <v>42514.938888888886</v>
      </c>
      <c r="B3720" s="19">
        <v>42753</v>
      </c>
      <c r="C3720" s="21">
        <v>0.60624999999999996</v>
      </c>
      <c r="D3720" s="20" t="s">
        <v>3040</v>
      </c>
      <c r="E3720" t="s">
        <v>0</v>
      </c>
      <c r="G3720" t="s">
        <v>700</v>
      </c>
      <c r="H3720" t="e">
        <v>#VALUE!</v>
      </c>
      <c r="I3720" t="e">
        <f t="shared" si="60"/>
        <v>#VALUE!</v>
      </c>
    </row>
    <row r="3721" spans="1:9">
      <c r="A3721" s="1">
        <v>42514.847916666666</v>
      </c>
      <c r="B3721" s="19">
        <v>42753</v>
      </c>
      <c r="C3721" s="21">
        <v>0.56388888888888888</v>
      </c>
      <c r="D3721" s="20" t="s">
        <v>3039</v>
      </c>
      <c r="E3721" t="s">
        <v>0</v>
      </c>
      <c r="G3721" t="s">
        <v>702</v>
      </c>
      <c r="H3721">
        <v>35</v>
      </c>
      <c r="I3721">
        <f t="shared" si="60"/>
        <v>44</v>
      </c>
    </row>
    <row r="3722" spans="1:9">
      <c r="A3722" s="1">
        <v>42514.835416666669</v>
      </c>
      <c r="B3722" s="19">
        <v>42753</v>
      </c>
      <c r="C3722" s="21">
        <v>0.375</v>
      </c>
      <c r="D3722" s="20" t="s">
        <v>3035</v>
      </c>
      <c r="E3722" t="s">
        <v>0</v>
      </c>
      <c r="F3722" t="s">
        <v>1</v>
      </c>
      <c r="H3722">
        <v>15</v>
      </c>
      <c r="I3722">
        <f t="shared" si="60"/>
        <v>19</v>
      </c>
    </row>
    <row r="3723" spans="1:9">
      <c r="A3723" s="1">
        <v>42514.791666666664</v>
      </c>
      <c r="B3723" s="19">
        <v>42753</v>
      </c>
      <c r="C3723" s="21">
        <v>0.36527777777777776</v>
      </c>
      <c r="D3723" s="20" t="s">
        <v>3034</v>
      </c>
      <c r="E3723" t="s">
        <v>0</v>
      </c>
      <c r="G3723" t="s">
        <v>594</v>
      </c>
      <c r="H3723" t="e">
        <v>#VALUE!</v>
      </c>
      <c r="I3723" t="e">
        <f t="shared" si="60"/>
        <v>#VALUE!</v>
      </c>
    </row>
    <row r="3724" spans="1:9">
      <c r="A3724" s="1">
        <v>42514.726388888892</v>
      </c>
      <c r="B3724" s="19">
        <v>42754</v>
      </c>
      <c r="C3724" s="21">
        <v>0.46944444444444444</v>
      </c>
      <c r="D3724" s="20" t="s">
        <v>3037</v>
      </c>
      <c r="E3724" t="s">
        <v>2</v>
      </c>
      <c r="F3724" t="s">
        <v>48</v>
      </c>
      <c r="G3724" t="s">
        <v>695</v>
      </c>
      <c r="H3724">
        <v>33</v>
      </c>
      <c r="I3724">
        <f t="shared" si="60"/>
        <v>41</v>
      </c>
    </row>
    <row r="3725" spans="1:9">
      <c r="A3725" s="1">
        <v>42514.724305555559</v>
      </c>
      <c r="B3725" s="19">
        <v>42754</v>
      </c>
      <c r="C3725" s="21">
        <v>0.29166666666666669</v>
      </c>
      <c r="D3725" s="20" t="s">
        <v>3033</v>
      </c>
      <c r="E3725" t="s">
        <v>6</v>
      </c>
      <c r="F3725" t="s">
        <v>15</v>
      </c>
      <c r="G3725" t="s">
        <v>696</v>
      </c>
      <c r="H3725" t="e">
        <v>#VALUE!</v>
      </c>
      <c r="I3725" t="e">
        <f t="shared" si="60"/>
        <v>#VALUE!</v>
      </c>
    </row>
    <row r="3726" spans="1:9">
      <c r="A3726" s="1">
        <v>42514.678472222222</v>
      </c>
      <c r="B3726" s="19">
        <v>42754</v>
      </c>
      <c r="C3726" s="21">
        <v>0.95694444444444449</v>
      </c>
      <c r="D3726" s="20" t="s">
        <v>3049</v>
      </c>
      <c r="E3726" t="s">
        <v>0</v>
      </c>
      <c r="G3726" t="s">
        <v>9</v>
      </c>
      <c r="H3726">
        <v>13</v>
      </c>
      <c r="I3726">
        <f t="shared" si="60"/>
        <v>17</v>
      </c>
    </row>
    <row r="3727" spans="1:9">
      <c r="A3727" s="1">
        <v>42514.554166666669</v>
      </c>
      <c r="B3727" s="19">
        <v>42754</v>
      </c>
      <c r="C3727" s="21">
        <v>0.75138888888888888</v>
      </c>
      <c r="D3727" s="20" t="s">
        <v>3045</v>
      </c>
      <c r="E3727" t="s">
        <v>0</v>
      </c>
      <c r="G3727" t="s">
        <v>694</v>
      </c>
      <c r="H3727" t="e">
        <v>#VALUE!</v>
      </c>
      <c r="I3727" t="e">
        <f t="shared" si="60"/>
        <v>#VALUE!</v>
      </c>
    </row>
    <row r="3728" spans="1:9">
      <c r="A3728" s="1">
        <v>42514.509722222225</v>
      </c>
      <c r="B3728" s="19">
        <v>42754</v>
      </c>
      <c r="C3728" s="21">
        <v>0.58680555555555558</v>
      </c>
      <c r="D3728" s="20" t="s">
        <v>3040</v>
      </c>
      <c r="E3728" t="s">
        <v>0</v>
      </c>
      <c r="F3728" t="s">
        <v>10</v>
      </c>
      <c r="G3728" t="s">
        <v>255</v>
      </c>
      <c r="H3728">
        <v>13</v>
      </c>
      <c r="I3728">
        <f t="shared" si="60"/>
        <v>17</v>
      </c>
    </row>
    <row r="3729" spans="1:9">
      <c r="A3729" s="1">
        <v>42514.417361111111</v>
      </c>
      <c r="B3729" s="19">
        <v>42754</v>
      </c>
      <c r="C3729" s="21">
        <v>0.58611111111111114</v>
      </c>
      <c r="D3729" s="20" t="s">
        <v>3040</v>
      </c>
      <c r="E3729" t="s">
        <v>0</v>
      </c>
      <c r="G3729" t="s">
        <v>425</v>
      </c>
      <c r="H3729">
        <v>13</v>
      </c>
      <c r="I3729">
        <f t="shared" si="60"/>
        <v>17</v>
      </c>
    </row>
    <row r="3730" spans="1:9">
      <c r="A3730" s="1">
        <v>42514.387499999997</v>
      </c>
      <c r="B3730" s="19">
        <v>42754</v>
      </c>
      <c r="C3730" s="21">
        <v>0.57638888888888884</v>
      </c>
      <c r="D3730" s="20" t="s">
        <v>3039</v>
      </c>
      <c r="E3730" t="s">
        <v>0</v>
      </c>
      <c r="F3730" t="s">
        <v>10</v>
      </c>
      <c r="G3730" t="s">
        <v>255</v>
      </c>
      <c r="H3730">
        <v>13</v>
      </c>
      <c r="I3730">
        <f t="shared" si="60"/>
        <v>17</v>
      </c>
    </row>
    <row r="3731" spans="1:9">
      <c r="A3731" s="1">
        <v>42514.333333333336</v>
      </c>
      <c r="B3731" s="19">
        <v>42754</v>
      </c>
      <c r="C3731" s="21">
        <v>0.24583333333333332</v>
      </c>
      <c r="D3731" s="20" t="s">
        <v>3055</v>
      </c>
      <c r="E3731" t="s">
        <v>33</v>
      </c>
      <c r="F3731" t="s">
        <v>44</v>
      </c>
      <c r="G3731" t="s">
        <v>697</v>
      </c>
      <c r="H3731">
        <v>7</v>
      </c>
      <c r="I3731">
        <f t="shared" si="60"/>
        <v>9</v>
      </c>
    </row>
    <row r="3732" spans="1:9">
      <c r="A3732" s="1">
        <v>42514.315972222219</v>
      </c>
      <c r="B3732" s="19">
        <v>42755</v>
      </c>
      <c r="C3732" s="21">
        <v>0.83958333333333335</v>
      </c>
      <c r="D3732" s="20" t="s">
        <v>3047</v>
      </c>
      <c r="E3732" t="s">
        <v>6</v>
      </c>
      <c r="F3732" t="s">
        <v>15</v>
      </c>
      <c r="G3732" t="s">
        <v>681</v>
      </c>
      <c r="H3732" t="e">
        <v>#VALUE!</v>
      </c>
      <c r="I3732" t="e">
        <f t="shared" si="60"/>
        <v>#VALUE!</v>
      </c>
    </row>
    <row r="3733" spans="1:9">
      <c r="A3733" s="1">
        <v>42514.195833333331</v>
      </c>
      <c r="B3733" s="19">
        <v>42755</v>
      </c>
      <c r="C3733" s="21">
        <v>0.76875000000000004</v>
      </c>
      <c r="D3733" s="20" t="s">
        <v>3045</v>
      </c>
      <c r="E3733" t="s">
        <v>6</v>
      </c>
      <c r="F3733" t="s">
        <v>12</v>
      </c>
      <c r="G3733" t="s">
        <v>682</v>
      </c>
      <c r="H3733">
        <v>5</v>
      </c>
      <c r="I3733">
        <f t="shared" si="60"/>
        <v>7</v>
      </c>
    </row>
    <row r="3734" spans="1:9">
      <c r="A3734" s="1">
        <v>42513.906944444447</v>
      </c>
      <c r="B3734" s="19">
        <v>42755</v>
      </c>
      <c r="C3734" s="21">
        <v>0.71250000000000002</v>
      </c>
      <c r="D3734" s="20" t="s">
        <v>3044</v>
      </c>
      <c r="E3734" t="s">
        <v>6</v>
      </c>
      <c r="F3734" t="s">
        <v>7</v>
      </c>
      <c r="G3734" t="s">
        <v>683</v>
      </c>
      <c r="H3734">
        <v>19</v>
      </c>
      <c r="I3734">
        <f t="shared" si="60"/>
        <v>24</v>
      </c>
    </row>
    <row r="3735" spans="1:9">
      <c r="A3735" s="1">
        <v>42513.826388888891</v>
      </c>
      <c r="B3735" s="19">
        <v>42755</v>
      </c>
      <c r="C3735" s="21">
        <v>0.67569444444444449</v>
      </c>
      <c r="D3735" s="20" t="s">
        <v>3043</v>
      </c>
      <c r="E3735" t="s">
        <v>2</v>
      </c>
      <c r="F3735" t="s">
        <v>5</v>
      </c>
      <c r="H3735">
        <v>65</v>
      </c>
      <c r="I3735">
        <f t="shared" si="60"/>
        <v>81</v>
      </c>
    </row>
    <row r="3736" spans="1:9">
      <c r="A3736" s="1">
        <v>42513.69027777778</v>
      </c>
      <c r="B3736" s="19">
        <v>42755</v>
      </c>
      <c r="C3736" s="21">
        <v>0.61736111111111114</v>
      </c>
      <c r="D3736" s="20" t="s">
        <v>3040</v>
      </c>
      <c r="E3736" t="s">
        <v>2</v>
      </c>
      <c r="G3736" t="s">
        <v>684</v>
      </c>
      <c r="H3736" t="e">
        <v>#VALUE!</v>
      </c>
      <c r="I3736" t="e">
        <f t="shared" si="60"/>
        <v>#VALUE!</v>
      </c>
    </row>
    <row r="3737" spans="1:9">
      <c r="A3737" s="1">
        <v>42513.659722222219</v>
      </c>
      <c r="B3737" s="19">
        <v>42755</v>
      </c>
      <c r="C3737" s="21">
        <v>0.39444444444444443</v>
      </c>
      <c r="D3737" s="20" t="s">
        <v>3035</v>
      </c>
      <c r="E3737" t="s">
        <v>2</v>
      </c>
      <c r="G3737" t="s">
        <v>686</v>
      </c>
      <c r="H3737">
        <v>13</v>
      </c>
      <c r="I3737">
        <f t="shared" si="60"/>
        <v>17</v>
      </c>
    </row>
    <row r="3738" spans="1:9">
      <c r="A3738" s="1">
        <v>42513.644444444442</v>
      </c>
      <c r="B3738" s="19">
        <v>42755</v>
      </c>
      <c r="C3738" s="21">
        <v>0.38541666666666669</v>
      </c>
      <c r="D3738" s="20" t="s">
        <v>3035</v>
      </c>
      <c r="E3738" t="s">
        <v>6</v>
      </c>
      <c r="F3738" t="s">
        <v>15</v>
      </c>
      <c r="G3738" t="s">
        <v>687</v>
      </c>
      <c r="H3738">
        <v>10</v>
      </c>
      <c r="I3738">
        <f t="shared" si="60"/>
        <v>13</v>
      </c>
    </row>
    <row r="3739" spans="1:9">
      <c r="A3739" s="1">
        <v>42513.636111111111</v>
      </c>
      <c r="B3739" s="19">
        <v>42755</v>
      </c>
      <c r="C3739" s="21">
        <v>0.37569444444444444</v>
      </c>
      <c r="D3739" s="20" t="s">
        <v>3035</v>
      </c>
      <c r="E3739" t="s">
        <v>6</v>
      </c>
      <c r="F3739" t="s">
        <v>21</v>
      </c>
      <c r="G3739" t="s">
        <v>688</v>
      </c>
      <c r="H3739">
        <v>34</v>
      </c>
      <c r="I3739">
        <f t="shared" si="60"/>
        <v>43</v>
      </c>
    </row>
    <row r="3740" spans="1:9">
      <c r="A3740" s="1">
        <v>42513.626388888886</v>
      </c>
      <c r="B3740" s="19">
        <v>42755</v>
      </c>
      <c r="C3740" s="21">
        <v>0.3576388888888889</v>
      </c>
      <c r="D3740" s="20" t="s">
        <v>3034</v>
      </c>
      <c r="E3740" t="s">
        <v>2</v>
      </c>
      <c r="F3740" t="s">
        <v>56</v>
      </c>
      <c r="G3740" t="s">
        <v>689</v>
      </c>
      <c r="H3740">
        <v>56</v>
      </c>
      <c r="I3740">
        <f t="shared" si="60"/>
        <v>70</v>
      </c>
    </row>
    <row r="3741" spans="1:9">
      <c r="A3741" s="1">
        <v>42513.59097222222</v>
      </c>
      <c r="B3741" s="19">
        <v>42755</v>
      </c>
      <c r="C3741" s="21">
        <v>0.3034722222222222</v>
      </c>
      <c r="D3741" s="20" t="s">
        <v>3033</v>
      </c>
      <c r="E3741" t="s">
        <v>6</v>
      </c>
      <c r="F3741" t="s">
        <v>21</v>
      </c>
      <c r="G3741" t="s">
        <v>691</v>
      </c>
      <c r="H3741" t="e">
        <v>#VALUE!</v>
      </c>
      <c r="I3741" t="e">
        <f t="shared" si="60"/>
        <v>#VALUE!</v>
      </c>
    </row>
    <row r="3742" spans="1:9">
      <c r="A3742" s="1">
        <v>42513.293055555558</v>
      </c>
      <c r="B3742" s="19">
        <v>42755</v>
      </c>
      <c r="C3742" s="21">
        <v>0.26944444444444443</v>
      </c>
      <c r="D3742" s="20" t="s">
        <v>3031</v>
      </c>
      <c r="E3742" t="s">
        <v>6</v>
      </c>
      <c r="F3742" t="s">
        <v>46</v>
      </c>
      <c r="G3742" t="s">
        <v>692</v>
      </c>
      <c r="H3742" t="e">
        <v>#VALUE!</v>
      </c>
      <c r="I3742" t="e">
        <f t="shared" si="60"/>
        <v>#VALUE!</v>
      </c>
    </row>
    <row r="3743" spans="1:9">
      <c r="A3743" s="1">
        <v>42513.90347222222</v>
      </c>
      <c r="B3743" s="19">
        <v>42755</v>
      </c>
      <c r="C3743" s="21">
        <v>0.1673611111111111</v>
      </c>
      <c r="D3743" s="20" t="s">
        <v>3054</v>
      </c>
      <c r="E3743" t="s">
        <v>2</v>
      </c>
      <c r="F3743" t="s">
        <v>3</v>
      </c>
      <c r="G3743" t="s">
        <v>693</v>
      </c>
      <c r="H3743">
        <v>0</v>
      </c>
      <c r="I3743">
        <f t="shared" si="60"/>
        <v>0</v>
      </c>
    </row>
    <row r="3744" spans="1:9">
      <c r="A3744" s="1">
        <v>42513.890972222223</v>
      </c>
      <c r="B3744" s="19">
        <v>42755</v>
      </c>
      <c r="C3744" s="21">
        <v>8.6805555555555552E-2</v>
      </c>
      <c r="D3744" s="20" t="s">
        <v>3052</v>
      </c>
      <c r="E3744" t="s">
        <v>2</v>
      </c>
      <c r="F3744" t="s">
        <v>56</v>
      </c>
      <c r="G3744" t="s">
        <v>609</v>
      </c>
      <c r="H3744">
        <v>38</v>
      </c>
      <c r="I3744">
        <f t="shared" si="60"/>
        <v>48</v>
      </c>
    </row>
    <row r="3745" spans="1:9">
      <c r="A3745" s="1">
        <v>42513.88958333333</v>
      </c>
      <c r="B3745" s="19">
        <v>42755</v>
      </c>
      <c r="C3745" s="21">
        <v>0.92013888888888884</v>
      </c>
      <c r="D3745" s="20" t="s">
        <v>3049</v>
      </c>
      <c r="E3745" t="s">
        <v>0</v>
      </c>
      <c r="G3745" t="s">
        <v>9</v>
      </c>
      <c r="H3745">
        <v>13</v>
      </c>
      <c r="I3745">
        <f t="shared" si="60"/>
        <v>17</v>
      </c>
    </row>
    <row r="3746" spans="1:9">
      <c r="A3746" s="1">
        <v>42513.873611111114</v>
      </c>
      <c r="B3746" s="19">
        <v>42755</v>
      </c>
      <c r="C3746" s="21">
        <v>0.92013888888888884</v>
      </c>
      <c r="D3746" s="20" t="s">
        <v>3049</v>
      </c>
      <c r="E3746" t="s">
        <v>0</v>
      </c>
      <c r="G3746" t="s">
        <v>679</v>
      </c>
      <c r="H3746" t="e">
        <v>#VALUE!</v>
      </c>
      <c r="I3746" t="e">
        <f t="shared" si="60"/>
        <v>#VALUE!</v>
      </c>
    </row>
    <row r="3747" spans="1:9">
      <c r="A3747" s="1">
        <v>42513.644444444442</v>
      </c>
      <c r="B3747" s="19">
        <v>42755</v>
      </c>
      <c r="C3747" s="21">
        <v>0.90625</v>
      </c>
      <c r="D3747" s="20" t="s">
        <v>3048</v>
      </c>
      <c r="E3747" t="s">
        <v>0</v>
      </c>
      <c r="F3747" t="s">
        <v>10</v>
      </c>
      <c r="G3747" t="s">
        <v>680</v>
      </c>
      <c r="H3747">
        <v>13</v>
      </c>
      <c r="I3747">
        <f t="shared" si="60"/>
        <v>17</v>
      </c>
    </row>
    <row r="3748" spans="1:9">
      <c r="A3748" s="1">
        <v>42513.620833333334</v>
      </c>
      <c r="B3748" s="19">
        <v>42755</v>
      </c>
      <c r="C3748" s="21">
        <v>0.58333333333333337</v>
      </c>
      <c r="D3748" s="20" t="s">
        <v>3040</v>
      </c>
      <c r="E3748" t="s">
        <v>0</v>
      </c>
      <c r="G3748" t="s">
        <v>567</v>
      </c>
      <c r="H3748">
        <v>13</v>
      </c>
      <c r="I3748">
        <f t="shared" si="60"/>
        <v>17</v>
      </c>
    </row>
    <row r="3749" spans="1:9">
      <c r="A3749" s="1">
        <v>42513.615972222222</v>
      </c>
      <c r="B3749" s="19">
        <v>42755</v>
      </c>
      <c r="C3749" s="21">
        <v>0.58263888888888893</v>
      </c>
      <c r="D3749" s="20" t="s">
        <v>3039</v>
      </c>
      <c r="E3749" t="s">
        <v>0</v>
      </c>
      <c r="F3749" t="s">
        <v>10</v>
      </c>
      <c r="G3749" t="s">
        <v>255</v>
      </c>
      <c r="H3749">
        <v>13</v>
      </c>
      <c r="I3749">
        <f t="shared" si="60"/>
        <v>17</v>
      </c>
    </row>
    <row r="3750" spans="1:9">
      <c r="A3750" s="1">
        <v>42513.598611111112</v>
      </c>
      <c r="B3750" s="19">
        <v>42755</v>
      </c>
      <c r="C3750" s="21">
        <v>0.41875000000000001</v>
      </c>
      <c r="D3750" s="20" t="s">
        <v>3036</v>
      </c>
      <c r="E3750" t="s">
        <v>33</v>
      </c>
      <c r="G3750" t="s">
        <v>685</v>
      </c>
      <c r="H3750" t="e">
        <v>#VALUE!</v>
      </c>
      <c r="I3750" t="e">
        <f t="shared" si="60"/>
        <v>#VALUE!</v>
      </c>
    </row>
    <row r="3751" spans="1:9">
      <c r="A3751" s="1">
        <v>42513.57916666667</v>
      </c>
      <c r="B3751" s="19">
        <v>42755</v>
      </c>
      <c r="C3751" s="21">
        <v>0.30902777777777779</v>
      </c>
      <c r="D3751" s="20" t="s">
        <v>3033</v>
      </c>
      <c r="E3751" t="s">
        <v>0</v>
      </c>
      <c r="G3751" t="s">
        <v>690</v>
      </c>
      <c r="H3751" t="e">
        <v>#VALUE!</v>
      </c>
      <c r="I3751" t="e">
        <f t="shared" si="60"/>
        <v>#VALUE!</v>
      </c>
    </row>
    <row r="3752" spans="1:9">
      <c r="A3752" s="1">
        <v>42513.343055555553</v>
      </c>
      <c r="B3752" s="19">
        <v>42756</v>
      </c>
      <c r="C3752" s="21">
        <v>0.18263888888888888</v>
      </c>
      <c r="D3752" s="20" t="s">
        <v>3054</v>
      </c>
      <c r="E3752" t="s">
        <v>6</v>
      </c>
      <c r="F3752" t="s">
        <v>46</v>
      </c>
      <c r="G3752" t="s">
        <v>677</v>
      </c>
      <c r="H3752" t="e">
        <v>#VALUE!</v>
      </c>
      <c r="I3752" t="e">
        <f t="shared" si="60"/>
        <v>#VALUE!</v>
      </c>
    </row>
    <row r="3753" spans="1:9">
      <c r="A3753" s="1">
        <v>42511.125694444447</v>
      </c>
      <c r="B3753" s="19">
        <v>42756</v>
      </c>
      <c r="C3753" s="21">
        <v>2.7083333333333334E-2</v>
      </c>
      <c r="D3753" s="20" t="s">
        <v>3050</v>
      </c>
      <c r="E3753" t="s">
        <v>0</v>
      </c>
      <c r="G3753" t="s">
        <v>678</v>
      </c>
      <c r="H3753" t="e">
        <v>#VALUE!</v>
      </c>
      <c r="I3753" t="e">
        <f t="shared" si="60"/>
        <v>#VALUE!</v>
      </c>
    </row>
    <row r="3754" spans="1:9">
      <c r="A3754" s="1">
        <v>42511.038888888892</v>
      </c>
      <c r="B3754" s="19">
        <v>42758</v>
      </c>
      <c r="C3754" s="21">
        <v>0.56736111111111109</v>
      </c>
      <c r="D3754" s="20" t="s">
        <v>3039</v>
      </c>
      <c r="E3754" t="s">
        <v>6</v>
      </c>
      <c r="F3754" t="s">
        <v>15</v>
      </c>
      <c r="G3754" t="s">
        <v>580</v>
      </c>
      <c r="H3754">
        <v>18</v>
      </c>
      <c r="I3754">
        <f t="shared" si="60"/>
        <v>23</v>
      </c>
    </row>
    <row r="3755" spans="1:9">
      <c r="A3755" s="1">
        <v>42511.012499999997</v>
      </c>
      <c r="B3755" s="19">
        <v>42758</v>
      </c>
      <c r="C3755" s="21">
        <v>0.46250000000000002</v>
      </c>
      <c r="D3755" s="20" t="s">
        <v>3037</v>
      </c>
      <c r="E3755" t="s">
        <v>2</v>
      </c>
      <c r="F3755" t="s">
        <v>5</v>
      </c>
      <c r="H3755" t="e">
        <v>#VALUE!</v>
      </c>
      <c r="I3755" t="e">
        <f t="shared" si="60"/>
        <v>#VALUE!</v>
      </c>
    </row>
    <row r="3756" spans="1:9">
      <c r="A3756" s="1">
        <v>42511.254166666666</v>
      </c>
      <c r="B3756" s="19">
        <v>42758</v>
      </c>
      <c r="C3756" s="21">
        <v>0.42569444444444443</v>
      </c>
      <c r="D3756" s="20" t="s">
        <v>3036</v>
      </c>
      <c r="E3756" t="s">
        <v>6</v>
      </c>
      <c r="F3756" t="s">
        <v>21</v>
      </c>
      <c r="G3756" t="s">
        <v>672</v>
      </c>
      <c r="H3756" t="e">
        <v>#VALUE!</v>
      </c>
      <c r="I3756" t="e">
        <f t="shared" si="60"/>
        <v>#VALUE!</v>
      </c>
    </row>
    <row r="3757" spans="1:9">
      <c r="A3757" s="1">
        <v>42511.240277777775</v>
      </c>
      <c r="B3757" s="19">
        <v>42758</v>
      </c>
      <c r="C3757" s="21">
        <v>0.39166666666666666</v>
      </c>
      <c r="D3757" s="20" t="s">
        <v>3035</v>
      </c>
      <c r="E3757" t="s">
        <v>6</v>
      </c>
      <c r="F3757" t="s">
        <v>21</v>
      </c>
      <c r="G3757" t="s">
        <v>673</v>
      </c>
      <c r="H3757">
        <v>61</v>
      </c>
      <c r="I3757">
        <f t="shared" si="60"/>
        <v>76</v>
      </c>
    </row>
    <row r="3758" spans="1:9">
      <c r="A3758" s="1">
        <v>42510.836805555555</v>
      </c>
      <c r="B3758" s="19">
        <v>42758</v>
      </c>
      <c r="C3758" s="21">
        <v>0.32847222222222222</v>
      </c>
      <c r="D3758" s="20" t="s">
        <v>3033</v>
      </c>
      <c r="E3758" t="s">
        <v>2</v>
      </c>
      <c r="F3758" t="s">
        <v>5</v>
      </c>
      <c r="H3758">
        <v>25</v>
      </c>
      <c r="I3758">
        <f t="shared" si="60"/>
        <v>31</v>
      </c>
    </row>
    <row r="3759" spans="1:9">
      <c r="A3759" s="1">
        <v>42510.658333333333</v>
      </c>
      <c r="B3759" s="19">
        <v>42758</v>
      </c>
      <c r="C3759" s="21">
        <v>0.31458333333333333</v>
      </c>
      <c r="D3759" s="20" t="s">
        <v>3033</v>
      </c>
      <c r="E3759" t="s">
        <v>6</v>
      </c>
      <c r="F3759" t="s">
        <v>7</v>
      </c>
      <c r="G3759" t="s">
        <v>674</v>
      </c>
      <c r="H3759">
        <v>25</v>
      </c>
      <c r="I3759">
        <f t="shared" si="60"/>
        <v>31</v>
      </c>
    </row>
    <row r="3760" spans="1:9">
      <c r="A3760" s="1">
        <v>42510.587500000001</v>
      </c>
      <c r="B3760" s="19">
        <v>42758</v>
      </c>
      <c r="C3760" s="21">
        <v>0.91111111111111109</v>
      </c>
      <c r="D3760" s="20" t="s">
        <v>3048</v>
      </c>
      <c r="E3760" t="s">
        <v>33</v>
      </c>
      <c r="F3760" t="s">
        <v>44</v>
      </c>
      <c r="G3760" t="s">
        <v>669</v>
      </c>
      <c r="H3760">
        <v>9</v>
      </c>
      <c r="I3760">
        <f t="shared" si="60"/>
        <v>12</v>
      </c>
    </row>
    <row r="3761" spans="1:9">
      <c r="A3761" s="1">
        <v>42510.57916666667</v>
      </c>
      <c r="B3761" s="19">
        <v>42758</v>
      </c>
      <c r="C3761" s="21">
        <v>0.87569444444444444</v>
      </c>
      <c r="D3761" s="20" t="s">
        <v>3048</v>
      </c>
      <c r="E3761" t="s">
        <v>33</v>
      </c>
      <c r="F3761" t="s">
        <v>44</v>
      </c>
      <c r="G3761" t="s">
        <v>670</v>
      </c>
      <c r="H3761">
        <v>7</v>
      </c>
      <c r="I3761">
        <f t="shared" si="60"/>
        <v>9</v>
      </c>
    </row>
    <row r="3762" spans="1:9">
      <c r="A3762" s="1">
        <v>42510.533333333333</v>
      </c>
      <c r="B3762" s="19">
        <v>42758</v>
      </c>
      <c r="C3762" s="21">
        <v>0.83680555555555558</v>
      </c>
      <c r="D3762" s="20" t="s">
        <v>3047</v>
      </c>
      <c r="E3762" t="s">
        <v>33</v>
      </c>
      <c r="F3762" t="s">
        <v>44</v>
      </c>
      <c r="G3762" t="s">
        <v>671</v>
      </c>
      <c r="H3762">
        <v>13</v>
      </c>
      <c r="I3762">
        <f t="shared" si="60"/>
        <v>17</v>
      </c>
    </row>
    <row r="3763" spans="1:9">
      <c r="A3763" s="1">
        <v>42510.222916666666</v>
      </c>
      <c r="B3763" s="19">
        <v>42758</v>
      </c>
      <c r="C3763" s="21">
        <v>0.58819444444444446</v>
      </c>
      <c r="D3763" s="20" t="s">
        <v>3040</v>
      </c>
      <c r="E3763" t="s">
        <v>0</v>
      </c>
      <c r="G3763" t="s">
        <v>9</v>
      </c>
      <c r="H3763">
        <v>13</v>
      </c>
      <c r="I3763">
        <f t="shared" si="60"/>
        <v>17</v>
      </c>
    </row>
    <row r="3764" spans="1:9">
      <c r="A3764" s="1">
        <v>42510.205555555556</v>
      </c>
      <c r="B3764" s="19">
        <v>42758</v>
      </c>
      <c r="C3764" s="21">
        <v>0.26250000000000001</v>
      </c>
      <c r="D3764" s="20" t="s">
        <v>3031</v>
      </c>
      <c r="E3764" t="s">
        <v>0</v>
      </c>
      <c r="G3764" t="s">
        <v>675</v>
      </c>
      <c r="H3764" t="e">
        <v>#VALUE!</v>
      </c>
      <c r="I3764" t="e">
        <f t="shared" si="60"/>
        <v>#VALUE!</v>
      </c>
    </row>
    <row r="3765" spans="1:9">
      <c r="A3765" s="1">
        <v>42510.197222222225</v>
      </c>
      <c r="B3765" s="19">
        <v>42758</v>
      </c>
      <c r="C3765" s="21">
        <v>0.25069444444444444</v>
      </c>
      <c r="D3765" s="20" t="s">
        <v>3031</v>
      </c>
      <c r="E3765" t="s">
        <v>0</v>
      </c>
      <c r="G3765" t="s">
        <v>676</v>
      </c>
      <c r="H3765">
        <v>44</v>
      </c>
      <c r="I3765">
        <f t="shared" si="60"/>
        <v>55</v>
      </c>
    </row>
    <row r="3766" spans="1:9">
      <c r="A3766" s="1">
        <v>42510.118055555555</v>
      </c>
      <c r="B3766" s="19">
        <v>42759</v>
      </c>
      <c r="C3766" s="21">
        <v>0.91736111111111107</v>
      </c>
      <c r="D3766" s="20" t="s">
        <v>3049</v>
      </c>
      <c r="E3766" t="s">
        <v>6</v>
      </c>
      <c r="F3766" t="s">
        <v>15</v>
      </c>
      <c r="G3766" t="s">
        <v>658</v>
      </c>
      <c r="H3766" t="e">
        <v>#VALUE!</v>
      </c>
      <c r="I3766" t="e">
        <f t="shared" si="60"/>
        <v>#VALUE!</v>
      </c>
    </row>
    <row r="3767" spans="1:9">
      <c r="A3767" s="1">
        <v>42510.106944444444</v>
      </c>
      <c r="B3767" s="19">
        <v>42759</v>
      </c>
      <c r="C3767" s="21">
        <v>0.84652777777777777</v>
      </c>
      <c r="D3767" s="20" t="s">
        <v>3047</v>
      </c>
      <c r="E3767" t="s">
        <v>6</v>
      </c>
      <c r="F3767" t="s">
        <v>15</v>
      </c>
      <c r="G3767" t="s">
        <v>659</v>
      </c>
      <c r="H3767" t="e">
        <v>#VALUE!</v>
      </c>
      <c r="I3767" t="e">
        <f t="shared" si="60"/>
        <v>#VALUE!</v>
      </c>
    </row>
    <row r="3768" spans="1:9">
      <c r="A3768" s="1">
        <v>42510.851388888892</v>
      </c>
      <c r="B3768" s="19">
        <v>42759</v>
      </c>
      <c r="C3768" s="21">
        <v>0.76944444444444449</v>
      </c>
      <c r="D3768" s="20" t="s">
        <v>3045</v>
      </c>
      <c r="E3768" t="s">
        <v>6</v>
      </c>
      <c r="F3768" t="s">
        <v>15</v>
      </c>
      <c r="G3768" t="s">
        <v>661</v>
      </c>
      <c r="H3768" t="e">
        <v>#VALUE!</v>
      </c>
      <c r="I3768" t="e">
        <f t="shared" si="60"/>
        <v>#VALUE!</v>
      </c>
    </row>
    <row r="3769" spans="1:9">
      <c r="A3769" s="1">
        <v>42510.756944444445</v>
      </c>
      <c r="B3769" s="19">
        <v>42759</v>
      </c>
      <c r="C3769" s="21">
        <v>0.67013888888888884</v>
      </c>
      <c r="D3769" s="20" t="s">
        <v>3043</v>
      </c>
      <c r="E3769" t="s">
        <v>2</v>
      </c>
      <c r="F3769" t="s">
        <v>5</v>
      </c>
      <c r="G3769" t="s">
        <v>662</v>
      </c>
      <c r="H3769" t="e">
        <v>#VALUE!</v>
      </c>
      <c r="I3769" t="e">
        <f t="shared" si="60"/>
        <v>#VALUE!</v>
      </c>
    </row>
    <row r="3770" spans="1:9">
      <c r="A3770" s="1">
        <v>42510.693749999999</v>
      </c>
      <c r="B3770" s="19">
        <v>42759</v>
      </c>
      <c r="C3770" s="21">
        <v>0.64375000000000004</v>
      </c>
      <c r="D3770" s="20" t="s">
        <v>3042</v>
      </c>
      <c r="E3770" t="s">
        <v>2</v>
      </c>
      <c r="F3770" t="s">
        <v>48</v>
      </c>
      <c r="G3770" t="s">
        <v>662</v>
      </c>
      <c r="H3770">
        <v>13</v>
      </c>
      <c r="I3770">
        <f t="shared" si="60"/>
        <v>17</v>
      </c>
    </row>
    <row r="3771" spans="1:9">
      <c r="A3771" s="1">
        <v>42510.609027777777</v>
      </c>
      <c r="B3771" s="19">
        <v>42759</v>
      </c>
      <c r="C3771" s="21">
        <v>0.45833333333333331</v>
      </c>
      <c r="D3771" s="20" t="s">
        <v>3037</v>
      </c>
      <c r="E3771" t="s">
        <v>2</v>
      </c>
      <c r="F3771" t="s">
        <v>48</v>
      </c>
      <c r="H3771">
        <v>4</v>
      </c>
      <c r="I3771">
        <f t="shared" si="60"/>
        <v>5</v>
      </c>
    </row>
    <row r="3772" spans="1:9">
      <c r="A3772" s="1">
        <v>42510.529861111114</v>
      </c>
      <c r="B3772" s="19">
        <v>42759</v>
      </c>
      <c r="C3772" s="21">
        <v>0.44791666666666669</v>
      </c>
      <c r="D3772" s="20" t="s">
        <v>3036</v>
      </c>
      <c r="E3772" t="s">
        <v>6</v>
      </c>
      <c r="F3772" t="s">
        <v>12</v>
      </c>
      <c r="G3772" t="s">
        <v>664</v>
      </c>
      <c r="H3772">
        <v>19</v>
      </c>
      <c r="I3772">
        <f t="shared" si="60"/>
        <v>24</v>
      </c>
    </row>
    <row r="3773" spans="1:9">
      <c r="A3773" s="1">
        <v>42510.335416666669</v>
      </c>
      <c r="B3773" s="19">
        <v>42759</v>
      </c>
      <c r="C3773" s="21">
        <v>0.44305555555555554</v>
      </c>
      <c r="D3773" s="20" t="s">
        <v>3036</v>
      </c>
      <c r="E3773" t="s">
        <v>6</v>
      </c>
      <c r="F3773" t="s">
        <v>15</v>
      </c>
      <c r="G3773" t="s">
        <v>665</v>
      </c>
      <c r="H3773">
        <v>13</v>
      </c>
      <c r="I3773">
        <f t="shared" si="60"/>
        <v>17</v>
      </c>
    </row>
    <row r="3774" spans="1:9">
      <c r="A3774" s="1">
        <v>42510.324305555558</v>
      </c>
      <c r="B3774" s="19">
        <v>42759</v>
      </c>
      <c r="C3774" s="21">
        <v>0.37986111111111109</v>
      </c>
      <c r="D3774" s="20" t="s">
        <v>3035</v>
      </c>
      <c r="E3774" t="s">
        <v>6</v>
      </c>
      <c r="F3774" t="s">
        <v>21</v>
      </c>
      <c r="G3774" t="s">
        <v>665</v>
      </c>
      <c r="H3774">
        <v>14</v>
      </c>
      <c r="I3774">
        <f t="shared" si="60"/>
        <v>18</v>
      </c>
    </row>
    <row r="3775" spans="1:9">
      <c r="A3775" s="1">
        <v>42510.316666666666</v>
      </c>
      <c r="B3775" s="19">
        <v>42759</v>
      </c>
      <c r="C3775" s="21">
        <v>0.35902777777777778</v>
      </c>
      <c r="D3775" s="20" t="s">
        <v>3034</v>
      </c>
      <c r="E3775" t="s">
        <v>6</v>
      </c>
      <c r="F3775" t="s">
        <v>15</v>
      </c>
      <c r="G3775" t="s">
        <v>665</v>
      </c>
      <c r="H3775">
        <v>13</v>
      </c>
      <c r="I3775">
        <f t="shared" si="60"/>
        <v>17</v>
      </c>
    </row>
    <row r="3776" spans="1:9">
      <c r="A3776" s="1">
        <v>42510.303472222222</v>
      </c>
      <c r="B3776" s="19">
        <v>42759</v>
      </c>
      <c r="C3776" s="21">
        <v>0.34583333333333333</v>
      </c>
      <c r="D3776" s="20" t="s">
        <v>3034</v>
      </c>
      <c r="E3776" t="s">
        <v>6</v>
      </c>
      <c r="F3776" t="s">
        <v>21</v>
      </c>
      <c r="G3776" t="s">
        <v>665</v>
      </c>
      <c r="H3776">
        <v>13</v>
      </c>
      <c r="I3776">
        <f t="shared" si="60"/>
        <v>17</v>
      </c>
    </row>
    <row r="3777" spans="1:9">
      <c r="A3777" s="1">
        <v>42510.267361111109</v>
      </c>
      <c r="B3777" s="19">
        <v>42759</v>
      </c>
      <c r="C3777" s="21">
        <v>0.3215277777777778</v>
      </c>
      <c r="D3777" s="20" t="s">
        <v>3033</v>
      </c>
      <c r="E3777" t="s">
        <v>6</v>
      </c>
      <c r="F3777" t="s">
        <v>21</v>
      </c>
      <c r="G3777" t="s">
        <v>666</v>
      </c>
      <c r="H3777">
        <v>18</v>
      </c>
      <c r="I3777">
        <f t="shared" si="60"/>
        <v>23</v>
      </c>
    </row>
    <row r="3778" spans="1:9">
      <c r="A3778" s="1">
        <v>42510.25277777778</v>
      </c>
      <c r="B3778" s="19">
        <v>42759</v>
      </c>
      <c r="C3778" s="21">
        <v>0.125</v>
      </c>
      <c r="D3778" s="20" t="s">
        <v>3053</v>
      </c>
      <c r="E3778" t="s">
        <v>6</v>
      </c>
      <c r="F3778" t="s">
        <v>26</v>
      </c>
      <c r="G3778" t="s">
        <v>667</v>
      </c>
      <c r="H3778">
        <v>5</v>
      </c>
      <c r="I3778">
        <f t="shared" si="60"/>
        <v>7</v>
      </c>
    </row>
    <row r="3779" spans="1:9">
      <c r="A3779" s="1">
        <v>42510.167361111111</v>
      </c>
      <c r="B3779" s="19">
        <v>42759</v>
      </c>
      <c r="C3779" s="21">
        <v>6.9444444444444447E-4</v>
      </c>
      <c r="D3779" s="20" t="s">
        <v>3050</v>
      </c>
      <c r="E3779" t="s">
        <v>6</v>
      </c>
      <c r="F3779" t="s">
        <v>26</v>
      </c>
      <c r="G3779" t="s">
        <v>668</v>
      </c>
      <c r="H3779">
        <v>5</v>
      </c>
      <c r="I3779">
        <f t="shared" ref="I3779:I3842" si="61">ROUNDUP((H3779*1.24), 0)</f>
        <v>7</v>
      </c>
    </row>
    <row r="3780" spans="1:9">
      <c r="A3780" s="1">
        <v>42509.716666666667</v>
      </c>
      <c r="B3780" s="19">
        <v>42759</v>
      </c>
      <c r="C3780" s="21">
        <v>0.8979166666666667</v>
      </c>
      <c r="D3780" s="20" t="s">
        <v>3048</v>
      </c>
      <c r="E3780" t="s">
        <v>0</v>
      </c>
      <c r="F3780" t="s">
        <v>10</v>
      </c>
      <c r="G3780" t="s">
        <v>633</v>
      </c>
      <c r="H3780">
        <v>25</v>
      </c>
      <c r="I3780">
        <f t="shared" si="61"/>
        <v>31</v>
      </c>
    </row>
    <row r="3781" spans="1:9">
      <c r="A3781" s="1">
        <v>42509.703472222223</v>
      </c>
      <c r="B3781" s="19">
        <v>42759</v>
      </c>
      <c r="C3781" s="21">
        <v>0.84444444444444444</v>
      </c>
      <c r="D3781" s="20" t="s">
        <v>3047</v>
      </c>
      <c r="E3781" t="s">
        <v>0</v>
      </c>
      <c r="G3781" t="s">
        <v>660</v>
      </c>
      <c r="H3781">
        <v>2</v>
      </c>
      <c r="I3781">
        <f t="shared" si="61"/>
        <v>3</v>
      </c>
    </row>
    <row r="3782" spans="1:9">
      <c r="A3782" s="1">
        <v>42509.673611111109</v>
      </c>
      <c r="B3782" s="19">
        <v>42759</v>
      </c>
      <c r="C3782" s="21">
        <v>0.73124999999999996</v>
      </c>
      <c r="D3782" s="20" t="s">
        <v>3044</v>
      </c>
      <c r="E3782" t="s">
        <v>0</v>
      </c>
      <c r="F3782" t="s">
        <v>1</v>
      </c>
      <c r="H3782">
        <v>19</v>
      </c>
      <c r="I3782">
        <f t="shared" si="61"/>
        <v>24</v>
      </c>
    </row>
    <row r="3783" spans="1:9">
      <c r="A3783" s="1">
        <v>42509.649305555555</v>
      </c>
      <c r="B3783" s="19">
        <v>42759</v>
      </c>
      <c r="C3783" s="21">
        <v>0.58819444444444446</v>
      </c>
      <c r="D3783" s="20" t="s">
        <v>3040</v>
      </c>
      <c r="E3783" t="s">
        <v>0</v>
      </c>
      <c r="G3783" t="s">
        <v>9</v>
      </c>
      <c r="H3783">
        <v>13</v>
      </c>
      <c r="I3783">
        <f t="shared" si="61"/>
        <v>17</v>
      </c>
    </row>
    <row r="3784" spans="1:9">
      <c r="A3784" s="1">
        <v>42509.616666666669</v>
      </c>
      <c r="B3784" s="19">
        <v>42759</v>
      </c>
      <c r="C3784" s="21">
        <v>0.50486111111111109</v>
      </c>
      <c r="D3784" s="20" t="s">
        <v>3038</v>
      </c>
      <c r="E3784" t="s">
        <v>33</v>
      </c>
      <c r="F3784" t="s">
        <v>44</v>
      </c>
      <c r="G3784" t="s">
        <v>663</v>
      </c>
      <c r="H3784" t="e">
        <v>#VALUE!</v>
      </c>
      <c r="I3784" t="e">
        <f t="shared" si="61"/>
        <v>#VALUE!</v>
      </c>
    </row>
    <row r="3785" spans="1:9">
      <c r="A3785" s="1">
        <v>42509.591666666667</v>
      </c>
      <c r="B3785" s="19">
        <v>42759</v>
      </c>
      <c r="C3785" s="21">
        <v>0.25277777777777777</v>
      </c>
      <c r="D3785" s="20" t="s">
        <v>3031</v>
      </c>
      <c r="E3785" t="s">
        <v>0</v>
      </c>
      <c r="G3785" t="s">
        <v>567</v>
      </c>
      <c r="H3785">
        <v>13</v>
      </c>
      <c r="I3785">
        <f t="shared" si="61"/>
        <v>17</v>
      </c>
    </row>
    <row r="3786" spans="1:9">
      <c r="A3786" s="1">
        <v>42509.520833333336</v>
      </c>
      <c r="B3786" s="19">
        <v>42759</v>
      </c>
      <c r="C3786" s="21">
        <v>1.4583333333333334E-2</v>
      </c>
      <c r="D3786" s="20" t="s">
        <v>3050</v>
      </c>
      <c r="E3786" t="s">
        <v>0</v>
      </c>
      <c r="G3786" t="s">
        <v>335</v>
      </c>
      <c r="H3786">
        <v>4</v>
      </c>
      <c r="I3786">
        <f t="shared" si="61"/>
        <v>5</v>
      </c>
    </row>
    <row r="3787" spans="1:9">
      <c r="A3787" s="1">
        <v>42509.515277777777</v>
      </c>
      <c r="B3787" s="19">
        <v>42760</v>
      </c>
      <c r="C3787" s="21">
        <v>0.91874999999999996</v>
      </c>
      <c r="D3787" s="20" t="s">
        <v>3049</v>
      </c>
      <c r="E3787" t="s">
        <v>6</v>
      </c>
      <c r="F3787" t="s">
        <v>15</v>
      </c>
      <c r="G3787" t="s">
        <v>650</v>
      </c>
      <c r="H3787" t="e">
        <v>#VALUE!</v>
      </c>
      <c r="I3787" t="e">
        <f t="shared" si="61"/>
        <v>#VALUE!</v>
      </c>
    </row>
    <row r="3788" spans="1:9">
      <c r="A3788" s="1">
        <v>42509.442361111112</v>
      </c>
      <c r="B3788" s="19">
        <v>42760</v>
      </c>
      <c r="C3788" s="21">
        <v>0.7</v>
      </c>
      <c r="D3788" s="20" t="s">
        <v>3043</v>
      </c>
      <c r="E3788" t="s">
        <v>6</v>
      </c>
      <c r="F3788" t="s">
        <v>15</v>
      </c>
      <c r="G3788" t="s">
        <v>651</v>
      </c>
      <c r="H3788" t="e">
        <v>#VALUE!</v>
      </c>
      <c r="I3788" t="e">
        <f t="shared" si="61"/>
        <v>#VALUE!</v>
      </c>
    </row>
    <row r="3789" spans="1:9">
      <c r="A3789" s="1">
        <v>42509.349305555559</v>
      </c>
      <c r="B3789" s="19">
        <v>42760</v>
      </c>
      <c r="C3789" s="21">
        <v>0.6875</v>
      </c>
      <c r="D3789" s="20" t="s">
        <v>3043</v>
      </c>
      <c r="E3789" t="s">
        <v>2</v>
      </c>
      <c r="F3789" t="s">
        <v>48</v>
      </c>
      <c r="G3789" t="s">
        <v>652</v>
      </c>
      <c r="H3789">
        <v>25</v>
      </c>
      <c r="I3789">
        <f t="shared" si="61"/>
        <v>31</v>
      </c>
    </row>
    <row r="3790" spans="1:9">
      <c r="A3790" s="1">
        <v>42509.328472222223</v>
      </c>
      <c r="B3790" s="19">
        <v>42760</v>
      </c>
      <c r="C3790" s="21">
        <v>0.64722222222222225</v>
      </c>
      <c r="D3790" s="20" t="s">
        <v>3042</v>
      </c>
      <c r="E3790" t="s">
        <v>2</v>
      </c>
      <c r="F3790" t="s">
        <v>3</v>
      </c>
      <c r="G3790" t="s">
        <v>551</v>
      </c>
      <c r="H3790">
        <v>25</v>
      </c>
      <c r="I3790">
        <f t="shared" si="61"/>
        <v>31</v>
      </c>
    </row>
    <row r="3791" spans="1:9">
      <c r="A3791" s="1">
        <v>42509.245833333334</v>
      </c>
      <c r="B3791" s="19">
        <v>42760</v>
      </c>
      <c r="C3791" s="21">
        <v>0.58263888888888893</v>
      </c>
      <c r="D3791" s="20" t="s">
        <v>3039</v>
      </c>
      <c r="E3791" t="s">
        <v>2</v>
      </c>
      <c r="F3791" t="s">
        <v>5</v>
      </c>
      <c r="G3791" t="s">
        <v>652</v>
      </c>
      <c r="H3791">
        <v>75</v>
      </c>
      <c r="I3791">
        <f t="shared" si="61"/>
        <v>93</v>
      </c>
    </row>
    <row r="3792" spans="1:9">
      <c r="A3792" s="1">
        <v>42509.243055555555</v>
      </c>
      <c r="B3792" s="19">
        <v>42760</v>
      </c>
      <c r="C3792" s="21">
        <v>0.36875000000000002</v>
      </c>
      <c r="D3792" s="20" t="s">
        <v>3034</v>
      </c>
      <c r="E3792" t="s">
        <v>2</v>
      </c>
      <c r="F3792" t="s">
        <v>48</v>
      </c>
      <c r="G3792" t="s">
        <v>654</v>
      </c>
      <c r="H3792" t="e">
        <v>#VALUE!</v>
      </c>
      <c r="I3792" t="e">
        <f t="shared" si="61"/>
        <v>#VALUE!</v>
      </c>
    </row>
    <row r="3793" spans="1:9">
      <c r="A3793" s="1">
        <v>42509.239583333336</v>
      </c>
      <c r="B3793" s="19">
        <v>42760</v>
      </c>
      <c r="C3793" s="21">
        <v>0.36458333333333331</v>
      </c>
      <c r="D3793" s="20" t="s">
        <v>3034</v>
      </c>
      <c r="E3793" t="s">
        <v>6</v>
      </c>
      <c r="F3793" t="s">
        <v>26</v>
      </c>
      <c r="G3793" t="s">
        <v>655</v>
      </c>
      <c r="H3793">
        <v>8</v>
      </c>
      <c r="I3793">
        <f t="shared" si="61"/>
        <v>10</v>
      </c>
    </row>
    <row r="3794" spans="1:9">
      <c r="A3794" s="1">
        <v>42509.234722222223</v>
      </c>
      <c r="B3794" s="19">
        <v>42760</v>
      </c>
      <c r="C3794" s="21">
        <v>0.25486111111111109</v>
      </c>
      <c r="D3794" s="20" t="s">
        <v>3031</v>
      </c>
      <c r="E3794" t="s">
        <v>6</v>
      </c>
      <c r="F3794" t="s">
        <v>15</v>
      </c>
      <c r="G3794" t="s">
        <v>657</v>
      </c>
      <c r="H3794" t="e">
        <v>#VALUE!</v>
      </c>
      <c r="I3794" t="e">
        <f t="shared" si="61"/>
        <v>#VALUE!</v>
      </c>
    </row>
    <row r="3795" spans="1:9">
      <c r="A3795" s="1">
        <v>42509.132638888892</v>
      </c>
      <c r="B3795" s="19">
        <v>42760</v>
      </c>
      <c r="C3795" s="21">
        <v>4.3749999999999997E-2</v>
      </c>
      <c r="D3795" s="20" t="s">
        <v>3051</v>
      </c>
      <c r="E3795" t="s">
        <v>2</v>
      </c>
      <c r="F3795" t="s">
        <v>5</v>
      </c>
      <c r="G3795" t="s">
        <v>86</v>
      </c>
      <c r="H3795" t="e">
        <v>#VALUE!</v>
      </c>
      <c r="I3795" t="e">
        <f t="shared" si="61"/>
        <v>#VALUE!</v>
      </c>
    </row>
    <row r="3796" spans="1:9">
      <c r="A3796" s="1">
        <v>42509.113194444442</v>
      </c>
      <c r="B3796" s="19">
        <v>42760</v>
      </c>
      <c r="C3796" s="21">
        <v>0.90277777777777779</v>
      </c>
      <c r="D3796" s="20" t="s">
        <v>3048</v>
      </c>
      <c r="E3796" t="s">
        <v>0</v>
      </c>
      <c r="F3796" t="s">
        <v>10</v>
      </c>
      <c r="G3796" t="s">
        <v>633</v>
      </c>
      <c r="H3796">
        <v>25</v>
      </c>
      <c r="I3796">
        <f t="shared" si="61"/>
        <v>31</v>
      </c>
    </row>
    <row r="3797" spans="1:9">
      <c r="A3797" s="1">
        <v>42509.106249999997</v>
      </c>
      <c r="B3797" s="19">
        <v>42760</v>
      </c>
      <c r="C3797" s="21">
        <v>0.63958333333333328</v>
      </c>
      <c r="D3797" s="20" t="s">
        <v>3042</v>
      </c>
      <c r="E3797" t="s">
        <v>33</v>
      </c>
      <c r="F3797" t="s">
        <v>44</v>
      </c>
      <c r="G3797" t="s">
        <v>653</v>
      </c>
      <c r="H3797">
        <v>13</v>
      </c>
      <c r="I3797">
        <f t="shared" si="61"/>
        <v>17</v>
      </c>
    </row>
    <row r="3798" spans="1:9">
      <c r="A3798" s="1">
        <v>42509.041666666664</v>
      </c>
      <c r="B3798" s="19">
        <v>42760</v>
      </c>
      <c r="C3798" s="21">
        <v>0.25555555555555554</v>
      </c>
      <c r="D3798" s="20" t="s">
        <v>3031</v>
      </c>
      <c r="E3798" t="s">
        <v>0</v>
      </c>
      <c r="G3798" t="s">
        <v>656</v>
      </c>
      <c r="H3798">
        <v>13</v>
      </c>
      <c r="I3798">
        <f t="shared" si="61"/>
        <v>17</v>
      </c>
    </row>
    <row r="3799" spans="1:9">
      <c r="A3799" s="1">
        <v>42509.806250000001</v>
      </c>
      <c r="B3799" s="19">
        <v>42760</v>
      </c>
      <c r="C3799" s="21">
        <v>0.24513888888888888</v>
      </c>
      <c r="D3799" s="20" t="s">
        <v>3055</v>
      </c>
      <c r="E3799" t="s">
        <v>0</v>
      </c>
      <c r="F3799" t="s">
        <v>10</v>
      </c>
      <c r="G3799" t="s">
        <v>145</v>
      </c>
      <c r="H3799">
        <v>13</v>
      </c>
      <c r="I3799">
        <f t="shared" si="61"/>
        <v>17</v>
      </c>
    </row>
    <row r="3800" spans="1:9">
      <c r="A3800" s="1">
        <v>42509.75</v>
      </c>
      <c r="B3800" s="19">
        <v>42761</v>
      </c>
      <c r="C3800" s="21">
        <v>0.9194444444444444</v>
      </c>
      <c r="D3800" s="20" t="s">
        <v>3049</v>
      </c>
      <c r="E3800" t="s">
        <v>6</v>
      </c>
      <c r="F3800" t="s">
        <v>15</v>
      </c>
      <c r="G3800" t="s">
        <v>638</v>
      </c>
      <c r="H3800" t="e">
        <v>#VALUE!</v>
      </c>
      <c r="I3800" t="e">
        <f t="shared" si="61"/>
        <v>#VALUE!</v>
      </c>
    </row>
    <row r="3801" spans="1:9">
      <c r="A3801" s="1">
        <v>42509.685416666667</v>
      </c>
      <c r="B3801" s="19">
        <v>42761</v>
      </c>
      <c r="C3801" s="21">
        <v>0.64027777777777772</v>
      </c>
      <c r="D3801" s="20" t="s">
        <v>3042</v>
      </c>
      <c r="E3801" t="s">
        <v>2</v>
      </c>
      <c r="F3801" t="s">
        <v>48</v>
      </c>
      <c r="G3801" t="s">
        <v>640</v>
      </c>
      <c r="H3801">
        <v>75</v>
      </c>
      <c r="I3801">
        <f t="shared" si="61"/>
        <v>93</v>
      </c>
    </row>
    <row r="3802" spans="1:9">
      <c r="A3802" s="1">
        <v>42509.585416666669</v>
      </c>
      <c r="B3802" s="19">
        <v>42761</v>
      </c>
      <c r="C3802" s="21">
        <v>0.56597222222222221</v>
      </c>
      <c r="D3802" s="20" t="s">
        <v>3039</v>
      </c>
      <c r="E3802" t="s">
        <v>6</v>
      </c>
      <c r="F3802" t="s">
        <v>15</v>
      </c>
      <c r="G3802" t="s">
        <v>642</v>
      </c>
      <c r="H3802">
        <v>31</v>
      </c>
      <c r="I3802">
        <f t="shared" si="61"/>
        <v>39</v>
      </c>
    </row>
    <row r="3803" spans="1:9">
      <c r="A3803" s="1">
        <v>42509.564583333333</v>
      </c>
      <c r="B3803" s="19">
        <v>42761</v>
      </c>
      <c r="C3803" s="21">
        <v>0.48333333333333334</v>
      </c>
      <c r="D3803" s="20" t="s">
        <v>3037</v>
      </c>
      <c r="E3803" t="s">
        <v>2</v>
      </c>
      <c r="F3803" t="s">
        <v>5</v>
      </c>
      <c r="G3803" t="s">
        <v>643</v>
      </c>
      <c r="H3803" t="e">
        <v>#VALUE!</v>
      </c>
      <c r="I3803" t="e">
        <f t="shared" si="61"/>
        <v>#VALUE!</v>
      </c>
    </row>
    <row r="3804" spans="1:9">
      <c r="A3804" s="1">
        <v>42509.495138888888</v>
      </c>
      <c r="B3804" s="19">
        <v>42761</v>
      </c>
      <c r="C3804" s="21">
        <v>0.47847222222222224</v>
      </c>
      <c r="D3804" s="20" t="s">
        <v>3037</v>
      </c>
      <c r="E3804" t="s">
        <v>6</v>
      </c>
      <c r="F3804" t="s">
        <v>15</v>
      </c>
      <c r="G3804" t="s">
        <v>644</v>
      </c>
      <c r="H3804">
        <v>9</v>
      </c>
      <c r="I3804">
        <f t="shared" si="61"/>
        <v>12</v>
      </c>
    </row>
    <row r="3805" spans="1:9">
      <c r="A3805" s="1">
        <v>42509.438194444447</v>
      </c>
      <c r="B3805" s="19">
        <v>42761</v>
      </c>
      <c r="C3805" s="21">
        <v>0.44166666666666665</v>
      </c>
      <c r="D3805" s="20" t="s">
        <v>3036</v>
      </c>
      <c r="E3805" t="s">
        <v>6</v>
      </c>
      <c r="F3805" t="s">
        <v>21</v>
      </c>
      <c r="G3805" t="s">
        <v>645</v>
      </c>
      <c r="H3805">
        <v>20</v>
      </c>
      <c r="I3805">
        <f t="shared" si="61"/>
        <v>25</v>
      </c>
    </row>
    <row r="3806" spans="1:9">
      <c r="A3806" s="1">
        <v>42509.431944444441</v>
      </c>
      <c r="B3806" s="19">
        <v>42761</v>
      </c>
      <c r="C3806" s="21">
        <v>0.39583333333333331</v>
      </c>
      <c r="D3806" s="20" t="s">
        <v>3035</v>
      </c>
      <c r="E3806" t="s">
        <v>6</v>
      </c>
      <c r="F3806" t="s">
        <v>76</v>
      </c>
      <c r="G3806" t="s">
        <v>65</v>
      </c>
      <c r="H3806">
        <v>7</v>
      </c>
      <c r="I3806">
        <f t="shared" si="61"/>
        <v>9</v>
      </c>
    </row>
    <row r="3807" spans="1:9">
      <c r="A3807" s="1">
        <v>42509.222916666666</v>
      </c>
      <c r="B3807" s="19">
        <v>42761</v>
      </c>
      <c r="C3807" s="21">
        <v>0.33819444444444446</v>
      </c>
      <c r="D3807" s="20" t="s">
        <v>3034</v>
      </c>
      <c r="E3807" t="s">
        <v>6</v>
      </c>
      <c r="F3807" t="s">
        <v>15</v>
      </c>
      <c r="G3807" t="s">
        <v>646</v>
      </c>
      <c r="H3807">
        <v>19</v>
      </c>
      <c r="I3807">
        <f t="shared" si="61"/>
        <v>24</v>
      </c>
    </row>
    <row r="3808" spans="1:9">
      <c r="A3808" s="1">
        <v>42509.145833333336</v>
      </c>
      <c r="B3808" s="19">
        <v>42761</v>
      </c>
      <c r="C3808" s="21">
        <v>0.25277777777777777</v>
      </c>
      <c r="D3808" s="20" t="s">
        <v>3031</v>
      </c>
      <c r="E3808" t="s">
        <v>6</v>
      </c>
      <c r="F3808" t="s">
        <v>15</v>
      </c>
      <c r="G3808" t="s">
        <v>649</v>
      </c>
      <c r="H3808">
        <v>56</v>
      </c>
      <c r="I3808">
        <f t="shared" si="61"/>
        <v>70</v>
      </c>
    </row>
    <row r="3809" spans="1:9">
      <c r="A3809" s="1">
        <v>42509.102777777778</v>
      </c>
      <c r="B3809" s="19">
        <v>42761</v>
      </c>
      <c r="C3809" s="21">
        <v>0.89513888888888893</v>
      </c>
      <c r="D3809" s="20" t="s">
        <v>3048</v>
      </c>
      <c r="E3809" t="s">
        <v>0</v>
      </c>
      <c r="F3809" t="s">
        <v>10</v>
      </c>
      <c r="G3809" t="s">
        <v>633</v>
      </c>
      <c r="H3809">
        <v>25</v>
      </c>
      <c r="I3809">
        <f t="shared" si="61"/>
        <v>31</v>
      </c>
    </row>
    <row r="3810" spans="1:9">
      <c r="A3810" s="1">
        <v>42509.091666666667</v>
      </c>
      <c r="B3810" s="19">
        <v>42761</v>
      </c>
      <c r="C3810" s="21">
        <v>0.69374999999999998</v>
      </c>
      <c r="D3810" s="20" t="s">
        <v>3043</v>
      </c>
      <c r="E3810" t="s">
        <v>0</v>
      </c>
      <c r="G3810" t="s">
        <v>639</v>
      </c>
      <c r="H3810" t="e">
        <v>#VALUE!</v>
      </c>
      <c r="I3810" t="e">
        <f t="shared" si="61"/>
        <v>#VALUE!</v>
      </c>
    </row>
    <row r="3811" spans="1:9">
      <c r="A3811" s="1">
        <v>42509.011111111111</v>
      </c>
      <c r="B3811" s="19">
        <v>42761</v>
      </c>
      <c r="C3811" s="21">
        <v>0.59305555555555556</v>
      </c>
      <c r="D3811" s="20" t="s">
        <v>3040</v>
      </c>
      <c r="E3811" t="s">
        <v>0</v>
      </c>
      <c r="G3811" t="s">
        <v>641</v>
      </c>
      <c r="H3811">
        <v>75</v>
      </c>
      <c r="I3811">
        <f t="shared" si="61"/>
        <v>93</v>
      </c>
    </row>
    <row r="3812" spans="1:9">
      <c r="A3812" s="1">
        <v>42508.994444444441</v>
      </c>
      <c r="B3812" s="19">
        <v>42761</v>
      </c>
      <c r="C3812" s="21">
        <v>0.58472222222222225</v>
      </c>
      <c r="D3812" s="20" t="s">
        <v>3040</v>
      </c>
      <c r="E3812" t="s">
        <v>0</v>
      </c>
      <c r="G3812" t="s">
        <v>193</v>
      </c>
      <c r="H3812">
        <v>13</v>
      </c>
      <c r="I3812">
        <f t="shared" si="61"/>
        <v>17</v>
      </c>
    </row>
    <row r="3813" spans="1:9">
      <c r="A3813" s="1">
        <v>42508.943055555559</v>
      </c>
      <c r="B3813" s="19">
        <v>42761</v>
      </c>
      <c r="C3813" s="21">
        <v>0.30555555555555558</v>
      </c>
      <c r="D3813" s="20" t="s">
        <v>3033</v>
      </c>
      <c r="E3813" t="s">
        <v>33</v>
      </c>
      <c r="F3813" t="s">
        <v>44</v>
      </c>
      <c r="G3813" t="s">
        <v>647</v>
      </c>
      <c r="H3813">
        <v>19</v>
      </c>
      <c r="I3813">
        <f t="shared" si="61"/>
        <v>24</v>
      </c>
    </row>
    <row r="3814" spans="1:9">
      <c r="A3814" s="1">
        <v>42508.915277777778</v>
      </c>
      <c r="B3814" s="19">
        <v>42761</v>
      </c>
      <c r="C3814" s="21">
        <v>0.25277777777777777</v>
      </c>
      <c r="D3814" s="20" t="s">
        <v>3031</v>
      </c>
      <c r="E3814" t="s">
        <v>0</v>
      </c>
      <c r="G3814" t="s">
        <v>648</v>
      </c>
      <c r="H3814">
        <v>13</v>
      </c>
      <c r="I3814">
        <f t="shared" si="61"/>
        <v>17</v>
      </c>
    </row>
    <row r="3815" spans="1:9">
      <c r="A3815" s="1">
        <v>42508.905555555553</v>
      </c>
      <c r="B3815" s="19">
        <v>42761</v>
      </c>
      <c r="C3815" s="21">
        <v>0.24305555555555555</v>
      </c>
      <c r="D3815" s="20" t="s">
        <v>3055</v>
      </c>
      <c r="E3815" t="s">
        <v>0</v>
      </c>
      <c r="F3815" t="s">
        <v>10</v>
      </c>
      <c r="G3815" t="s">
        <v>145</v>
      </c>
      <c r="H3815">
        <v>13</v>
      </c>
      <c r="I3815">
        <f t="shared" si="61"/>
        <v>17</v>
      </c>
    </row>
    <row r="3816" spans="1:9">
      <c r="A3816" s="1">
        <v>42508.861111111109</v>
      </c>
      <c r="B3816" s="19">
        <v>42762</v>
      </c>
      <c r="C3816" s="21">
        <v>0.91805555555555551</v>
      </c>
      <c r="D3816" s="20" t="s">
        <v>3049</v>
      </c>
      <c r="E3816" t="s">
        <v>6</v>
      </c>
      <c r="F3816" t="s">
        <v>15</v>
      </c>
      <c r="G3816" t="s">
        <v>632</v>
      </c>
      <c r="H3816" t="e">
        <v>#VALUE!</v>
      </c>
      <c r="I3816" t="e">
        <f t="shared" si="61"/>
        <v>#VALUE!</v>
      </c>
    </row>
    <row r="3817" spans="1:9">
      <c r="A3817" s="1">
        <v>42508.624305555553</v>
      </c>
      <c r="B3817" s="19">
        <v>42762</v>
      </c>
      <c r="C3817" s="21">
        <v>0.58958333333333335</v>
      </c>
      <c r="D3817" s="20" t="s">
        <v>3040</v>
      </c>
      <c r="E3817" t="s">
        <v>6</v>
      </c>
      <c r="F3817" t="s">
        <v>15</v>
      </c>
      <c r="G3817" t="s">
        <v>629</v>
      </c>
      <c r="H3817" t="e">
        <v>#VALUE!</v>
      </c>
      <c r="I3817" t="e">
        <f t="shared" si="61"/>
        <v>#VALUE!</v>
      </c>
    </row>
    <row r="3818" spans="1:9">
      <c r="A3818" s="1">
        <v>42508.541666666664</v>
      </c>
      <c r="B3818" s="19">
        <v>42762</v>
      </c>
      <c r="C3818" s="21">
        <v>0.24930555555555556</v>
      </c>
      <c r="D3818" s="20" t="s">
        <v>3055</v>
      </c>
      <c r="E3818" t="s">
        <v>6</v>
      </c>
      <c r="F3818" t="s">
        <v>15</v>
      </c>
      <c r="G3818" t="s">
        <v>636</v>
      </c>
      <c r="H3818" t="e">
        <v>#VALUE!</v>
      </c>
      <c r="I3818" t="e">
        <f t="shared" si="61"/>
        <v>#VALUE!</v>
      </c>
    </row>
    <row r="3819" spans="1:9">
      <c r="A3819" s="1">
        <v>42508.270833333336</v>
      </c>
      <c r="B3819" s="19">
        <v>42762</v>
      </c>
      <c r="C3819" s="21">
        <v>0.20833333333333334</v>
      </c>
      <c r="D3819" s="20" t="s">
        <v>3055</v>
      </c>
      <c r="E3819" t="s">
        <v>6</v>
      </c>
      <c r="F3819" t="s">
        <v>26</v>
      </c>
      <c r="G3819" t="s">
        <v>637</v>
      </c>
      <c r="H3819">
        <v>10</v>
      </c>
      <c r="I3819">
        <f t="shared" si="61"/>
        <v>13</v>
      </c>
    </row>
    <row r="3820" spans="1:9">
      <c r="A3820" s="1">
        <v>42508.252083333333</v>
      </c>
      <c r="B3820" s="19">
        <v>42762</v>
      </c>
      <c r="C3820" s="21">
        <v>0.90069444444444446</v>
      </c>
      <c r="D3820" s="20" t="s">
        <v>3048</v>
      </c>
      <c r="E3820" t="s">
        <v>0</v>
      </c>
      <c r="F3820" t="s">
        <v>10</v>
      </c>
      <c r="G3820" t="s">
        <v>633</v>
      </c>
      <c r="H3820">
        <v>25</v>
      </c>
      <c r="I3820">
        <f t="shared" si="61"/>
        <v>31</v>
      </c>
    </row>
    <row r="3821" spans="1:9">
      <c r="A3821" s="1">
        <v>42508.243055555555</v>
      </c>
      <c r="B3821" s="19">
        <v>42762</v>
      </c>
      <c r="C3821" s="21">
        <v>0.66666666666666663</v>
      </c>
      <c r="D3821" s="20" t="s">
        <v>3043</v>
      </c>
      <c r="E3821" t="s">
        <v>149</v>
      </c>
      <c r="G3821" t="s">
        <v>634</v>
      </c>
      <c r="H3821">
        <v>7</v>
      </c>
      <c r="I3821">
        <f t="shared" si="61"/>
        <v>9</v>
      </c>
    </row>
    <row r="3822" spans="1:9">
      <c r="A3822" s="1">
        <v>42508.186805555553</v>
      </c>
      <c r="B3822" s="19">
        <v>42762</v>
      </c>
      <c r="C3822" s="21">
        <v>0.58750000000000002</v>
      </c>
      <c r="D3822" s="20" t="s">
        <v>3040</v>
      </c>
      <c r="E3822" t="s">
        <v>0</v>
      </c>
      <c r="G3822" t="s">
        <v>9</v>
      </c>
      <c r="H3822">
        <v>13</v>
      </c>
      <c r="I3822">
        <f t="shared" si="61"/>
        <v>17</v>
      </c>
    </row>
    <row r="3823" spans="1:9">
      <c r="A3823" s="1">
        <v>42508.140972222223</v>
      </c>
      <c r="B3823" s="19">
        <v>42762</v>
      </c>
      <c r="C3823" s="21">
        <v>0.24930555555555556</v>
      </c>
      <c r="D3823" s="20" t="s">
        <v>3055</v>
      </c>
      <c r="E3823" t="s">
        <v>0</v>
      </c>
      <c r="G3823" t="s">
        <v>635</v>
      </c>
      <c r="H3823">
        <v>13</v>
      </c>
      <c r="I3823">
        <f t="shared" si="61"/>
        <v>17</v>
      </c>
    </row>
    <row r="3824" spans="1:9">
      <c r="A3824" s="1">
        <v>42508.122916666667</v>
      </c>
      <c r="B3824" s="19">
        <v>42762</v>
      </c>
      <c r="C3824" s="21">
        <v>0.24305555555555555</v>
      </c>
      <c r="D3824" s="20" t="s">
        <v>3055</v>
      </c>
      <c r="E3824" t="s">
        <v>0</v>
      </c>
      <c r="F3824" t="s">
        <v>10</v>
      </c>
      <c r="G3824" t="s">
        <v>145</v>
      </c>
      <c r="H3824">
        <v>13</v>
      </c>
      <c r="I3824">
        <f t="shared" si="61"/>
        <v>17</v>
      </c>
    </row>
    <row r="3825" spans="1:9">
      <c r="A3825" s="1">
        <v>42508.09097222222</v>
      </c>
      <c r="B3825" s="19">
        <v>42763</v>
      </c>
      <c r="C3825" s="21">
        <v>8.819444444444445E-2</v>
      </c>
      <c r="D3825" s="20" t="s">
        <v>3052</v>
      </c>
      <c r="E3825" t="s">
        <v>18</v>
      </c>
      <c r="F3825" t="s">
        <v>100</v>
      </c>
      <c r="G3825" t="s">
        <v>631</v>
      </c>
      <c r="H3825" t="e">
        <v>#VALUE!</v>
      </c>
      <c r="I3825" t="e">
        <f t="shared" si="61"/>
        <v>#VALUE!</v>
      </c>
    </row>
    <row r="3826" spans="1:9">
      <c r="A3826" s="1">
        <v>42508.032638888886</v>
      </c>
      <c r="B3826" s="19">
        <v>42765</v>
      </c>
      <c r="C3826" s="21">
        <v>0.96666666666666667</v>
      </c>
      <c r="D3826" s="20" t="s">
        <v>3063</v>
      </c>
      <c r="E3826" t="s">
        <v>2</v>
      </c>
      <c r="F3826" t="s">
        <v>3</v>
      </c>
      <c r="G3826" t="s">
        <v>626</v>
      </c>
      <c r="H3826">
        <v>7</v>
      </c>
      <c r="I3826">
        <f t="shared" si="61"/>
        <v>9</v>
      </c>
    </row>
    <row r="3827" spans="1:9">
      <c r="A3827" s="1">
        <v>42508.685416666667</v>
      </c>
      <c r="B3827" s="19">
        <v>42765</v>
      </c>
      <c r="C3827" s="21">
        <v>0.86250000000000004</v>
      </c>
      <c r="D3827" s="20" t="s">
        <v>3047</v>
      </c>
      <c r="E3827" t="s">
        <v>6</v>
      </c>
      <c r="F3827" t="s">
        <v>12</v>
      </c>
      <c r="G3827" t="s">
        <v>627</v>
      </c>
      <c r="H3827">
        <v>5</v>
      </c>
      <c r="I3827">
        <f t="shared" si="61"/>
        <v>7</v>
      </c>
    </row>
    <row r="3828" spans="1:9">
      <c r="A3828" s="1">
        <v>42508.664583333331</v>
      </c>
      <c r="B3828" s="19">
        <v>42765</v>
      </c>
      <c r="C3828" s="21">
        <v>0.51388888888888884</v>
      </c>
      <c r="D3828" s="20" t="s">
        <v>3038</v>
      </c>
      <c r="E3828" t="s">
        <v>2</v>
      </c>
      <c r="F3828" t="s">
        <v>5</v>
      </c>
      <c r="G3828" t="s">
        <v>628</v>
      </c>
      <c r="H3828" t="e">
        <v>#VALUE!</v>
      </c>
      <c r="I3828" t="e">
        <f t="shared" si="61"/>
        <v>#VALUE!</v>
      </c>
    </row>
    <row r="3829" spans="1:9">
      <c r="A3829" s="1">
        <v>42508.493055555555</v>
      </c>
      <c r="B3829" s="19">
        <v>42765</v>
      </c>
      <c r="C3829" s="21">
        <v>0.3347222222222222</v>
      </c>
      <c r="D3829" s="20" t="s">
        <v>3034</v>
      </c>
      <c r="E3829" t="s">
        <v>6</v>
      </c>
      <c r="F3829" t="s">
        <v>15</v>
      </c>
      <c r="G3829" t="s">
        <v>629</v>
      </c>
      <c r="H3829" t="e">
        <v>#VALUE!</v>
      </c>
      <c r="I3829" t="e">
        <f t="shared" si="61"/>
        <v>#VALUE!</v>
      </c>
    </row>
    <row r="3830" spans="1:9">
      <c r="A3830" s="1">
        <v>42508.432638888888</v>
      </c>
      <c r="B3830" s="19">
        <v>42765</v>
      </c>
      <c r="C3830" s="21">
        <v>0.28611111111111109</v>
      </c>
      <c r="D3830" s="20" t="s">
        <v>3031</v>
      </c>
      <c r="E3830" t="s">
        <v>6</v>
      </c>
      <c r="F3830" t="s">
        <v>7</v>
      </c>
      <c r="G3830" t="s">
        <v>630</v>
      </c>
      <c r="H3830">
        <v>62</v>
      </c>
      <c r="I3830">
        <f t="shared" si="61"/>
        <v>77</v>
      </c>
    </row>
    <row r="3831" spans="1:9">
      <c r="A3831" s="1">
        <v>42508.375694444447</v>
      </c>
      <c r="B3831" s="19">
        <v>42765</v>
      </c>
      <c r="C3831" s="21">
        <v>0.91597222222222219</v>
      </c>
      <c r="D3831" s="20" t="s">
        <v>3048</v>
      </c>
      <c r="E3831" t="s">
        <v>0</v>
      </c>
      <c r="F3831" t="s">
        <v>10</v>
      </c>
      <c r="G3831" t="s">
        <v>255</v>
      </c>
      <c r="H3831">
        <v>13</v>
      </c>
      <c r="I3831">
        <f t="shared" si="61"/>
        <v>17</v>
      </c>
    </row>
    <row r="3832" spans="1:9">
      <c r="A3832" s="1">
        <v>42508.305555555555</v>
      </c>
      <c r="B3832" s="19">
        <v>42765</v>
      </c>
      <c r="C3832" s="21">
        <v>0.91597222222222219</v>
      </c>
      <c r="D3832" s="20" t="s">
        <v>3048</v>
      </c>
      <c r="E3832" t="s">
        <v>0</v>
      </c>
      <c r="G3832" t="s">
        <v>567</v>
      </c>
      <c r="H3832">
        <v>13</v>
      </c>
      <c r="I3832">
        <f t="shared" si="61"/>
        <v>17</v>
      </c>
    </row>
    <row r="3833" spans="1:9">
      <c r="A3833" s="1">
        <v>42508.26666666667</v>
      </c>
      <c r="B3833" s="19">
        <v>42765</v>
      </c>
      <c r="C3833" s="21">
        <v>0.90972222222222221</v>
      </c>
      <c r="D3833" s="20" t="s">
        <v>3048</v>
      </c>
      <c r="E3833" t="s">
        <v>0</v>
      </c>
      <c r="F3833" t="s">
        <v>10</v>
      </c>
      <c r="G3833" t="s">
        <v>145</v>
      </c>
      <c r="H3833">
        <v>13</v>
      </c>
      <c r="I3833">
        <f t="shared" si="61"/>
        <v>17</v>
      </c>
    </row>
    <row r="3834" spans="1:9">
      <c r="A3834" s="1">
        <v>42508.265277777777</v>
      </c>
      <c r="B3834" s="19">
        <v>42765</v>
      </c>
      <c r="C3834" s="21">
        <v>0.25694444444444442</v>
      </c>
      <c r="D3834" s="20" t="s">
        <v>3031</v>
      </c>
      <c r="E3834" t="s">
        <v>0</v>
      </c>
      <c r="G3834" t="s">
        <v>9</v>
      </c>
      <c r="H3834" t="e">
        <v>#VALUE!</v>
      </c>
      <c r="I3834" t="e">
        <f t="shared" si="61"/>
        <v>#VALUE!</v>
      </c>
    </row>
    <row r="3835" spans="1:9">
      <c r="A3835" s="1">
        <v>42508.252083333333</v>
      </c>
      <c r="B3835" s="19">
        <v>42766</v>
      </c>
      <c r="C3835" s="21">
        <v>0.22222222222222221</v>
      </c>
      <c r="D3835" s="20" t="s">
        <v>3055</v>
      </c>
      <c r="E3835" t="s">
        <v>6</v>
      </c>
      <c r="F3835" t="s">
        <v>76</v>
      </c>
      <c r="G3835" t="s">
        <v>65</v>
      </c>
      <c r="H3835">
        <v>7</v>
      </c>
      <c r="I3835">
        <f t="shared" si="61"/>
        <v>9</v>
      </c>
    </row>
    <row r="3836" spans="1:9">
      <c r="A3836" s="1">
        <v>42508.197222222225</v>
      </c>
      <c r="B3836" s="19">
        <v>42766</v>
      </c>
      <c r="C3836" s="21">
        <v>0.21736111111111112</v>
      </c>
      <c r="D3836" s="20" t="s">
        <v>3055</v>
      </c>
      <c r="E3836" t="s">
        <v>6</v>
      </c>
      <c r="F3836" t="s">
        <v>61</v>
      </c>
      <c r="G3836" t="s">
        <v>624</v>
      </c>
      <c r="H3836">
        <v>9</v>
      </c>
      <c r="I3836">
        <f t="shared" si="61"/>
        <v>12</v>
      </c>
    </row>
    <row r="3837" spans="1:9">
      <c r="A3837" s="1">
        <v>42508.179861111108</v>
      </c>
      <c r="B3837" s="19">
        <v>42766</v>
      </c>
      <c r="C3837" s="21">
        <v>4.9305555555555554E-2</v>
      </c>
      <c r="D3837" s="20" t="s">
        <v>3051</v>
      </c>
      <c r="E3837" t="s">
        <v>6</v>
      </c>
      <c r="F3837" t="s">
        <v>46</v>
      </c>
      <c r="G3837" t="s">
        <v>625</v>
      </c>
      <c r="H3837">
        <v>8</v>
      </c>
      <c r="I3837">
        <f t="shared" si="61"/>
        <v>10</v>
      </c>
    </row>
    <row r="3838" spans="1:9">
      <c r="A3838" s="1">
        <v>42508.059027777781</v>
      </c>
      <c r="B3838" s="19">
        <v>42766</v>
      </c>
      <c r="C3838" s="21">
        <v>0.91666666666666663</v>
      </c>
      <c r="D3838" s="20" t="s">
        <v>3049</v>
      </c>
      <c r="E3838" t="s">
        <v>0</v>
      </c>
      <c r="G3838" t="s">
        <v>622</v>
      </c>
      <c r="H3838">
        <v>13</v>
      </c>
      <c r="I3838">
        <f t="shared" si="61"/>
        <v>17</v>
      </c>
    </row>
    <row r="3839" spans="1:9">
      <c r="A3839" s="1">
        <v>42507.918055555558</v>
      </c>
      <c r="B3839" s="19">
        <v>42766</v>
      </c>
      <c r="C3839" s="21">
        <v>0.64583333333333337</v>
      </c>
      <c r="D3839" s="20" t="s">
        <v>3042</v>
      </c>
      <c r="E3839" t="s">
        <v>0</v>
      </c>
      <c r="G3839" t="s">
        <v>623</v>
      </c>
      <c r="H3839" t="e">
        <v>#VALUE!</v>
      </c>
      <c r="I3839" t="e">
        <f t="shared" si="61"/>
        <v>#VALUE!</v>
      </c>
    </row>
    <row r="3840" spans="1:9">
      <c r="A3840" s="1">
        <v>42507.906944444447</v>
      </c>
      <c r="B3840" s="19">
        <v>42766</v>
      </c>
      <c r="C3840" s="21">
        <v>0.25416666666666665</v>
      </c>
      <c r="D3840" s="20" t="s">
        <v>3031</v>
      </c>
      <c r="E3840" t="s">
        <v>0</v>
      </c>
      <c r="G3840" t="s">
        <v>9</v>
      </c>
      <c r="H3840">
        <v>13</v>
      </c>
      <c r="I3840">
        <f t="shared" si="61"/>
        <v>17</v>
      </c>
    </row>
    <row r="3841" spans="1:9">
      <c r="A3841" s="1">
        <v>42507.845138888886</v>
      </c>
      <c r="B3841" s="19">
        <v>42766</v>
      </c>
      <c r="C3841" s="21">
        <v>0.24027777777777778</v>
      </c>
      <c r="D3841" s="20" t="s">
        <v>3055</v>
      </c>
      <c r="E3841" t="s">
        <v>0</v>
      </c>
      <c r="F3841" t="s">
        <v>10</v>
      </c>
      <c r="G3841" t="s">
        <v>255</v>
      </c>
      <c r="H3841">
        <v>13</v>
      </c>
      <c r="I3841">
        <f t="shared" si="61"/>
        <v>17</v>
      </c>
    </row>
    <row r="3842" spans="1:9">
      <c r="A3842" s="1">
        <v>42507.815972222219</v>
      </c>
      <c r="B3842" s="19">
        <v>42767</v>
      </c>
      <c r="C3842" s="21">
        <v>0.96458333333333335</v>
      </c>
      <c r="D3842" s="20" t="s">
        <v>3063</v>
      </c>
      <c r="E3842" t="s">
        <v>6</v>
      </c>
      <c r="F3842" t="s">
        <v>76</v>
      </c>
      <c r="G3842" t="s">
        <v>65</v>
      </c>
      <c r="H3842">
        <v>4</v>
      </c>
      <c r="I3842">
        <f t="shared" si="61"/>
        <v>5</v>
      </c>
    </row>
    <row r="3843" spans="1:9">
      <c r="A3843" s="1">
        <v>42507.576388888891</v>
      </c>
      <c r="B3843" s="19">
        <v>42767</v>
      </c>
      <c r="C3843" s="21">
        <v>0.86597222222222225</v>
      </c>
      <c r="D3843" s="20" t="s">
        <v>3047</v>
      </c>
      <c r="E3843" t="s">
        <v>6</v>
      </c>
      <c r="F3843" t="s">
        <v>46</v>
      </c>
      <c r="G3843" t="s">
        <v>613</v>
      </c>
      <c r="H3843" t="e">
        <v>#VALUE!</v>
      </c>
      <c r="I3843" t="e">
        <f t="shared" ref="I3843:I3906" si="62">ROUNDUP((H3843*1.24), 0)</f>
        <v>#VALUE!</v>
      </c>
    </row>
    <row r="3844" spans="1:9">
      <c r="A3844" s="1">
        <v>42507.253472222219</v>
      </c>
      <c r="B3844" s="19">
        <v>42767</v>
      </c>
      <c r="C3844" s="21">
        <v>0.67013888888888884</v>
      </c>
      <c r="D3844" s="20" t="s">
        <v>3043</v>
      </c>
      <c r="E3844" t="s">
        <v>2</v>
      </c>
      <c r="F3844" t="s">
        <v>3</v>
      </c>
      <c r="G3844" t="s">
        <v>614</v>
      </c>
      <c r="H3844">
        <v>19</v>
      </c>
      <c r="I3844">
        <f t="shared" si="62"/>
        <v>24</v>
      </c>
    </row>
    <row r="3845" spans="1:9">
      <c r="A3845" s="1">
        <v>42507.243055555555</v>
      </c>
      <c r="B3845" s="19">
        <v>42767</v>
      </c>
      <c r="C3845" s="21">
        <v>0.57152777777777775</v>
      </c>
      <c r="D3845" s="20" t="s">
        <v>3039</v>
      </c>
      <c r="E3845" t="s">
        <v>6</v>
      </c>
      <c r="F3845" t="s">
        <v>46</v>
      </c>
      <c r="G3845" t="s">
        <v>120</v>
      </c>
      <c r="H3845" t="e">
        <v>#VALUE!</v>
      </c>
      <c r="I3845" t="e">
        <f t="shared" si="62"/>
        <v>#VALUE!</v>
      </c>
    </row>
    <row r="3846" spans="1:9">
      <c r="A3846" s="1">
        <v>42507.09652777778</v>
      </c>
      <c r="B3846" s="19">
        <v>42767</v>
      </c>
      <c r="C3846" s="21">
        <v>0.34375</v>
      </c>
      <c r="D3846" s="20" t="s">
        <v>3034</v>
      </c>
      <c r="E3846" t="s">
        <v>6</v>
      </c>
      <c r="F3846" t="s">
        <v>26</v>
      </c>
      <c r="G3846" t="s">
        <v>617</v>
      </c>
      <c r="H3846">
        <v>44</v>
      </c>
      <c r="I3846">
        <f t="shared" si="62"/>
        <v>55</v>
      </c>
    </row>
    <row r="3847" spans="1:9">
      <c r="A3847" s="1">
        <v>42507.629166666666</v>
      </c>
      <c r="B3847" s="19">
        <v>42767</v>
      </c>
      <c r="C3847" s="21">
        <v>0.21180555555555555</v>
      </c>
      <c r="D3847" s="20" t="s">
        <v>3055</v>
      </c>
      <c r="E3847" t="s">
        <v>6</v>
      </c>
      <c r="F3847" t="s">
        <v>76</v>
      </c>
      <c r="G3847" t="s">
        <v>65</v>
      </c>
      <c r="H3847">
        <v>9</v>
      </c>
      <c r="I3847">
        <f t="shared" si="62"/>
        <v>12</v>
      </c>
    </row>
    <row r="3848" spans="1:9">
      <c r="A3848" s="1">
        <v>42507.629166666666</v>
      </c>
      <c r="B3848" s="19">
        <v>42767</v>
      </c>
      <c r="C3848" s="21">
        <v>0.12152777777777778</v>
      </c>
      <c r="D3848" s="20" t="s">
        <v>3052</v>
      </c>
      <c r="E3848" t="s">
        <v>6</v>
      </c>
      <c r="F3848" t="s">
        <v>46</v>
      </c>
      <c r="G3848" t="s">
        <v>618</v>
      </c>
      <c r="H3848">
        <v>7</v>
      </c>
      <c r="I3848">
        <f t="shared" si="62"/>
        <v>9</v>
      </c>
    </row>
    <row r="3849" spans="1:9">
      <c r="A3849" s="1">
        <v>42507.590277777781</v>
      </c>
      <c r="B3849" s="19">
        <v>42767</v>
      </c>
      <c r="C3849" s="21">
        <v>0.11666666666666667</v>
      </c>
      <c r="D3849" s="20" t="s">
        <v>3052</v>
      </c>
      <c r="E3849" t="s">
        <v>6</v>
      </c>
      <c r="F3849" t="s">
        <v>76</v>
      </c>
      <c r="G3849" t="s">
        <v>65</v>
      </c>
      <c r="H3849">
        <v>8</v>
      </c>
      <c r="I3849">
        <f t="shared" si="62"/>
        <v>10</v>
      </c>
    </row>
    <row r="3850" spans="1:9">
      <c r="A3850" s="1">
        <v>42507.54791666667</v>
      </c>
      <c r="B3850" s="19">
        <v>42767</v>
      </c>
      <c r="C3850" s="21">
        <v>1.8055555555555554E-2</v>
      </c>
      <c r="D3850" s="20" t="s">
        <v>3050</v>
      </c>
      <c r="E3850" t="s">
        <v>2</v>
      </c>
      <c r="F3850" t="s">
        <v>5</v>
      </c>
      <c r="G3850" t="s">
        <v>620</v>
      </c>
      <c r="H3850">
        <v>43</v>
      </c>
      <c r="I3850">
        <f t="shared" si="62"/>
        <v>54</v>
      </c>
    </row>
    <row r="3851" spans="1:9">
      <c r="A3851" s="1">
        <v>42507.53125</v>
      </c>
      <c r="B3851" s="19">
        <v>42767</v>
      </c>
      <c r="C3851" s="21">
        <v>9.7222222222222224E-3</v>
      </c>
      <c r="D3851" s="20" t="s">
        <v>3050</v>
      </c>
      <c r="E3851" t="s">
        <v>6</v>
      </c>
      <c r="F3851" t="s">
        <v>12</v>
      </c>
      <c r="G3851" t="s">
        <v>621</v>
      </c>
      <c r="H3851">
        <v>13</v>
      </c>
      <c r="I3851">
        <f t="shared" si="62"/>
        <v>17</v>
      </c>
    </row>
    <row r="3852" spans="1:9">
      <c r="A3852" s="1">
        <v>42507.34375</v>
      </c>
      <c r="B3852" s="19">
        <v>42767</v>
      </c>
      <c r="C3852" s="21">
        <v>0.95277777777777772</v>
      </c>
      <c r="D3852" s="20" t="s">
        <v>3049</v>
      </c>
      <c r="E3852" t="s">
        <v>33</v>
      </c>
      <c r="F3852" t="s">
        <v>34</v>
      </c>
      <c r="G3852" t="s">
        <v>611</v>
      </c>
      <c r="H3852" t="e">
        <v>#VALUE!</v>
      </c>
      <c r="I3852" t="e">
        <f t="shared" si="62"/>
        <v>#VALUE!</v>
      </c>
    </row>
    <row r="3853" spans="1:9">
      <c r="A3853" s="1">
        <v>42507.333333333336</v>
      </c>
      <c r="B3853" s="19">
        <v>42767</v>
      </c>
      <c r="C3853" s="21">
        <v>0.91597222222222219</v>
      </c>
      <c r="D3853" s="20" t="s">
        <v>3048</v>
      </c>
      <c r="E3853" t="s">
        <v>0</v>
      </c>
      <c r="G3853" t="s">
        <v>612</v>
      </c>
      <c r="H3853">
        <v>13</v>
      </c>
      <c r="I3853">
        <f t="shared" si="62"/>
        <v>17</v>
      </c>
    </row>
    <row r="3854" spans="1:9">
      <c r="A3854" s="1">
        <v>42507.322916666664</v>
      </c>
      <c r="B3854" s="19">
        <v>42767</v>
      </c>
      <c r="C3854" s="21">
        <v>0.91597222222222219</v>
      </c>
      <c r="D3854" s="20" t="s">
        <v>3048</v>
      </c>
      <c r="E3854" t="s">
        <v>0</v>
      </c>
      <c r="F3854" t="s">
        <v>10</v>
      </c>
      <c r="G3854" t="s">
        <v>255</v>
      </c>
      <c r="H3854">
        <v>13</v>
      </c>
      <c r="I3854">
        <f t="shared" si="62"/>
        <v>17</v>
      </c>
    </row>
    <row r="3855" spans="1:9">
      <c r="A3855" s="1">
        <v>42507.316666666666</v>
      </c>
      <c r="B3855" s="19">
        <v>42767</v>
      </c>
      <c r="C3855" s="21">
        <v>0.90902777777777777</v>
      </c>
      <c r="D3855" s="20" t="s">
        <v>3048</v>
      </c>
      <c r="E3855" t="s">
        <v>0</v>
      </c>
      <c r="F3855" t="s">
        <v>10</v>
      </c>
      <c r="G3855" t="s">
        <v>145</v>
      </c>
      <c r="H3855">
        <v>13</v>
      </c>
      <c r="I3855">
        <f t="shared" si="62"/>
        <v>17</v>
      </c>
    </row>
    <row r="3856" spans="1:9">
      <c r="A3856" s="1">
        <v>42507.249305555553</v>
      </c>
      <c r="B3856" s="19">
        <v>42767</v>
      </c>
      <c r="C3856" s="21">
        <v>0.68055555555555558</v>
      </c>
      <c r="D3856" s="20" t="s">
        <v>3043</v>
      </c>
      <c r="E3856" t="s">
        <v>0</v>
      </c>
      <c r="F3856" t="s">
        <v>1</v>
      </c>
      <c r="H3856">
        <v>8</v>
      </c>
      <c r="I3856">
        <f t="shared" si="62"/>
        <v>10</v>
      </c>
    </row>
    <row r="3857" spans="1:9">
      <c r="A3857" s="1">
        <v>42507.215277777781</v>
      </c>
      <c r="B3857" s="19">
        <v>42767</v>
      </c>
      <c r="C3857" s="21">
        <v>0.60416666666666663</v>
      </c>
      <c r="D3857" s="20" t="s">
        <v>3040</v>
      </c>
      <c r="E3857" t="s">
        <v>33</v>
      </c>
      <c r="F3857" t="s">
        <v>34</v>
      </c>
      <c r="G3857" t="s">
        <v>615</v>
      </c>
      <c r="H3857" t="e">
        <v>#VALUE!</v>
      </c>
      <c r="I3857" t="e">
        <f t="shared" si="62"/>
        <v>#VALUE!</v>
      </c>
    </row>
    <row r="3858" spans="1:9">
      <c r="A3858" s="1">
        <v>42507.1875</v>
      </c>
      <c r="B3858" s="19">
        <v>42767</v>
      </c>
      <c r="C3858" s="21">
        <v>0.58194444444444449</v>
      </c>
      <c r="D3858" s="20" t="s">
        <v>3039</v>
      </c>
      <c r="E3858" t="s">
        <v>0</v>
      </c>
      <c r="F3858" t="s">
        <v>10</v>
      </c>
      <c r="G3858" t="s">
        <v>145</v>
      </c>
      <c r="H3858">
        <v>13</v>
      </c>
      <c r="I3858">
        <f t="shared" si="62"/>
        <v>17</v>
      </c>
    </row>
    <row r="3859" spans="1:9">
      <c r="A3859" s="1">
        <v>42507.135416666664</v>
      </c>
      <c r="B3859" s="19">
        <v>42767</v>
      </c>
      <c r="C3859" s="21">
        <v>0.41111111111111109</v>
      </c>
      <c r="D3859" s="20" t="s">
        <v>3035</v>
      </c>
      <c r="E3859" t="s">
        <v>33</v>
      </c>
      <c r="F3859" t="s">
        <v>34</v>
      </c>
      <c r="G3859" t="s">
        <v>616</v>
      </c>
      <c r="H3859">
        <v>19</v>
      </c>
      <c r="I3859">
        <f t="shared" si="62"/>
        <v>24</v>
      </c>
    </row>
    <row r="3860" spans="1:9">
      <c r="A3860" s="1">
        <v>42506.940972222219</v>
      </c>
      <c r="B3860" s="19">
        <v>42767</v>
      </c>
      <c r="C3860" s="21">
        <v>0.25277777777777777</v>
      </c>
      <c r="D3860" s="20" t="s">
        <v>3031</v>
      </c>
      <c r="E3860" t="s">
        <v>0</v>
      </c>
      <c r="G3860" t="s">
        <v>9</v>
      </c>
      <c r="H3860">
        <v>13</v>
      </c>
      <c r="I3860">
        <f t="shared" si="62"/>
        <v>17</v>
      </c>
    </row>
    <row r="3861" spans="1:9">
      <c r="A3861" s="1">
        <v>42506.919444444444</v>
      </c>
      <c r="B3861" s="19">
        <v>42767</v>
      </c>
      <c r="C3861" s="21">
        <v>4.9305555555555554E-2</v>
      </c>
      <c r="D3861" s="20" t="s">
        <v>3051</v>
      </c>
      <c r="E3861" t="s">
        <v>77</v>
      </c>
      <c r="G3861" t="s">
        <v>619</v>
      </c>
      <c r="H3861">
        <v>7</v>
      </c>
      <c r="I3861">
        <f t="shared" si="62"/>
        <v>9</v>
      </c>
    </row>
    <row r="3862" spans="1:9">
      <c r="A3862" s="1">
        <v>42506.907638888886</v>
      </c>
      <c r="B3862" s="19">
        <v>42767</v>
      </c>
      <c r="C3862" s="21">
        <v>4.3055555555555555E-2</v>
      </c>
      <c r="D3862" s="20" t="s">
        <v>3051</v>
      </c>
      <c r="E3862" t="s">
        <v>0</v>
      </c>
      <c r="F3862" t="s">
        <v>1</v>
      </c>
      <c r="H3862">
        <v>13</v>
      </c>
      <c r="I3862">
        <f t="shared" si="62"/>
        <v>17</v>
      </c>
    </row>
    <row r="3863" spans="1:9">
      <c r="A3863" s="1">
        <v>42506.875</v>
      </c>
      <c r="B3863" s="19">
        <v>42768</v>
      </c>
      <c r="C3863" s="21">
        <v>0.97986111111111107</v>
      </c>
      <c r="D3863" s="20" t="s">
        <v>3063</v>
      </c>
      <c r="E3863" t="s">
        <v>6</v>
      </c>
      <c r="F3863" t="s">
        <v>46</v>
      </c>
      <c r="G3863" t="s">
        <v>601</v>
      </c>
      <c r="H3863" t="e">
        <v>#VALUE!</v>
      </c>
      <c r="I3863" t="e">
        <f t="shared" si="62"/>
        <v>#VALUE!</v>
      </c>
    </row>
    <row r="3864" spans="1:9">
      <c r="A3864" s="1">
        <v>42506.795138888891</v>
      </c>
      <c r="B3864" s="19">
        <v>42768</v>
      </c>
      <c r="C3864" s="21">
        <v>0.8881944444444444</v>
      </c>
      <c r="D3864" s="20" t="s">
        <v>3048</v>
      </c>
      <c r="E3864" t="s">
        <v>2</v>
      </c>
      <c r="F3864" t="s">
        <v>5</v>
      </c>
      <c r="G3864" t="s">
        <v>602</v>
      </c>
      <c r="H3864">
        <v>20</v>
      </c>
      <c r="I3864">
        <f t="shared" si="62"/>
        <v>25</v>
      </c>
    </row>
    <row r="3865" spans="1:9">
      <c r="A3865" s="1">
        <v>42506.724305555559</v>
      </c>
      <c r="B3865" s="19">
        <v>42768</v>
      </c>
      <c r="C3865" s="21">
        <v>0.88472222222222219</v>
      </c>
      <c r="D3865" s="20" t="s">
        <v>3048</v>
      </c>
      <c r="E3865" t="s">
        <v>6</v>
      </c>
      <c r="F3865" t="s">
        <v>26</v>
      </c>
      <c r="G3865" t="s">
        <v>603</v>
      </c>
      <c r="H3865">
        <v>7</v>
      </c>
      <c r="I3865">
        <f t="shared" si="62"/>
        <v>9</v>
      </c>
    </row>
    <row r="3866" spans="1:9">
      <c r="A3866" s="1">
        <v>42506.656944444447</v>
      </c>
      <c r="B3866" s="19">
        <v>42768</v>
      </c>
      <c r="C3866" s="21">
        <v>0.80347222222222225</v>
      </c>
      <c r="D3866" s="20" t="s">
        <v>3046</v>
      </c>
      <c r="E3866" t="s">
        <v>6</v>
      </c>
      <c r="F3866" t="s">
        <v>46</v>
      </c>
      <c r="G3866" t="s">
        <v>604</v>
      </c>
      <c r="H3866" t="e">
        <v>#VALUE!</v>
      </c>
      <c r="I3866" t="e">
        <f t="shared" si="62"/>
        <v>#VALUE!</v>
      </c>
    </row>
    <row r="3867" spans="1:9">
      <c r="A3867" s="1">
        <v>42506.655555555553</v>
      </c>
      <c r="B3867" s="19">
        <v>42768</v>
      </c>
      <c r="C3867" s="21">
        <v>0.69513888888888886</v>
      </c>
      <c r="D3867" s="20" t="s">
        <v>3043</v>
      </c>
      <c r="E3867" t="s">
        <v>2</v>
      </c>
      <c r="F3867" t="s">
        <v>5</v>
      </c>
      <c r="H3867">
        <v>9</v>
      </c>
      <c r="I3867">
        <f t="shared" si="62"/>
        <v>12</v>
      </c>
    </row>
    <row r="3868" spans="1:9">
      <c r="A3868" s="1">
        <v>42506.272916666669</v>
      </c>
      <c r="B3868" s="19">
        <v>42768</v>
      </c>
      <c r="C3868" s="21">
        <v>0.68958333333333333</v>
      </c>
      <c r="D3868" s="20" t="s">
        <v>3043</v>
      </c>
      <c r="E3868" t="s">
        <v>6</v>
      </c>
      <c r="F3868" t="s">
        <v>46</v>
      </c>
      <c r="G3868" t="s">
        <v>606</v>
      </c>
      <c r="H3868">
        <v>10</v>
      </c>
      <c r="I3868">
        <f t="shared" si="62"/>
        <v>13</v>
      </c>
    </row>
    <row r="3869" spans="1:9">
      <c r="A3869" s="1">
        <v>42506.24722222222</v>
      </c>
      <c r="B3869" s="19">
        <v>42768</v>
      </c>
      <c r="C3869" s="21">
        <v>0.43055555555555558</v>
      </c>
      <c r="D3869" s="20" t="s">
        <v>3036</v>
      </c>
      <c r="E3869" t="s">
        <v>6</v>
      </c>
      <c r="F3869" t="s">
        <v>7</v>
      </c>
      <c r="G3869" t="s">
        <v>608</v>
      </c>
      <c r="H3869" t="e">
        <v>#VALUE!</v>
      </c>
      <c r="I3869" t="e">
        <f t="shared" si="62"/>
        <v>#VALUE!</v>
      </c>
    </row>
    <row r="3870" spans="1:9">
      <c r="A3870" s="1">
        <v>42506.754166666666</v>
      </c>
      <c r="B3870" s="19">
        <v>42768</v>
      </c>
      <c r="C3870" s="21">
        <v>0.42083333333333334</v>
      </c>
      <c r="D3870" s="20" t="s">
        <v>3036</v>
      </c>
      <c r="E3870" t="s">
        <v>2</v>
      </c>
      <c r="F3870" t="s">
        <v>56</v>
      </c>
      <c r="G3870" t="s">
        <v>609</v>
      </c>
      <c r="H3870">
        <v>75</v>
      </c>
      <c r="I3870">
        <f t="shared" si="62"/>
        <v>93</v>
      </c>
    </row>
    <row r="3871" spans="1:9">
      <c r="A3871" s="1">
        <v>42506.563888888886</v>
      </c>
      <c r="B3871" s="19">
        <v>42768</v>
      </c>
      <c r="C3871" s="21">
        <v>4.4444444444444446E-2</v>
      </c>
      <c r="D3871" s="20" t="s">
        <v>3051</v>
      </c>
      <c r="E3871" t="s">
        <v>6</v>
      </c>
      <c r="F3871" t="s">
        <v>46</v>
      </c>
      <c r="G3871" t="s">
        <v>65</v>
      </c>
      <c r="H3871" t="e">
        <v>#VALUE!</v>
      </c>
      <c r="I3871" t="e">
        <f t="shared" si="62"/>
        <v>#VALUE!</v>
      </c>
    </row>
    <row r="3872" spans="1:9">
      <c r="A3872" s="1">
        <v>42506.465277777781</v>
      </c>
      <c r="B3872" s="19">
        <v>42768</v>
      </c>
      <c r="C3872" s="21">
        <v>1.1111111111111112E-2</v>
      </c>
      <c r="D3872" s="20" t="s">
        <v>3050</v>
      </c>
      <c r="E3872" t="s">
        <v>6</v>
      </c>
      <c r="F3872" t="s">
        <v>76</v>
      </c>
      <c r="G3872" t="s">
        <v>65</v>
      </c>
      <c r="H3872">
        <v>4</v>
      </c>
      <c r="I3872">
        <f t="shared" si="62"/>
        <v>5</v>
      </c>
    </row>
    <row r="3873" spans="1:9">
      <c r="A3873" s="1">
        <v>42506.446527777778</v>
      </c>
      <c r="B3873" s="19">
        <v>42768</v>
      </c>
      <c r="C3873" s="21">
        <v>0.93402777777777779</v>
      </c>
      <c r="D3873" s="20" t="s">
        <v>3049</v>
      </c>
      <c r="E3873" t="s">
        <v>0</v>
      </c>
      <c r="G3873" t="s">
        <v>567</v>
      </c>
      <c r="H3873">
        <v>13</v>
      </c>
      <c r="I3873">
        <f t="shared" si="62"/>
        <v>17</v>
      </c>
    </row>
    <row r="3874" spans="1:9">
      <c r="A3874" s="1">
        <v>42506.438194444447</v>
      </c>
      <c r="B3874" s="19">
        <v>42768</v>
      </c>
      <c r="C3874" s="21">
        <v>0.76458333333333328</v>
      </c>
      <c r="D3874" s="20" t="s">
        <v>3045</v>
      </c>
      <c r="E3874" t="s">
        <v>149</v>
      </c>
      <c r="F3874" t="s">
        <v>150</v>
      </c>
      <c r="G3874" t="s">
        <v>605</v>
      </c>
      <c r="H3874">
        <v>8</v>
      </c>
      <c r="I3874">
        <f t="shared" si="62"/>
        <v>10</v>
      </c>
    </row>
    <row r="3875" spans="1:9">
      <c r="A3875" s="1">
        <v>42506.344444444447</v>
      </c>
      <c r="B3875" s="19">
        <v>42768</v>
      </c>
      <c r="C3875" s="21">
        <v>0.54027777777777775</v>
      </c>
      <c r="D3875" s="20" t="s">
        <v>3038</v>
      </c>
      <c r="E3875" t="s">
        <v>33</v>
      </c>
      <c r="F3875" t="s">
        <v>34</v>
      </c>
      <c r="G3875" t="s">
        <v>607</v>
      </c>
      <c r="H3875">
        <v>13</v>
      </c>
      <c r="I3875">
        <f t="shared" si="62"/>
        <v>17</v>
      </c>
    </row>
    <row r="3876" spans="1:9">
      <c r="A3876" s="1">
        <v>42506.314583333333</v>
      </c>
      <c r="B3876" s="19">
        <v>42768</v>
      </c>
      <c r="C3876" s="21">
        <v>0.38194444444444442</v>
      </c>
      <c r="D3876" s="20" t="s">
        <v>3035</v>
      </c>
      <c r="E3876" t="s">
        <v>18</v>
      </c>
      <c r="F3876" t="s">
        <v>100</v>
      </c>
      <c r="G3876" t="s">
        <v>610</v>
      </c>
      <c r="H3876" t="e">
        <v>#VALUE!</v>
      </c>
      <c r="I3876" t="e">
        <f t="shared" si="62"/>
        <v>#VALUE!</v>
      </c>
    </row>
    <row r="3877" spans="1:9">
      <c r="A3877" s="1">
        <v>42503.917361111111</v>
      </c>
      <c r="B3877" s="19">
        <v>42768</v>
      </c>
      <c r="C3877" s="21">
        <v>0.25069444444444444</v>
      </c>
      <c r="D3877" s="20" t="s">
        <v>3031</v>
      </c>
      <c r="E3877" t="s">
        <v>0</v>
      </c>
      <c r="G3877" t="s">
        <v>193</v>
      </c>
      <c r="H3877">
        <v>13</v>
      </c>
      <c r="I3877">
        <f t="shared" si="62"/>
        <v>17</v>
      </c>
    </row>
    <row r="3878" spans="1:9">
      <c r="A3878" s="1">
        <v>42503.90902777778</v>
      </c>
      <c r="B3878" s="19">
        <v>42769</v>
      </c>
      <c r="C3878" s="21">
        <v>0.99513888888888891</v>
      </c>
      <c r="D3878" s="20" t="s">
        <v>3063</v>
      </c>
      <c r="E3878" t="s">
        <v>6</v>
      </c>
      <c r="F3878" t="s">
        <v>46</v>
      </c>
      <c r="G3878" t="s">
        <v>65</v>
      </c>
      <c r="H3878" t="e">
        <v>#VALUE!</v>
      </c>
      <c r="I3878" t="e">
        <f t="shared" si="62"/>
        <v>#VALUE!</v>
      </c>
    </row>
    <row r="3879" spans="1:9">
      <c r="A3879" s="1">
        <v>42503.662499999999</v>
      </c>
      <c r="B3879" s="19">
        <v>42769</v>
      </c>
      <c r="C3879" s="21">
        <v>0.85902777777777772</v>
      </c>
      <c r="D3879" s="20" t="s">
        <v>3047</v>
      </c>
      <c r="E3879" t="s">
        <v>6</v>
      </c>
      <c r="F3879" t="s">
        <v>46</v>
      </c>
      <c r="G3879" t="s">
        <v>543</v>
      </c>
      <c r="H3879" t="e">
        <v>#VALUE!</v>
      </c>
      <c r="I3879" t="e">
        <f t="shared" si="62"/>
        <v>#VALUE!</v>
      </c>
    </row>
    <row r="3880" spans="1:9">
      <c r="A3880" s="1">
        <v>42503.539583333331</v>
      </c>
      <c r="B3880" s="19">
        <v>42769</v>
      </c>
      <c r="C3880" s="21">
        <v>0.82291666666666663</v>
      </c>
      <c r="D3880" s="20" t="s">
        <v>3046</v>
      </c>
      <c r="E3880" t="s">
        <v>6</v>
      </c>
      <c r="F3880" t="s">
        <v>12</v>
      </c>
      <c r="G3880" t="s">
        <v>595</v>
      </c>
      <c r="H3880" t="e">
        <v>#VALUE!</v>
      </c>
      <c r="I3880" t="e">
        <f t="shared" si="62"/>
        <v>#VALUE!</v>
      </c>
    </row>
    <row r="3881" spans="1:9">
      <c r="A3881" s="1">
        <v>42503.464583333334</v>
      </c>
      <c r="B3881" s="19">
        <v>42769</v>
      </c>
      <c r="C3881" s="21">
        <v>0.56180555555555556</v>
      </c>
      <c r="D3881" s="20" t="s">
        <v>3039</v>
      </c>
      <c r="E3881" t="s">
        <v>6</v>
      </c>
      <c r="F3881" t="s">
        <v>46</v>
      </c>
      <c r="G3881" t="s">
        <v>359</v>
      </c>
      <c r="H3881">
        <v>8</v>
      </c>
      <c r="I3881">
        <f t="shared" si="62"/>
        <v>10</v>
      </c>
    </row>
    <row r="3882" spans="1:9">
      <c r="A3882" s="1">
        <v>42503.38958333333</v>
      </c>
      <c r="B3882" s="19">
        <v>42769</v>
      </c>
      <c r="C3882" s="21">
        <v>0.5180555555555556</v>
      </c>
      <c r="D3882" s="20" t="s">
        <v>3038</v>
      </c>
      <c r="E3882" t="s">
        <v>6</v>
      </c>
      <c r="F3882" t="s">
        <v>89</v>
      </c>
      <c r="G3882" t="s">
        <v>597</v>
      </c>
      <c r="H3882">
        <v>13</v>
      </c>
      <c r="I3882">
        <f t="shared" si="62"/>
        <v>17</v>
      </c>
    </row>
    <row r="3883" spans="1:9">
      <c r="A3883" s="1">
        <v>42503.347916666666</v>
      </c>
      <c r="B3883" s="19">
        <v>42769</v>
      </c>
      <c r="C3883" s="21">
        <v>0.45902777777777776</v>
      </c>
      <c r="D3883" s="20" t="s">
        <v>3037</v>
      </c>
      <c r="E3883" t="s">
        <v>2</v>
      </c>
      <c r="F3883" t="s">
        <v>48</v>
      </c>
      <c r="G3883" t="s">
        <v>598</v>
      </c>
      <c r="H3883">
        <v>7</v>
      </c>
      <c r="I3883">
        <f t="shared" si="62"/>
        <v>9</v>
      </c>
    </row>
    <row r="3884" spans="1:9">
      <c r="A3884" s="1">
        <v>42503.268055555556</v>
      </c>
      <c r="B3884" s="19">
        <v>42769</v>
      </c>
      <c r="C3884" s="21">
        <v>0.29722222222222222</v>
      </c>
      <c r="D3884" s="20" t="s">
        <v>3033</v>
      </c>
      <c r="E3884" t="s">
        <v>6</v>
      </c>
      <c r="F3884" t="s">
        <v>15</v>
      </c>
      <c r="G3884" t="s">
        <v>83</v>
      </c>
      <c r="H3884">
        <v>13</v>
      </c>
      <c r="I3884">
        <f t="shared" si="62"/>
        <v>17</v>
      </c>
    </row>
    <row r="3885" spans="1:9">
      <c r="A3885" s="1">
        <v>42503.595833333333</v>
      </c>
      <c r="B3885" s="19">
        <v>42769</v>
      </c>
      <c r="C3885" s="21">
        <v>0.91597222222222219</v>
      </c>
      <c r="D3885" s="20" t="s">
        <v>3048</v>
      </c>
      <c r="E3885" t="s">
        <v>0</v>
      </c>
      <c r="G3885" t="s">
        <v>567</v>
      </c>
      <c r="H3885">
        <v>19</v>
      </c>
      <c r="I3885">
        <f t="shared" si="62"/>
        <v>24</v>
      </c>
    </row>
    <row r="3886" spans="1:9">
      <c r="A3886" s="1">
        <v>42503.354166666664</v>
      </c>
      <c r="B3886" s="19">
        <v>42769</v>
      </c>
      <c r="C3886" s="21">
        <v>0.71944444444444444</v>
      </c>
      <c r="D3886" s="20" t="s">
        <v>3044</v>
      </c>
      <c r="E3886" t="s">
        <v>18</v>
      </c>
      <c r="F3886" t="s">
        <v>100</v>
      </c>
      <c r="G3886" t="s">
        <v>164</v>
      </c>
      <c r="H3886" t="e">
        <v>#VALUE!</v>
      </c>
      <c r="I3886" t="e">
        <f t="shared" si="62"/>
        <v>#VALUE!</v>
      </c>
    </row>
    <row r="3887" spans="1:9">
      <c r="A3887" s="1">
        <v>42503.340277777781</v>
      </c>
      <c r="B3887" s="19">
        <v>42769</v>
      </c>
      <c r="C3887" s="21">
        <v>0.70625000000000004</v>
      </c>
      <c r="D3887" s="20" t="s">
        <v>3043</v>
      </c>
      <c r="E3887" t="s">
        <v>0</v>
      </c>
      <c r="G3887" t="s">
        <v>596</v>
      </c>
      <c r="H3887" t="e">
        <v>#VALUE!</v>
      </c>
      <c r="I3887" t="e">
        <f t="shared" si="62"/>
        <v>#VALUE!</v>
      </c>
    </row>
    <row r="3888" spans="1:9">
      <c r="A3888" s="1">
        <v>42503.250694444447</v>
      </c>
      <c r="B3888" s="19">
        <v>42769</v>
      </c>
      <c r="C3888" s="21">
        <v>0.375</v>
      </c>
      <c r="D3888" s="20" t="s">
        <v>3035</v>
      </c>
      <c r="E3888" t="s">
        <v>33</v>
      </c>
      <c r="F3888" t="s">
        <v>44</v>
      </c>
      <c r="G3888" t="s">
        <v>599</v>
      </c>
      <c r="H3888">
        <v>7</v>
      </c>
      <c r="I3888">
        <f t="shared" si="62"/>
        <v>9</v>
      </c>
    </row>
    <row r="3889" spans="1:9">
      <c r="A3889" s="1">
        <v>42503.250694444447</v>
      </c>
      <c r="B3889" s="19">
        <v>42769</v>
      </c>
      <c r="C3889" s="21">
        <v>0.30416666666666664</v>
      </c>
      <c r="D3889" s="20" t="s">
        <v>3033</v>
      </c>
      <c r="E3889" t="s">
        <v>77</v>
      </c>
      <c r="F3889" t="s">
        <v>78</v>
      </c>
      <c r="G3889" t="s">
        <v>600</v>
      </c>
      <c r="H3889">
        <v>13</v>
      </c>
      <c r="I3889">
        <f t="shared" si="62"/>
        <v>17</v>
      </c>
    </row>
    <row r="3890" spans="1:9">
      <c r="A3890" s="1">
        <v>42503.079861111109</v>
      </c>
      <c r="B3890" s="19">
        <v>42769</v>
      </c>
      <c r="C3890" s="21">
        <v>0.28888888888888886</v>
      </c>
      <c r="D3890" s="20" t="s">
        <v>3031</v>
      </c>
      <c r="E3890" t="s">
        <v>0</v>
      </c>
      <c r="G3890" t="s">
        <v>9</v>
      </c>
      <c r="H3890">
        <v>13</v>
      </c>
      <c r="I3890">
        <f t="shared" si="62"/>
        <v>17</v>
      </c>
    </row>
    <row r="3891" spans="1:9">
      <c r="A3891" s="1">
        <v>42503.049305555556</v>
      </c>
      <c r="B3891" s="19">
        <v>42770</v>
      </c>
      <c r="C3891" s="21">
        <v>5.9722222222222225E-2</v>
      </c>
      <c r="D3891" s="20" t="s">
        <v>3051</v>
      </c>
      <c r="E3891" t="s">
        <v>6</v>
      </c>
      <c r="F3891" t="s">
        <v>76</v>
      </c>
      <c r="G3891" t="s">
        <v>65</v>
      </c>
      <c r="H3891">
        <v>7</v>
      </c>
      <c r="I3891">
        <f t="shared" si="62"/>
        <v>9</v>
      </c>
    </row>
    <row r="3892" spans="1:9">
      <c r="A3892" s="1">
        <v>42503.027083333334</v>
      </c>
      <c r="B3892" s="19">
        <v>42772</v>
      </c>
      <c r="C3892" s="21">
        <v>0.82916666666666672</v>
      </c>
      <c r="D3892" s="20" t="s">
        <v>3046</v>
      </c>
      <c r="E3892" t="s">
        <v>6</v>
      </c>
      <c r="F3892" t="s">
        <v>21</v>
      </c>
      <c r="G3892" t="s">
        <v>591</v>
      </c>
      <c r="H3892">
        <v>17</v>
      </c>
      <c r="I3892">
        <f t="shared" si="62"/>
        <v>22</v>
      </c>
    </row>
    <row r="3893" spans="1:9">
      <c r="A3893" s="1">
        <v>42503.020833333336</v>
      </c>
      <c r="B3893" s="19">
        <v>42772</v>
      </c>
      <c r="C3893" s="21">
        <v>0.80902777777777779</v>
      </c>
      <c r="D3893" s="20" t="s">
        <v>3046</v>
      </c>
      <c r="E3893" t="s">
        <v>6</v>
      </c>
      <c r="F3893" t="s">
        <v>15</v>
      </c>
      <c r="G3893" t="s">
        <v>592</v>
      </c>
      <c r="H3893">
        <v>15</v>
      </c>
      <c r="I3893">
        <f t="shared" si="62"/>
        <v>19</v>
      </c>
    </row>
    <row r="3894" spans="1:9">
      <c r="A3894" s="1">
        <v>42503.003472222219</v>
      </c>
      <c r="B3894" s="19">
        <v>42772</v>
      </c>
      <c r="C3894" s="21">
        <v>0.51458333333333328</v>
      </c>
      <c r="D3894" s="20" t="s">
        <v>3038</v>
      </c>
      <c r="E3894" t="s">
        <v>2</v>
      </c>
      <c r="F3894" t="s">
        <v>48</v>
      </c>
      <c r="G3894" t="s">
        <v>593</v>
      </c>
      <c r="H3894">
        <v>38</v>
      </c>
      <c r="I3894">
        <f t="shared" si="62"/>
        <v>48</v>
      </c>
    </row>
    <row r="3895" spans="1:9">
      <c r="A3895" s="1">
        <v>42502.981944444444</v>
      </c>
      <c r="B3895" s="19">
        <v>42772</v>
      </c>
      <c r="C3895" s="21">
        <v>0.39652777777777776</v>
      </c>
      <c r="D3895" s="20" t="s">
        <v>3035</v>
      </c>
      <c r="E3895" t="s">
        <v>6</v>
      </c>
      <c r="F3895" t="s">
        <v>15</v>
      </c>
      <c r="G3895" t="s">
        <v>538</v>
      </c>
      <c r="H3895">
        <v>8</v>
      </c>
      <c r="I3895">
        <f t="shared" si="62"/>
        <v>10</v>
      </c>
    </row>
    <row r="3896" spans="1:9">
      <c r="A3896" s="1">
        <v>42502.675694444442</v>
      </c>
      <c r="B3896" s="19">
        <v>42772</v>
      </c>
      <c r="C3896" s="21">
        <v>0.94722222222222219</v>
      </c>
      <c r="D3896" s="20" t="s">
        <v>3049</v>
      </c>
      <c r="E3896" t="s">
        <v>0</v>
      </c>
      <c r="G3896" t="s">
        <v>193</v>
      </c>
      <c r="H3896">
        <v>13</v>
      </c>
      <c r="I3896">
        <f t="shared" si="62"/>
        <v>17</v>
      </c>
    </row>
    <row r="3897" spans="1:9">
      <c r="A3897" s="1">
        <v>42502.530555555553</v>
      </c>
      <c r="B3897" s="19">
        <v>42772</v>
      </c>
      <c r="C3897" s="21">
        <v>0.94722222222222219</v>
      </c>
      <c r="D3897" s="20" t="s">
        <v>3049</v>
      </c>
      <c r="E3897" t="s">
        <v>77</v>
      </c>
      <c r="F3897" t="s">
        <v>78</v>
      </c>
      <c r="G3897" t="s">
        <v>590</v>
      </c>
      <c r="H3897">
        <v>7</v>
      </c>
      <c r="I3897">
        <f t="shared" si="62"/>
        <v>9</v>
      </c>
    </row>
    <row r="3898" spans="1:9">
      <c r="A3898" s="1">
        <v>42502.481944444444</v>
      </c>
      <c r="B3898" s="19">
        <v>42772</v>
      </c>
      <c r="C3898" s="21">
        <v>0.58402777777777781</v>
      </c>
      <c r="D3898" s="20" t="s">
        <v>3040</v>
      </c>
      <c r="E3898" t="s">
        <v>0</v>
      </c>
      <c r="G3898" t="s">
        <v>567</v>
      </c>
      <c r="H3898">
        <v>13</v>
      </c>
      <c r="I3898">
        <f t="shared" si="62"/>
        <v>17</v>
      </c>
    </row>
    <row r="3899" spans="1:9">
      <c r="A3899" s="1">
        <v>42502.45208333333</v>
      </c>
      <c r="B3899" s="19">
        <v>42772</v>
      </c>
      <c r="C3899" s="21">
        <v>0.25069444444444444</v>
      </c>
      <c r="D3899" s="20" t="s">
        <v>3031</v>
      </c>
      <c r="E3899" t="s">
        <v>0</v>
      </c>
      <c r="G3899" t="s">
        <v>594</v>
      </c>
      <c r="H3899">
        <v>25</v>
      </c>
      <c r="I3899">
        <f t="shared" si="62"/>
        <v>31</v>
      </c>
    </row>
    <row r="3900" spans="1:9">
      <c r="A3900" s="1">
        <v>42502.341666666667</v>
      </c>
      <c r="B3900" s="19">
        <v>42773</v>
      </c>
      <c r="C3900" s="21">
        <v>0.91874999999999996</v>
      </c>
      <c r="D3900" s="20" t="s">
        <v>3049</v>
      </c>
      <c r="E3900" t="s">
        <v>6</v>
      </c>
      <c r="F3900" t="s">
        <v>21</v>
      </c>
      <c r="G3900" t="s">
        <v>578</v>
      </c>
      <c r="H3900">
        <v>9</v>
      </c>
      <c r="I3900">
        <f t="shared" si="62"/>
        <v>12</v>
      </c>
    </row>
    <row r="3901" spans="1:9">
      <c r="A3901" s="1">
        <v>42502.304166666669</v>
      </c>
      <c r="B3901" s="19">
        <v>42773</v>
      </c>
      <c r="C3901" s="21">
        <v>0.84097222222222223</v>
      </c>
      <c r="D3901" s="20" t="s">
        <v>3047</v>
      </c>
      <c r="E3901" t="s">
        <v>2</v>
      </c>
      <c r="F3901" t="s">
        <v>5</v>
      </c>
      <c r="H3901">
        <v>4</v>
      </c>
      <c r="I3901">
        <f t="shared" si="62"/>
        <v>5</v>
      </c>
    </row>
    <row r="3902" spans="1:9">
      <c r="A3902" s="1">
        <v>42502.20416666667</v>
      </c>
      <c r="B3902" s="19">
        <v>42773</v>
      </c>
      <c r="C3902" s="21">
        <v>0.81805555555555554</v>
      </c>
      <c r="D3902" s="20" t="s">
        <v>3046</v>
      </c>
      <c r="E3902" t="s">
        <v>6</v>
      </c>
      <c r="F3902" t="s">
        <v>12</v>
      </c>
      <c r="G3902" t="s">
        <v>579</v>
      </c>
      <c r="H3902">
        <v>41</v>
      </c>
      <c r="I3902">
        <f t="shared" si="62"/>
        <v>51</v>
      </c>
    </row>
    <row r="3903" spans="1:9">
      <c r="A3903" s="1">
        <v>42502.140277777777</v>
      </c>
      <c r="B3903" s="19">
        <v>42773</v>
      </c>
      <c r="C3903" s="21">
        <v>0.8</v>
      </c>
      <c r="D3903" s="20" t="s">
        <v>3046</v>
      </c>
      <c r="E3903" t="s">
        <v>6</v>
      </c>
      <c r="F3903" t="s">
        <v>21</v>
      </c>
      <c r="G3903" t="s">
        <v>580</v>
      </c>
      <c r="H3903">
        <v>23</v>
      </c>
      <c r="I3903">
        <f t="shared" si="62"/>
        <v>29</v>
      </c>
    </row>
    <row r="3904" spans="1:9">
      <c r="A3904" s="1">
        <v>42502.09375</v>
      </c>
      <c r="B3904" s="19">
        <v>42773</v>
      </c>
      <c r="C3904" s="21">
        <v>0.64375000000000004</v>
      </c>
      <c r="D3904" s="20" t="s">
        <v>3042</v>
      </c>
      <c r="E3904" t="s">
        <v>6</v>
      </c>
      <c r="F3904" t="s">
        <v>12</v>
      </c>
      <c r="G3904" t="s">
        <v>581</v>
      </c>
      <c r="H3904" t="e">
        <v>#VALUE!</v>
      </c>
      <c r="I3904" t="e">
        <f t="shared" si="62"/>
        <v>#VALUE!</v>
      </c>
    </row>
    <row r="3905" spans="1:9">
      <c r="A3905" s="1">
        <v>42502.972916666666</v>
      </c>
      <c r="B3905" s="19">
        <v>42773</v>
      </c>
      <c r="C3905" s="21">
        <v>0.50208333333333333</v>
      </c>
      <c r="D3905" s="20" t="s">
        <v>3038</v>
      </c>
      <c r="E3905" t="s">
        <v>2</v>
      </c>
      <c r="F3905" t="s">
        <v>3</v>
      </c>
      <c r="G3905" t="s">
        <v>584</v>
      </c>
      <c r="H3905">
        <v>10</v>
      </c>
      <c r="I3905">
        <f t="shared" si="62"/>
        <v>13</v>
      </c>
    </row>
    <row r="3906" spans="1:9">
      <c r="A3906" s="1">
        <v>42502.941666666666</v>
      </c>
      <c r="B3906" s="19">
        <v>42773</v>
      </c>
      <c r="C3906" s="21">
        <v>0.26666666666666666</v>
      </c>
      <c r="D3906" s="20" t="s">
        <v>3031</v>
      </c>
      <c r="E3906" t="s">
        <v>6</v>
      </c>
      <c r="F3906" t="s">
        <v>46</v>
      </c>
      <c r="G3906" t="s">
        <v>586</v>
      </c>
      <c r="H3906" t="e">
        <v>#VALUE!</v>
      </c>
      <c r="I3906" t="e">
        <f t="shared" si="62"/>
        <v>#VALUE!</v>
      </c>
    </row>
    <row r="3907" spans="1:9">
      <c r="A3907" s="1">
        <v>42502.779166666667</v>
      </c>
      <c r="B3907" s="19">
        <v>42773</v>
      </c>
      <c r="C3907" s="21">
        <v>0.19444444444444445</v>
      </c>
      <c r="D3907" s="20" t="s">
        <v>3054</v>
      </c>
      <c r="E3907" t="s">
        <v>2</v>
      </c>
      <c r="F3907" t="s">
        <v>5</v>
      </c>
      <c r="G3907" t="s">
        <v>588</v>
      </c>
      <c r="H3907">
        <v>50</v>
      </c>
      <c r="I3907">
        <f t="shared" ref="I3907:I3970" si="63">ROUNDUP((H3907*1.24), 0)</f>
        <v>62</v>
      </c>
    </row>
    <row r="3908" spans="1:9">
      <c r="A3908" s="1">
        <v>42502.542361111111</v>
      </c>
      <c r="B3908" s="19">
        <v>42773</v>
      </c>
      <c r="C3908" s="21">
        <v>0.18958333333333333</v>
      </c>
      <c r="D3908" s="20" t="s">
        <v>3054</v>
      </c>
      <c r="E3908" t="s">
        <v>6</v>
      </c>
      <c r="F3908" t="s">
        <v>15</v>
      </c>
      <c r="G3908" t="s">
        <v>589</v>
      </c>
      <c r="H3908">
        <v>9</v>
      </c>
      <c r="I3908">
        <f t="shared" si="63"/>
        <v>12</v>
      </c>
    </row>
    <row r="3909" spans="1:9">
      <c r="A3909" s="1">
        <v>42502.529861111114</v>
      </c>
      <c r="B3909" s="19">
        <v>42773</v>
      </c>
      <c r="C3909" s="21">
        <v>0.97430555555555554</v>
      </c>
      <c r="D3909" s="20" t="s">
        <v>3063</v>
      </c>
      <c r="E3909" t="s">
        <v>33</v>
      </c>
      <c r="F3909" t="s">
        <v>34</v>
      </c>
      <c r="G3909" t="s">
        <v>577</v>
      </c>
      <c r="H3909" t="e">
        <v>#VALUE!</v>
      </c>
      <c r="I3909" t="e">
        <f t="shared" si="63"/>
        <v>#VALUE!</v>
      </c>
    </row>
    <row r="3910" spans="1:9">
      <c r="A3910" s="1">
        <v>42502.425000000003</v>
      </c>
      <c r="B3910" s="19">
        <v>42773</v>
      </c>
      <c r="C3910" s="21">
        <v>0.91874999999999996</v>
      </c>
      <c r="D3910" s="20" t="s">
        <v>3049</v>
      </c>
      <c r="E3910" t="s">
        <v>0</v>
      </c>
      <c r="G3910" t="s">
        <v>9</v>
      </c>
      <c r="H3910">
        <v>13</v>
      </c>
      <c r="I3910">
        <f t="shared" si="63"/>
        <v>17</v>
      </c>
    </row>
    <row r="3911" spans="1:9">
      <c r="A3911" s="1">
        <v>42502.253472222219</v>
      </c>
      <c r="B3911" s="19">
        <v>42773</v>
      </c>
      <c r="C3911" s="21">
        <v>0.84166666666666667</v>
      </c>
      <c r="D3911" s="20" t="s">
        <v>3047</v>
      </c>
      <c r="E3911" t="s">
        <v>0</v>
      </c>
      <c r="F3911" t="s">
        <v>1</v>
      </c>
      <c r="H3911">
        <v>14</v>
      </c>
      <c r="I3911">
        <f t="shared" si="63"/>
        <v>18</v>
      </c>
    </row>
    <row r="3912" spans="1:9">
      <c r="A3912" s="1">
        <v>42502.232638888891</v>
      </c>
      <c r="B3912" s="19">
        <v>42773</v>
      </c>
      <c r="C3912" s="21">
        <v>0.68055555555555558</v>
      </c>
      <c r="D3912" s="20" t="s">
        <v>3043</v>
      </c>
      <c r="E3912" t="s">
        <v>18</v>
      </c>
      <c r="F3912" t="s">
        <v>71</v>
      </c>
      <c r="G3912" t="s">
        <v>308</v>
      </c>
      <c r="H3912" t="e">
        <v>#VALUE!</v>
      </c>
      <c r="I3912" t="e">
        <f t="shared" si="63"/>
        <v>#VALUE!</v>
      </c>
    </row>
    <row r="3913" spans="1:9">
      <c r="A3913" s="1">
        <v>42502.197222222225</v>
      </c>
      <c r="B3913" s="19">
        <v>42773</v>
      </c>
      <c r="C3913" s="21">
        <v>0.63402777777777775</v>
      </c>
      <c r="D3913" s="20" t="s">
        <v>3042</v>
      </c>
      <c r="E3913" t="s">
        <v>0</v>
      </c>
      <c r="G3913" t="s">
        <v>567</v>
      </c>
      <c r="H3913">
        <v>13</v>
      </c>
      <c r="I3913">
        <f t="shared" si="63"/>
        <v>17</v>
      </c>
    </row>
    <row r="3914" spans="1:9">
      <c r="A3914" s="1">
        <v>42502.179166666669</v>
      </c>
      <c r="B3914" s="19">
        <v>42773</v>
      </c>
      <c r="C3914" s="21">
        <v>0.56666666666666665</v>
      </c>
      <c r="D3914" s="20" t="s">
        <v>3039</v>
      </c>
      <c r="E3914" t="s">
        <v>18</v>
      </c>
      <c r="G3914" t="s">
        <v>582</v>
      </c>
      <c r="H3914" t="e">
        <v>#VALUE!</v>
      </c>
      <c r="I3914" t="e">
        <f t="shared" si="63"/>
        <v>#VALUE!</v>
      </c>
    </row>
    <row r="3915" spans="1:9">
      <c r="A3915" s="1">
        <v>42502.162499999999</v>
      </c>
      <c r="B3915" s="19">
        <v>42773</v>
      </c>
      <c r="C3915" s="21">
        <v>0.53333333333333333</v>
      </c>
      <c r="D3915" s="20" t="s">
        <v>3038</v>
      </c>
      <c r="E3915" t="s">
        <v>18</v>
      </c>
      <c r="G3915" t="s">
        <v>583</v>
      </c>
      <c r="H3915" t="e">
        <v>#VALUE!</v>
      </c>
      <c r="I3915" t="e">
        <f t="shared" si="63"/>
        <v>#VALUE!</v>
      </c>
    </row>
    <row r="3916" spans="1:9">
      <c r="A3916" s="1">
        <v>42502.154861111114</v>
      </c>
      <c r="B3916" s="19">
        <v>42773</v>
      </c>
      <c r="C3916" s="21">
        <v>0.3659722222222222</v>
      </c>
      <c r="D3916" s="20" t="s">
        <v>3034</v>
      </c>
      <c r="E3916" t="s">
        <v>18</v>
      </c>
      <c r="G3916" t="s">
        <v>585</v>
      </c>
      <c r="H3916">
        <v>9</v>
      </c>
      <c r="I3916">
        <f t="shared" si="63"/>
        <v>12</v>
      </c>
    </row>
    <row r="3917" spans="1:9">
      <c r="A3917" s="1">
        <v>42502.150694444441</v>
      </c>
      <c r="B3917" s="19">
        <v>42773</v>
      </c>
      <c r="C3917" s="21">
        <v>0.22361111111111112</v>
      </c>
      <c r="D3917" s="20" t="s">
        <v>3055</v>
      </c>
      <c r="E3917" t="s">
        <v>0</v>
      </c>
      <c r="G3917" t="s">
        <v>587</v>
      </c>
      <c r="H3917">
        <v>2</v>
      </c>
      <c r="I3917">
        <f t="shared" si="63"/>
        <v>3</v>
      </c>
    </row>
    <row r="3918" spans="1:9">
      <c r="A3918" s="1">
        <v>42502.144444444442</v>
      </c>
      <c r="B3918" s="19">
        <v>42774</v>
      </c>
      <c r="C3918" s="21">
        <v>0.98402777777777772</v>
      </c>
      <c r="D3918" s="20" t="s">
        <v>3063</v>
      </c>
      <c r="E3918" t="s">
        <v>6</v>
      </c>
      <c r="F3918" t="s">
        <v>273</v>
      </c>
      <c r="G3918" t="s">
        <v>571</v>
      </c>
      <c r="H3918">
        <v>7</v>
      </c>
      <c r="I3918">
        <f t="shared" si="63"/>
        <v>9</v>
      </c>
    </row>
    <row r="3919" spans="1:9">
      <c r="A3919" s="1">
        <v>42502.013888888891</v>
      </c>
      <c r="B3919" s="19">
        <v>42774</v>
      </c>
      <c r="C3919" s="21">
        <v>0.85416666666666663</v>
      </c>
      <c r="D3919" s="20" t="s">
        <v>3047</v>
      </c>
      <c r="E3919" t="s">
        <v>2</v>
      </c>
      <c r="F3919" t="s">
        <v>3</v>
      </c>
      <c r="G3919" t="s">
        <v>572</v>
      </c>
      <c r="H3919">
        <v>9</v>
      </c>
      <c r="I3919">
        <f t="shared" si="63"/>
        <v>12</v>
      </c>
    </row>
    <row r="3920" spans="1:9">
      <c r="A3920" s="1">
        <v>42501.90902777778</v>
      </c>
      <c r="B3920" s="19">
        <v>42774</v>
      </c>
      <c r="C3920" s="21">
        <v>0.47222222222222221</v>
      </c>
      <c r="D3920" s="20" t="s">
        <v>3037</v>
      </c>
      <c r="E3920" t="s">
        <v>2</v>
      </c>
      <c r="F3920" t="s">
        <v>48</v>
      </c>
      <c r="G3920" t="s">
        <v>49</v>
      </c>
      <c r="H3920">
        <v>3</v>
      </c>
      <c r="I3920">
        <f t="shared" si="63"/>
        <v>4</v>
      </c>
    </row>
    <row r="3921" spans="1:9">
      <c r="A3921" s="1">
        <v>42501.886805555558</v>
      </c>
      <c r="B3921" s="19">
        <v>42774</v>
      </c>
      <c r="C3921" s="21">
        <v>0.44444444444444442</v>
      </c>
      <c r="D3921" s="20" t="s">
        <v>3036</v>
      </c>
      <c r="E3921" t="s">
        <v>6</v>
      </c>
      <c r="F3921" t="s">
        <v>46</v>
      </c>
      <c r="G3921" t="s">
        <v>65</v>
      </c>
      <c r="H3921">
        <v>50</v>
      </c>
      <c r="I3921">
        <f t="shared" si="63"/>
        <v>62</v>
      </c>
    </row>
    <row r="3922" spans="1:9">
      <c r="A3922" s="1">
        <v>42501.884722222225</v>
      </c>
      <c r="B3922" s="19">
        <v>42774</v>
      </c>
      <c r="C3922" s="21">
        <v>0.92013888888888884</v>
      </c>
      <c r="D3922" s="20" t="s">
        <v>3049</v>
      </c>
      <c r="E3922" t="s">
        <v>0</v>
      </c>
      <c r="G3922" t="s">
        <v>277</v>
      </c>
      <c r="H3922">
        <v>13</v>
      </c>
      <c r="I3922">
        <f t="shared" si="63"/>
        <v>17</v>
      </c>
    </row>
    <row r="3923" spans="1:9">
      <c r="A3923" s="1">
        <v>42501.830555555556</v>
      </c>
      <c r="B3923" s="19">
        <v>42774</v>
      </c>
      <c r="C3923" s="21">
        <v>0.9194444444444444</v>
      </c>
      <c r="D3923" s="20" t="s">
        <v>3049</v>
      </c>
      <c r="E3923" t="s">
        <v>0</v>
      </c>
      <c r="F3923" t="s">
        <v>10</v>
      </c>
      <c r="H3923">
        <v>13</v>
      </c>
      <c r="I3923">
        <f t="shared" si="63"/>
        <v>17</v>
      </c>
    </row>
    <row r="3924" spans="1:9">
      <c r="A3924" s="1">
        <v>42501.790277777778</v>
      </c>
      <c r="B3924" s="19">
        <v>42774</v>
      </c>
      <c r="C3924" s="21">
        <v>0.91249999999999998</v>
      </c>
      <c r="D3924" s="20" t="s">
        <v>3048</v>
      </c>
      <c r="E3924" t="s">
        <v>0</v>
      </c>
      <c r="F3924" t="s">
        <v>10</v>
      </c>
      <c r="G3924" t="s">
        <v>255</v>
      </c>
      <c r="H3924">
        <v>13</v>
      </c>
      <c r="I3924">
        <f t="shared" si="63"/>
        <v>17</v>
      </c>
    </row>
    <row r="3925" spans="1:9">
      <c r="A3925" s="1">
        <v>42501.719444444447</v>
      </c>
      <c r="B3925" s="19">
        <v>42774</v>
      </c>
      <c r="C3925" s="21">
        <v>0.58402777777777781</v>
      </c>
      <c r="D3925" s="20" t="s">
        <v>3040</v>
      </c>
      <c r="E3925" t="s">
        <v>0</v>
      </c>
      <c r="G3925" t="s">
        <v>573</v>
      </c>
      <c r="H3925">
        <v>29</v>
      </c>
      <c r="I3925">
        <f t="shared" si="63"/>
        <v>36</v>
      </c>
    </row>
    <row r="3926" spans="1:9">
      <c r="A3926" s="1">
        <v>42501.707638888889</v>
      </c>
      <c r="B3926" s="19">
        <v>42774</v>
      </c>
      <c r="C3926" s="21">
        <v>0.58333333333333337</v>
      </c>
      <c r="D3926" s="20" t="s">
        <v>3040</v>
      </c>
      <c r="E3926" t="s">
        <v>18</v>
      </c>
      <c r="F3926" t="s">
        <v>71</v>
      </c>
      <c r="G3926" t="s">
        <v>574</v>
      </c>
      <c r="H3926" t="e">
        <v>#VALUE!</v>
      </c>
      <c r="I3926" t="e">
        <f t="shared" si="63"/>
        <v>#VALUE!</v>
      </c>
    </row>
    <row r="3927" spans="1:9">
      <c r="A3927" s="1">
        <v>42501.663888888892</v>
      </c>
      <c r="B3927" s="19">
        <v>42774</v>
      </c>
      <c r="C3927" s="21">
        <v>0.33611111111111114</v>
      </c>
      <c r="D3927" s="20" t="s">
        <v>3034</v>
      </c>
      <c r="E3927" t="s">
        <v>18</v>
      </c>
      <c r="F3927" t="s">
        <v>100</v>
      </c>
      <c r="G3927" t="s">
        <v>175</v>
      </c>
      <c r="H3927" t="e">
        <v>#VALUE!</v>
      </c>
      <c r="I3927" t="e">
        <f t="shared" si="63"/>
        <v>#VALUE!</v>
      </c>
    </row>
    <row r="3928" spans="1:9">
      <c r="A3928" s="1">
        <v>42501.601388888892</v>
      </c>
      <c r="B3928" s="19">
        <v>42774</v>
      </c>
      <c r="C3928" s="21">
        <v>0.11736111111111111</v>
      </c>
      <c r="D3928" s="20" t="s">
        <v>3052</v>
      </c>
      <c r="E3928" t="s">
        <v>33</v>
      </c>
      <c r="F3928" t="s">
        <v>44</v>
      </c>
      <c r="G3928" t="s">
        <v>575</v>
      </c>
      <c r="H3928">
        <v>13</v>
      </c>
      <c r="I3928">
        <f t="shared" si="63"/>
        <v>17</v>
      </c>
    </row>
    <row r="3929" spans="1:9">
      <c r="A3929" s="1">
        <v>42501.584722222222</v>
      </c>
      <c r="B3929" s="19">
        <v>42774</v>
      </c>
      <c r="C3929" s="21">
        <v>6.3194444444444442E-2</v>
      </c>
      <c r="D3929" s="20" t="s">
        <v>3051</v>
      </c>
      <c r="E3929" t="s">
        <v>33</v>
      </c>
      <c r="F3929" t="s">
        <v>44</v>
      </c>
      <c r="G3929" t="s">
        <v>576</v>
      </c>
      <c r="H3929">
        <v>7</v>
      </c>
      <c r="I3929">
        <f t="shared" si="63"/>
        <v>9</v>
      </c>
    </row>
    <row r="3930" spans="1:9">
      <c r="A3930" s="1">
        <v>42501.50277777778</v>
      </c>
      <c r="B3930" s="19">
        <v>42775</v>
      </c>
      <c r="C3930" s="21">
        <v>0.87986111111111109</v>
      </c>
      <c r="D3930" s="20" t="s">
        <v>3048</v>
      </c>
      <c r="E3930" t="s">
        <v>6</v>
      </c>
      <c r="F3930" t="s">
        <v>12</v>
      </c>
      <c r="G3930" t="s">
        <v>45</v>
      </c>
      <c r="H3930">
        <v>4</v>
      </c>
      <c r="I3930">
        <f t="shared" si="63"/>
        <v>5</v>
      </c>
    </row>
    <row r="3931" spans="1:9">
      <c r="A3931" s="1">
        <v>42501.356249999997</v>
      </c>
      <c r="B3931" s="19">
        <v>42775</v>
      </c>
      <c r="C3931" s="21">
        <v>0.70694444444444449</v>
      </c>
      <c r="D3931" s="20" t="s">
        <v>3043</v>
      </c>
      <c r="E3931" t="s">
        <v>6</v>
      </c>
      <c r="F3931" t="s">
        <v>21</v>
      </c>
      <c r="G3931" t="s">
        <v>307</v>
      </c>
      <c r="H3931">
        <v>10</v>
      </c>
      <c r="I3931">
        <f t="shared" si="63"/>
        <v>13</v>
      </c>
    </row>
    <row r="3932" spans="1:9">
      <c r="A3932" s="1">
        <v>42501.341666666667</v>
      </c>
      <c r="B3932" s="19">
        <v>42775</v>
      </c>
      <c r="C3932" s="21">
        <v>0.69722222222222219</v>
      </c>
      <c r="D3932" s="20" t="s">
        <v>3043</v>
      </c>
      <c r="E3932" t="s">
        <v>6</v>
      </c>
      <c r="F3932" t="s">
        <v>26</v>
      </c>
      <c r="G3932" t="s">
        <v>307</v>
      </c>
      <c r="H3932">
        <v>18</v>
      </c>
      <c r="I3932">
        <f t="shared" si="63"/>
        <v>23</v>
      </c>
    </row>
    <row r="3933" spans="1:9">
      <c r="A3933" s="1">
        <v>42501.886111111111</v>
      </c>
      <c r="B3933" s="19">
        <v>42775</v>
      </c>
      <c r="C3933" s="21">
        <v>0.64166666666666672</v>
      </c>
      <c r="D3933" s="20" t="s">
        <v>3042</v>
      </c>
      <c r="E3933" t="s">
        <v>2</v>
      </c>
      <c r="G3933" t="s">
        <v>565</v>
      </c>
      <c r="H3933">
        <v>7</v>
      </c>
      <c r="I3933">
        <f t="shared" si="63"/>
        <v>9</v>
      </c>
    </row>
    <row r="3934" spans="1:9">
      <c r="A3934" s="1">
        <v>42501.882638888892</v>
      </c>
      <c r="B3934" s="19">
        <v>42775</v>
      </c>
      <c r="C3934" s="21">
        <v>0.6333333333333333</v>
      </c>
      <c r="D3934" s="20" t="s">
        <v>3042</v>
      </c>
      <c r="E3934" t="s">
        <v>6</v>
      </c>
      <c r="F3934" t="s">
        <v>12</v>
      </c>
      <c r="G3934" t="s">
        <v>566</v>
      </c>
      <c r="H3934">
        <v>13</v>
      </c>
      <c r="I3934">
        <f t="shared" si="63"/>
        <v>17</v>
      </c>
    </row>
    <row r="3935" spans="1:9">
      <c r="A3935" s="1">
        <v>42501.867361111108</v>
      </c>
      <c r="B3935" s="19">
        <v>42775</v>
      </c>
      <c r="C3935" s="21">
        <v>0.43333333333333335</v>
      </c>
      <c r="D3935" s="20" t="s">
        <v>3036</v>
      </c>
      <c r="E3935" t="s">
        <v>2</v>
      </c>
      <c r="F3935" t="s">
        <v>48</v>
      </c>
      <c r="G3935" t="s">
        <v>49</v>
      </c>
      <c r="H3935">
        <v>9</v>
      </c>
      <c r="I3935">
        <f t="shared" si="63"/>
        <v>12</v>
      </c>
    </row>
    <row r="3936" spans="1:9">
      <c r="A3936" s="1">
        <v>42501.46875</v>
      </c>
      <c r="B3936" s="19">
        <v>42775</v>
      </c>
      <c r="C3936" s="21">
        <v>0.42986111111111114</v>
      </c>
      <c r="D3936" s="20" t="s">
        <v>3036</v>
      </c>
      <c r="E3936" t="s">
        <v>6</v>
      </c>
      <c r="F3936" t="s">
        <v>46</v>
      </c>
      <c r="G3936" t="s">
        <v>568</v>
      </c>
      <c r="H3936">
        <v>7</v>
      </c>
      <c r="I3936">
        <f t="shared" si="63"/>
        <v>9</v>
      </c>
    </row>
    <row r="3937" spans="1:9">
      <c r="A3937" s="1">
        <v>42501.419444444444</v>
      </c>
      <c r="B3937" s="19">
        <v>42775</v>
      </c>
      <c r="C3937" s="21">
        <v>0.34583333333333333</v>
      </c>
      <c r="D3937" s="20" t="s">
        <v>3034</v>
      </c>
      <c r="E3937" t="s">
        <v>2</v>
      </c>
      <c r="F3937" t="s">
        <v>48</v>
      </c>
      <c r="H3937">
        <v>29</v>
      </c>
      <c r="I3937">
        <f t="shared" si="63"/>
        <v>36</v>
      </c>
    </row>
    <row r="3938" spans="1:9">
      <c r="A3938" s="1">
        <v>42501.392361111109</v>
      </c>
      <c r="B3938" s="19">
        <v>42775</v>
      </c>
      <c r="C3938" s="21">
        <v>0.32777777777777778</v>
      </c>
      <c r="D3938" s="20" t="s">
        <v>3033</v>
      </c>
      <c r="E3938" t="s">
        <v>6</v>
      </c>
      <c r="F3938" t="s">
        <v>15</v>
      </c>
      <c r="G3938" t="s">
        <v>569</v>
      </c>
      <c r="H3938">
        <v>25</v>
      </c>
      <c r="I3938">
        <f t="shared" si="63"/>
        <v>31</v>
      </c>
    </row>
    <row r="3939" spans="1:9">
      <c r="A3939" s="1">
        <v>42501.36041666667</v>
      </c>
      <c r="B3939" s="19">
        <v>42775</v>
      </c>
      <c r="C3939" s="21">
        <v>0.19166666666666668</v>
      </c>
      <c r="D3939" s="20" t="s">
        <v>3054</v>
      </c>
      <c r="E3939" t="s">
        <v>6</v>
      </c>
      <c r="G3939" t="s">
        <v>570</v>
      </c>
      <c r="H3939">
        <v>53</v>
      </c>
      <c r="I3939">
        <f t="shared" si="63"/>
        <v>66</v>
      </c>
    </row>
    <row r="3940" spans="1:9">
      <c r="A3940" s="1">
        <v>42501.341666666667</v>
      </c>
      <c r="B3940" s="19">
        <v>42775</v>
      </c>
      <c r="C3940" s="21">
        <v>0.91805555555555551</v>
      </c>
      <c r="D3940" s="20" t="s">
        <v>3049</v>
      </c>
      <c r="E3940" t="s">
        <v>0</v>
      </c>
      <c r="F3940" t="s">
        <v>10</v>
      </c>
      <c r="H3940">
        <v>13</v>
      </c>
      <c r="I3940">
        <f t="shared" si="63"/>
        <v>17</v>
      </c>
    </row>
    <row r="3941" spans="1:9">
      <c r="A3941" s="1">
        <v>42501.306250000001</v>
      </c>
      <c r="B3941" s="19">
        <v>42775</v>
      </c>
      <c r="C3941" s="21">
        <v>0.91805555555555551</v>
      </c>
      <c r="D3941" s="20" t="s">
        <v>3049</v>
      </c>
      <c r="E3941" t="s">
        <v>0</v>
      </c>
      <c r="G3941" t="s">
        <v>216</v>
      </c>
      <c r="H3941">
        <v>13</v>
      </c>
      <c r="I3941">
        <f t="shared" si="63"/>
        <v>17</v>
      </c>
    </row>
    <row r="3942" spans="1:9">
      <c r="A3942" s="1">
        <v>42501.275000000001</v>
      </c>
      <c r="B3942" s="19">
        <v>42775</v>
      </c>
      <c r="C3942" s="21">
        <v>0.90972222222222221</v>
      </c>
      <c r="D3942" s="20" t="s">
        <v>3048</v>
      </c>
      <c r="E3942" t="s">
        <v>0</v>
      </c>
      <c r="F3942" t="s">
        <v>10</v>
      </c>
      <c r="G3942" t="s">
        <v>255</v>
      </c>
      <c r="H3942">
        <v>13</v>
      </c>
      <c r="I3942">
        <f t="shared" si="63"/>
        <v>17</v>
      </c>
    </row>
    <row r="3943" spans="1:9">
      <c r="A3943" s="1">
        <v>42501.113194444442</v>
      </c>
      <c r="B3943" s="19">
        <v>42775</v>
      </c>
      <c r="C3943" s="21">
        <v>0.68611111111111112</v>
      </c>
      <c r="D3943" s="20" t="s">
        <v>3043</v>
      </c>
      <c r="E3943" t="s">
        <v>0</v>
      </c>
      <c r="G3943" t="s">
        <v>564</v>
      </c>
      <c r="H3943">
        <v>19</v>
      </c>
      <c r="I3943">
        <f t="shared" si="63"/>
        <v>24</v>
      </c>
    </row>
    <row r="3944" spans="1:9">
      <c r="A3944" s="1">
        <v>42501.09097222222</v>
      </c>
      <c r="B3944" s="19">
        <v>42775</v>
      </c>
      <c r="C3944" s="21">
        <v>0.6430555555555556</v>
      </c>
      <c r="D3944" s="20" t="s">
        <v>3042</v>
      </c>
      <c r="E3944" t="s">
        <v>0</v>
      </c>
      <c r="F3944" t="s">
        <v>1</v>
      </c>
      <c r="H3944">
        <v>15</v>
      </c>
      <c r="I3944">
        <f t="shared" si="63"/>
        <v>19</v>
      </c>
    </row>
    <row r="3945" spans="1:9">
      <c r="A3945" s="1">
        <v>42500.918749999997</v>
      </c>
      <c r="B3945" s="19">
        <v>42775</v>
      </c>
      <c r="C3945" s="21">
        <v>0.58680555555555558</v>
      </c>
      <c r="D3945" s="20" t="s">
        <v>3040</v>
      </c>
      <c r="E3945" t="s">
        <v>0</v>
      </c>
      <c r="G3945" t="s">
        <v>567</v>
      </c>
      <c r="H3945">
        <v>13</v>
      </c>
      <c r="I3945">
        <f t="shared" si="63"/>
        <v>17</v>
      </c>
    </row>
    <row r="3946" spans="1:9">
      <c r="A3946" s="1">
        <v>42500.90902777778</v>
      </c>
      <c r="B3946" s="19">
        <v>42775</v>
      </c>
      <c r="C3946" s="21">
        <v>0.25</v>
      </c>
      <c r="D3946" s="20" t="s">
        <v>3031</v>
      </c>
      <c r="E3946" t="s">
        <v>0</v>
      </c>
      <c r="F3946" t="s">
        <v>10</v>
      </c>
      <c r="G3946" t="s">
        <v>145</v>
      </c>
      <c r="H3946">
        <v>13</v>
      </c>
      <c r="I3946">
        <f t="shared" si="63"/>
        <v>17</v>
      </c>
    </row>
    <row r="3947" spans="1:9">
      <c r="A3947" s="1">
        <v>42500.642361111109</v>
      </c>
      <c r="B3947" s="19">
        <v>42775</v>
      </c>
      <c r="C3947" s="21">
        <v>0.25</v>
      </c>
      <c r="D3947" s="20" t="s">
        <v>3031</v>
      </c>
      <c r="E3947" t="s">
        <v>18</v>
      </c>
      <c r="F3947" t="s">
        <v>100</v>
      </c>
      <c r="G3947" t="s">
        <v>164</v>
      </c>
      <c r="H3947" t="e">
        <v>#VALUE!</v>
      </c>
      <c r="I3947" t="e">
        <f t="shared" si="63"/>
        <v>#VALUE!</v>
      </c>
    </row>
    <row r="3948" spans="1:9">
      <c r="A3948" s="1">
        <v>42500.530555555553</v>
      </c>
      <c r="B3948" s="19">
        <v>42776</v>
      </c>
      <c r="C3948" s="21">
        <v>0.95902777777777781</v>
      </c>
      <c r="D3948" s="20" t="s">
        <v>3063</v>
      </c>
      <c r="E3948" t="s">
        <v>6</v>
      </c>
      <c r="G3948" t="s">
        <v>555</v>
      </c>
      <c r="H3948">
        <v>7</v>
      </c>
      <c r="I3948">
        <f t="shared" si="63"/>
        <v>9</v>
      </c>
    </row>
    <row r="3949" spans="1:9">
      <c r="A3949" s="1">
        <v>42500.45</v>
      </c>
      <c r="B3949" s="19">
        <v>42776</v>
      </c>
      <c r="C3949" s="21">
        <v>0.76944444444444449</v>
      </c>
      <c r="D3949" s="20" t="s">
        <v>3045</v>
      </c>
      <c r="E3949" t="s">
        <v>2</v>
      </c>
      <c r="F3949" t="s">
        <v>5</v>
      </c>
      <c r="G3949" t="s">
        <v>557</v>
      </c>
      <c r="H3949">
        <v>23</v>
      </c>
      <c r="I3949">
        <f t="shared" si="63"/>
        <v>29</v>
      </c>
    </row>
    <row r="3950" spans="1:9">
      <c r="A3950" s="1">
        <v>42500.342361111114</v>
      </c>
      <c r="B3950" s="19">
        <v>42776</v>
      </c>
      <c r="C3950" s="21">
        <v>0.7631944444444444</v>
      </c>
      <c r="D3950" s="20" t="s">
        <v>3045</v>
      </c>
      <c r="E3950" t="s">
        <v>6</v>
      </c>
      <c r="F3950" t="s">
        <v>21</v>
      </c>
      <c r="G3950" t="s">
        <v>558</v>
      </c>
      <c r="H3950">
        <v>9</v>
      </c>
      <c r="I3950">
        <f t="shared" si="63"/>
        <v>12</v>
      </c>
    </row>
    <row r="3951" spans="1:9">
      <c r="A3951" s="1">
        <v>42500.277083333334</v>
      </c>
      <c r="B3951" s="19">
        <v>42776</v>
      </c>
      <c r="C3951" s="21">
        <v>0.70833333333333337</v>
      </c>
      <c r="D3951" s="20" t="s">
        <v>3044</v>
      </c>
      <c r="E3951" t="s">
        <v>6</v>
      </c>
      <c r="F3951" t="s">
        <v>21</v>
      </c>
      <c r="G3951" t="s">
        <v>559</v>
      </c>
      <c r="H3951">
        <v>18</v>
      </c>
      <c r="I3951">
        <f t="shared" si="63"/>
        <v>23</v>
      </c>
    </row>
    <row r="3952" spans="1:9">
      <c r="A3952" s="1">
        <v>42500.261111111111</v>
      </c>
      <c r="B3952" s="19">
        <v>42776</v>
      </c>
      <c r="C3952" s="21">
        <v>0.35625000000000001</v>
      </c>
      <c r="D3952" s="20" t="s">
        <v>3034</v>
      </c>
      <c r="E3952" t="s">
        <v>6</v>
      </c>
      <c r="F3952" t="s">
        <v>76</v>
      </c>
      <c r="H3952">
        <v>9</v>
      </c>
      <c r="I3952">
        <f t="shared" si="63"/>
        <v>12</v>
      </c>
    </row>
    <row r="3953" spans="1:9">
      <c r="A3953" s="1">
        <v>42500.250694444447</v>
      </c>
      <c r="B3953" s="19">
        <v>42776</v>
      </c>
      <c r="C3953" s="21">
        <v>0.33333333333333331</v>
      </c>
      <c r="D3953" s="20" t="s">
        <v>3034</v>
      </c>
      <c r="E3953" t="s">
        <v>2</v>
      </c>
      <c r="F3953" t="s">
        <v>3</v>
      </c>
      <c r="G3953" t="s">
        <v>202</v>
      </c>
      <c r="H3953">
        <v>13</v>
      </c>
      <c r="I3953">
        <f t="shared" si="63"/>
        <v>17</v>
      </c>
    </row>
    <row r="3954" spans="1:9">
      <c r="A3954" s="1">
        <v>42500.242361111108</v>
      </c>
      <c r="B3954" s="19">
        <v>42776</v>
      </c>
      <c r="C3954" s="21">
        <v>0.19444444444444445</v>
      </c>
      <c r="D3954" s="20" t="s">
        <v>3054</v>
      </c>
      <c r="E3954" t="s">
        <v>6</v>
      </c>
      <c r="F3954" t="s">
        <v>12</v>
      </c>
      <c r="G3954" t="s">
        <v>563</v>
      </c>
      <c r="H3954">
        <v>3</v>
      </c>
      <c r="I3954">
        <f t="shared" si="63"/>
        <v>4</v>
      </c>
    </row>
    <row r="3955" spans="1:9">
      <c r="A3955" s="1">
        <v>42500.959027777775</v>
      </c>
      <c r="B3955" s="19">
        <v>42776</v>
      </c>
      <c r="C3955" s="21">
        <v>1.3888888888888889E-3</v>
      </c>
      <c r="D3955" s="20" t="s">
        <v>3050</v>
      </c>
      <c r="E3955" t="s">
        <v>6</v>
      </c>
      <c r="F3955" t="s">
        <v>12</v>
      </c>
      <c r="G3955" t="s">
        <v>563</v>
      </c>
      <c r="H3955">
        <v>13</v>
      </c>
      <c r="I3955">
        <f t="shared" si="63"/>
        <v>17</v>
      </c>
    </row>
    <row r="3956" spans="1:9">
      <c r="A3956" s="1">
        <v>42500.948611111111</v>
      </c>
      <c r="B3956" s="19">
        <v>42776</v>
      </c>
      <c r="C3956" s="21">
        <v>0.92986111111111114</v>
      </c>
      <c r="D3956" s="20" t="s">
        <v>3049</v>
      </c>
      <c r="E3956" t="s">
        <v>0</v>
      </c>
      <c r="G3956" t="s">
        <v>193</v>
      </c>
      <c r="H3956">
        <v>13</v>
      </c>
      <c r="I3956">
        <f t="shared" si="63"/>
        <v>17</v>
      </c>
    </row>
    <row r="3957" spans="1:9">
      <c r="A3957" s="1">
        <v>42500.714583333334</v>
      </c>
      <c r="B3957" s="19">
        <v>42776</v>
      </c>
      <c r="C3957" s="21">
        <v>0.90555555555555556</v>
      </c>
      <c r="D3957" s="20" t="s">
        <v>3048</v>
      </c>
      <c r="E3957" t="s">
        <v>0</v>
      </c>
      <c r="F3957" t="s">
        <v>10</v>
      </c>
      <c r="G3957" t="s">
        <v>556</v>
      </c>
      <c r="H3957">
        <v>13</v>
      </c>
      <c r="I3957">
        <f t="shared" si="63"/>
        <v>17</v>
      </c>
    </row>
    <row r="3958" spans="1:9">
      <c r="A3958" s="1">
        <v>42500.686805555553</v>
      </c>
      <c r="B3958" s="19">
        <v>42776</v>
      </c>
      <c r="C3958" s="21">
        <v>0.70208333333333328</v>
      </c>
      <c r="D3958" s="20" t="s">
        <v>3043</v>
      </c>
      <c r="E3958" t="s">
        <v>77</v>
      </c>
      <c r="F3958" t="s">
        <v>78</v>
      </c>
      <c r="G3958" t="s">
        <v>560</v>
      </c>
      <c r="H3958">
        <v>8</v>
      </c>
      <c r="I3958">
        <f t="shared" si="63"/>
        <v>10</v>
      </c>
    </row>
    <row r="3959" spans="1:9">
      <c r="A3959" s="1">
        <v>42500.287499999999</v>
      </c>
      <c r="B3959" s="19">
        <v>42776</v>
      </c>
      <c r="C3959" s="21">
        <v>0.58472222222222225</v>
      </c>
      <c r="D3959" s="20" t="s">
        <v>3040</v>
      </c>
      <c r="E3959" t="s">
        <v>18</v>
      </c>
      <c r="F3959" t="s">
        <v>100</v>
      </c>
      <c r="G3959" t="s">
        <v>561</v>
      </c>
      <c r="H3959" t="e">
        <v>#VALUE!</v>
      </c>
      <c r="I3959" t="e">
        <f t="shared" si="63"/>
        <v>#VALUE!</v>
      </c>
    </row>
    <row r="3960" spans="1:9">
      <c r="A3960" s="1">
        <v>42499.90902777778</v>
      </c>
      <c r="B3960" s="19">
        <v>42776</v>
      </c>
      <c r="C3960" s="21">
        <v>0.58263888888888893</v>
      </c>
      <c r="D3960" s="20" t="s">
        <v>3039</v>
      </c>
      <c r="E3960" t="s">
        <v>0</v>
      </c>
      <c r="G3960" t="s">
        <v>9</v>
      </c>
      <c r="H3960">
        <v>13</v>
      </c>
      <c r="I3960">
        <f t="shared" si="63"/>
        <v>17</v>
      </c>
    </row>
    <row r="3961" spans="1:9">
      <c r="A3961" s="1">
        <v>42499.785416666666</v>
      </c>
      <c r="B3961" s="19">
        <v>42776</v>
      </c>
      <c r="C3961" s="21">
        <v>0.57986111111111116</v>
      </c>
      <c r="D3961" s="20" t="s">
        <v>3039</v>
      </c>
      <c r="E3961" t="s">
        <v>0</v>
      </c>
      <c r="F3961" t="s">
        <v>10</v>
      </c>
      <c r="G3961" t="s">
        <v>145</v>
      </c>
      <c r="H3961">
        <v>13</v>
      </c>
      <c r="I3961">
        <f t="shared" si="63"/>
        <v>17</v>
      </c>
    </row>
    <row r="3962" spans="1:9">
      <c r="A3962" s="1">
        <v>42499.7</v>
      </c>
      <c r="B3962" s="19">
        <v>42776</v>
      </c>
      <c r="C3962" s="21">
        <v>0.43194444444444446</v>
      </c>
      <c r="D3962" s="20" t="s">
        <v>3036</v>
      </c>
      <c r="E3962" t="s">
        <v>0</v>
      </c>
      <c r="G3962" t="s">
        <v>562</v>
      </c>
      <c r="H3962">
        <v>7</v>
      </c>
      <c r="I3962">
        <f t="shared" si="63"/>
        <v>9</v>
      </c>
    </row>
    <row r="3963" spans="1:9">
      <c r="A3963" s="1">
        <v>42499.692361111112</v>
      </c>
      <c r="B3963" s="19">
        <v>42776</v>
      </c>
      <c r="C3963" s="21">
        <v>0.19236111111111112</v>
      </c>
      <c r="D3963" s="20" t="s">
        <v>3054</v>
      </c>
      <c r="E3963" t="s">
        <v>0</v>
      </c>
      <c r="F3963" t="s">
        <v>75</v>
      </c>
      <c r="H3963">
        <v>4</v>
      </c>
      <c r="I3963">
        <f t="shared" si="63"/>
        <v>5</v>
      </c>
    </row>
    <row r="3964" spans="1:9">
      <c r="A3964" s="1">
        <v>42499.668749999997</v>
      </c>
      <c r="B3964" s="19">
        <v>42779</v>
      </c>
      <c r="C3964" s="21">
        <v>0.77361111111111114</v>
      </c>
      <c r="D3964" s="20" t="s">
        <v>3045</v>
      </c>
      <c r="E3964" t="s">
        <v>2</v>
      </c>
      <c r="F3964" t="s">
        <v>3</v>
      </c>
      <c r="G3964" t="s">
        <v>551</v>
      </c>
      <c r="H3964">
        <v>13</v>
      </c>
      <c r="I3964">
        <f t="shared" si="63"/>
        <v>17</v>
      </c>
    </row>
    <row r="3965" spans="1:9">
      <c r="A3965" s="1">
        <v>42499.600694444445</v>
      </c>
      <c r="B3965" s="19">
        <v>42779</v>
      </c>
      <c r="C3965" s="21">
        <v>0.54652777777777772</v>
      </c>
      <c r="D3965" s="20" t="s">
        <v>3039</v>
      </c>
      <c r="E3965" t="s">
        <v>6</v>
      </c>
      <c r="F3965" t="s">
        <v>21</v>
      </c>
      <c r="G3965" t="s">
        <v>248</v>
      </c>
      <c r="H3965">
        <v>13</v>
      </c>
      <c r="I3965">
        <f t="shared" si="63"/>
        <v>17</v>
      </c>
    </row>
    <row r="3966" spans="1:9">
      <c r="A3966" s="1">
        <v>42499.584722222222</v>
      </c>
      <c r="B3966" s="19">
        <v>42779</v>
      </c>
      <c r="C3966" s="21">
        <v>0.54027777777777775</v>
      </c>
      <c r="D3966" s="20" t="s">
        <v>3038</v>
      </c>
      <c r="E3966" t="s">
        <v>6</v>
      </c>
      <c r="F3966" t="s">
        <v>21</v>
      </c>
      <c r="G3966" t="s">
        <v>552</v>
      </c>
      <c r="H3966">
        <v>19</v>
      </c>
      <c r="I3966">
        <f t="shared" si="63"/>
        <v>24</v>
      </c>
    </row>
    <row r="3967" spans="1:9">
      <c r="A3967" s="1">
        <v>42499.488888888889</v>
      </c>
      <c r="B3967" s="19">
        <v>42779</v>
      </c>
      <c r="C3967" s="21">
        <v>0.52777777777777779</v>
      </c>
      <c r="D3967" s="20" t="s">
        <v>3038</v>
      </c>
      <c r="E3967" t="s">
        <v>6</v>
      </c>
      <c r="F3967" t="s">
        <v>21</v>
      </c>
      <c r="G3967" t="s">
        <v>248</v>
      </c>
      <c r="H3967">
        <v>10</v>
      </c>
      <c r="I3967">
        <f t="shared" si="63"/>
        <v>13</v>
      </c>
    </row>
    <row r="3968" spans="1:9">
      <c r="A3968" s="1">
        <v>42499.38958333333</v>
      </c>
      <c r="B3968" s="19">
        <v>42779</v>
      </c>
      <c r="C3968" s="21">
        <v>0.52777777777777779</v>
      </c>
      <c r="D3968" s="20" t="s">
        <v>3038</v>
      </c>
      <c r="E3968" t="s">
        <v>6</v>
      </c>
      <c r="F3968" t="s">
        <v>15</v>
      </c>
      <c r="G3968" t="s">
        <v>248</v>
      </c>
      <c r="H3968">
        <v>9</v>
      </c>
      <c r="I3968">
        <f t="shared" si="63"/>
        <v>12</v>
      </c>
    </row>
    <row r="3969" spans="1:9">
      <c r="A3969" s="1">
        <v>42499.253472222219</v>
      </c>
      <c r="B3969" s="19">
        <v>42779</v>
      </c>
      <c r="C3969" s="21">
        <v>0.46458333333333335</v>
      </c>
      <c r="D3969" s="20" t="s">
        <v>3037</v>
      </c>
      <c r="E3969" t="s">
        <v>6</v>
      </c>
      <c r="F3969" t="s">
        <v>7</v>
      </c>
      <c r="G3969" t="s">
        <v>248</v>
      </c>
      <c r="H3969">
        <v>4</v>
      </c>
      <c r="I3969">
        <f t="shared" si="63"/>
        <v>5</v>
      </c>
    </row>
    <row r="3970" spans="1:9">
      <c r="A3970" s="1">
        <v>42499.852777777778</v>
      </c>
      <c r="B3970" s="19">
        <v>42779</v>
      </c>
      <c r="C3970" s="21">
        <v>0.42986111111111114</v>
      </c>
      <c r="D3970" s="20" t="s">
        <v>3036</v>
      </c>
      <c r="E3970" t="s">
        <v>6</v>
      </c>
      <c r="F3970" t="s">
        <v>21</v>
      </c>
      <c r="G3970" t="s">
        <v>248</v>
      </c>
      <c r="H3970">
        <v>12</v>
      </c>
      <c r="I3970">
        <f t="shared" si="63"/>
        <v>15</v>
      </c>
    </row>
    <row r="3971" spans="1:9">
      <c r="A3971" s="1">
        <v>42499.77847222222</v>
      </c>
      <c r="B3971" s="19">
        <v>42779</v>
      </c>
      <c r="C3971" s="21">
        <v>0.37569444444444444</v>
      </c>
      <c r="D3971" s="20" t="s">
        <v>3035</v>
      </c>
      <c r="E3971" t="s">
        <v>6</v>
      </c>
      <c r="F3971" t="s">
        <v>15</v>
      </c>
      <c r="G3971" t="s">
        <v>248</v>
      </c>
      <c r="H3971">
        <v>15</v>
      </c>
      <c r="I3971">
        <f t="shared" ref="I3971:I4034" si="64">ROUNDUP((H3971*1.24), 0)</f>
        <v>19</v>
      </c>
    </row>
    <row r="3972" spans="1:9">
      <c r="A3972" s="1">
        <v>42499.752083333333</v>
      </c>
      <c r="B3972" s="19">
        <v>42779</v>
      </c>
      <c r="C3972" s="21">
        <v>0.33888888888888891</v>
      </c>
      <c r="D3972" s="20" t="s">
        <v>3034</v>
      </c>
      <c r="E3972" t="s">
        <v>2</v>
      </c>
      <c r="F3972" t="s">
        <v>48</v>
      </c>
      <c r="H3972">
        <v>4</v>
      </c>
      <c r="I3972">
        <f t="shared" si="64"/>
        <v>5</v>
      </c>
    </row>
    <row r="3973" spans="1:9">
      <c r="A3973" s="1">
        <v>42499.714583333334</v>
      </c>
      <c r="B3973" s="19">
        <v>42779</v>
      </c>
      <c r="C3973" s="21">
        <v>0.28472222222222221</v>
      </c>
      <c r="D3973" s="20" t="s">
        <v>3031</v>
      </c>
      <c r="E3973" t="s">
        <v>6</v>
      </c>
      <c r="G3973" t="s">
        <v>554</v>
      </c>
      <c r="H3973" t="e">
        <v>#VALUE!</v>
      </c>
      <c r="I3973" t="e">
        <f t="shared" si="64"/>
        <v>#VALUE!</v>
      </c>
    </row>
    <row r="3974" spans="1:9">
      <c r="A3974" s="1">
        <v>42499.372916666667</v>
      </c>
      <c r="B3974" s="19">
        <v>42779</v>
      </c>
      <c r="C3974" s="21">
        <v>0.28333333333333333</v>
      </c>
      <c r="D3974" s="20" t="s">
        <v>3031</v>
      </c>
      <c r="E3974" t="s">
        <v>2</v>
      </c>
      <c r="F3974" t="s">
        <v>5</v>
      </c>
      <c r="H3974">
        <v>25</v>
      </c>
      <c r="I3974">
        <f t="shared" si="64"/>
        <v>31</v>
      </c>
    </row>
    <row r="3975" spans="1:9">
      <c r="A3975" s="1">
        <v>42499.289583333331</v>
      </c>
      <c r="B3975" s="19">
        <v>42779</v>
      </c>
      <c r="C3975" s="21">
        <v>0.91666666666666663</v>
      </c>
      <c r="D3975" s="20" t="s">
        <v>3049</v>
      </c>
      <c r="E3975" t="s">
        <v>0</v>
      </c>
      <c r="F3975" t="s">
        <v>10</v>
      </c>
      <c r="G3975" t="s">
        <v>145</v>
      </c>
      <c r="H3975">
        <v>13</v>
      </c>
      <c r="I3975">
        <f t="shared" si="64"/>
        <v>17</v>
      </c>
    </row>
    <row r="3976" spans="1:9">
      <c r="A3976" s="1">
        <v>42499.253472222219</v>
      </c>
      <c r="B3976" s="19">
        <v>42779</v>
      </c>
      <c r="C3976" s="21">
        <v>0.58402777777777781</v>
      </c>
      <c r="D3976" s="20" t="s">
        <v>3040</v>
      </c>
      <c r="E3976" t="s">
        <v>0</v>
      </c>
      <c r="G3976" t="s">
        <v>9</v>
      </c>
      <c r="H3976">
        <v>13</v>
      </c>
      <c r="I3976">
        <f t="shared" si="64"/>
        <v>17</v>
      </c>
    </row>
    <row r="3977" spans="1:9">
      <c r="A3977" s="1">
        <v>42496.688888888886</v>
      </c>
      <c r="B3977" s="19">
        <v>42779</v>
      </c>
      <c r="C3977" s="21">
        <v>0.33958333333333335</v>
      </c>
      <c r="D3977" s="20" t="s">
        <v>3034</v>
      </c>
      <c r="E3977" t="s">
        <v>0</v>
      </c>
      <c r="F3977" t="s">
        <v>1</v>
      </c>
      <c r="H3977">
        <v>9</v>
      </c>
      <c r="I3977">
        <f t="shared" si="64"/>
        <v>12</v>
      </c>
    </row>
    <row r="3978" spans="1:9">
      <c r="A3978" s="1">
        <v>42496.98333333333</v>
      </c>
      <c r="B3978" s="19">
        <v>42779</v>
      </c>
      <c r="C3978" s="21">
        <v>0.30416666666666664</v>
      </c>
      <c r="D3978" s="20" t="s">
        <v>3033</v>
      </c>
      <c r="E3978" t="s">
        <v>18</v>
      </c>
      <c r="F3978" t="s">
        <v>71</v>
      </c>
      <c r="G3978" t="s">
        <v>553</v>
      </c>
      <c r="H3978" t="e">
        <v>#VALUE!</v>
      </c>
      <c r="I3978" t="e">
        <f t="shared" si="64"/>
        <v>#VALUE!</v>
      </c>
    </row>
    <row r="3979" spans="1:9">
      <c r="A3979" s="1">
        <v>42496.977777777778</v>
      </c>
      <c r="B3979" s="19">
        <v>42779</v>
      </c>
      <c r="C3979" s="21">
        <v>0.25833333333333336</v>
      </c>
      <c r="D3979" s="20" t="s">
        <v>3031</v>
      </c>
      <c r="E3979" t="s">
        <v>0</v>
      </c>
      <c r="G3979" t="s">
        <v>9</v>
      </c>
      <c r="H3979">
        <v>13</v>
      </c>
      <c r="I3979">
        <f t="shared" si="64"/>
        <v>17</v>
      </c>
    </row>
    <row r="3980" spans="1:9">
      <c r="A3980" s="1">
        <v>42496.944444444445</v>
      </c>
      <c r="B3980" s="19">
        <v>42780</v>
      </c>
      <c r="C3980" s="21">
        <v>0.94305555555555554</v>
      </c>
      <c r="D3980" s="20" t="s">
        <v>3049</v>
      </c>
      <c r="E3980" t="s">
        <v>6</v>
      </c>
      <c r="F3980" t="s">
        <v>46</v>
      </c>
      <c r="G3980" t="s">
        <v>543</v>
      </c>
      <c r="H3980" t="e">
        <v>#VALUE!</v>
      </c>
      <c r="I3980" t="e">
        <f t="shared" si="64"/>
        <v>#VALUE!</v>
      </c>
    </row>
    <row r="3981" spans="1:9">
      <c r="A3981" s="1">
        <v>42496.918749999997</v>
      </c>
      <c r="B3981" s="19">
        <v>42780</v>
      </c>
      <c r="C3981" s="21">
        <v>0.75694444444444442</v>
      </c>
      <c r="D3981" s="20" t="s">
        <v>3045</v>
      </c>
      <c r="E3981" t="s">
        <v>6</v>
      </c>
      <c r="F3981" t="s">
        <v>21</v>
      </c>
      <c r="G3981" t="s">
        <v>545</v>
      </c>
      <c r="H3981">
        <v>4</v>
      </c>
      <c r="I3981">
        <f t="shared" si="64"/>
        <v>5</v>
      </c>
    </row>
    <row r="3982" spans="1:9">
      <c r="A3982" s="1">
        <v>42496.913888888892</v>
      </c>
      <c r="B3982" s="19">
        <v>42780</v>
      </c>
      <c r="C3982" s="21">
        <v>0.35486111111111113</v>
      </c>
      <c r="D3982" s="20" t="s">
        <v>3034</v>
      </c>
      <c r="E3982" t="s">
        <v>6</v>
      </c>
      <c r="F3982" t="s">
        <v>12</v>
      </c>
      <c r="G3982" t="s">
        <v>195</v>
      </c>
      <c r="H3982" t="e">
        <v>#VALUE!</v>
      </c>
      <c r="I3982" t="e">
        <f t="shared" si="64"/>
        <v>#VALUE!</v>
      </c>
    </row>
    <row r="3983" spans="1:9">
      <c r="A3983" s="1">
        <v>42496.902777777781</v>
      </c>
      <c r="B3983" s="19">
        <v>42780</v>
      </c>
      <c r="C3983" s="21">
        <v>0.89375000000000004</v>
      </c>
      <c r="D3983" s="20" t="s">
        <v>3048</v>
      </c>
      <c r="E3983" t="s">
        <v>77</v>
      </c>
      <c r="F3983" t="s">
        <v>78</v>
      </c>
      <c r="G3983" t="s">
        <v>544</v>
      </c>
      <c r="H3983">
        <v>19</v>
      </c>
      <c r="I3983">
        <f t="shared" si="64"/>
        <v>24</v>
      </c>
    </row>
    <row r="3984" spans="1:9">
      <c r="A3984" s="1">
        <v>42496.895833333336</v>
      </c>
      <c r="B3984" s="19">
        <v>42780</v>
      </c>
      <c r="C3984" s="21">
        <v>0.61736111111111114</v>
      </c>
      <c r="D3984" s="20" t="s">
        <v>3040</v>
      </c>
      <c r="E3984" t="s">
        <v>0</v>
      </c>
      <c r="G3984" t="s">
        <v>9</v>
      </c>
      <c r="H3984">
        <v>13</v>
      </c>
      <c r="I3984">
        <f t="shared" si="64"/>
        <v>17</v>
      </c>
    </row>
    <row r="3985" spans="1:9">
      <c r="A3985" s="1">
        <v>42496.854861111111</v>
      </c>
      <c r="B3985" s="19">
        <v>42780</v>
      </c>
      <c r="C3985" s="21">
        <v>0.52847222222222223</v>
      </c>
      <c r="D3985" s="20" t="s">
        <v>3038</v>
      </c>
      <c r="E3985" t="s">
        <v>18</v>
      </c>
      <c r="F3985" t="s">
        <v>100</v>
      </c>
      <c r="G3985" t="s">
        <v>546</v>
      </c>
      <c r="H3985">
        <v>7</v>
      </c>
      <c r="I3985">
        <f t="shared" si="64"/>
        <v>9</v>
      </c>
    </row>
    <row r="3986" spans="1:9">
      <c r="A3986" s="1">
        <v>42496.574305555558</v>
      </c>
      <c r="B3986" s="19">
        <v>42780</v>
      </c>
      <c r="C3986" s="21">
        <v>0.41736111111111113</v>
      </c>
      <c r="D3986" s="20" t="s">
        <v>3036</v>
      </c>
      <c r="E3986" t="s">
        <v>18</v>
      </c>
      <c r="F3986" t="s">
        <v>100</v>
      </c>
      <c r="G3986" t="s">
        <v>547</v>
      </c>
      <c r="H3986" t="e">
        <v>#VALUE!</v>
      </c>
      <c r="I3986" t="e">
        <f t="shared" si="64"/>
        <v>#VALUE!</v>
      </c>
    </row>
    <row r="3987" spans="1:9">
      <c r="A3987" s="1">
        <v>42496.507638888892</v>
      </c>
      <c r="B3987" s="19">
        <v>42780</v>
      </c>
      <c r="C3987" s="21">
        <v>0.3888888888888889</v>
      </c>
      <c r="D3987" s="20" t="s">
        <v>3035</v>
      </c>
      <c r="E3987" t="s">
        <v>0</v>
      </c>
      <c r="F3987" t="s">
        <v>313</v>
      </c>
      <c r="G3987" t="s">
        <v>548</v>
      </c>
      <c r="H3987">
        <v>5</v>
      </c>
      <c r="I3987">
        <f t="shared" si="64"/>
        <v>7</v>
      </c>
    </row>
    <row r="3988" spans="1:9">
      <c r="A3988" s="1">
        <v>42496.498611111114</v>
      </c>
      <c r="B3988" s="19">
        <v>42780</v>
      </c>
      <c r="C3988" s="21">
        <v>0.25694444444444442</v>
      </c>
      <c r="D3988" s="20" t="s">
        <v>3031</v>
      </c>
      <c r="E3988" t="s">
        <v>18</v>
      </c>
      <c r="F3988" t="s">
        <v>100</v>
      </c>
      <c r="G3988" t="s">
        <v>549</v>
      </c>
      <c r="H3988" t="e">
        <v>#VALUE!</v>
      </c>
      <c r="I3988" t="e">
        <f t="shared" si="64"/>
        <v>#VALUE!</v>
      </c>
    </row>
    <row r="3989" spans="1:9">
      <c r="A3989" s="1">
        <v>42496.468055555553</v>
      </c>
      <c r="B3989" s="19">
        <v>42780</v>
      </c>
      <c r="C3989" s="21">
        <v>0.25486111111111109</v>
      </c>
      <c r="D3989" s="20" t="s">
        <v>3031</v>
      </c>
      <c r="E3989" t="s">
        <v>0</v>
      </c>
      <c r="G3989" t="s">
        <v>277</v>
      </c>
      <c r="H3989">
        <v>13</v>
      </c>
      <c r="I3989">
        <f t="shared" si="64"/>
        <v>17</v>
      </c>
    </row>
    <row r="3990" spans="1:9">
      <c r="A3990" s="1">
        <v>42496.209027777775</v>
      </c>
      <c r="B3990" s="19">
        <v>42780</v>
      </c>
      <c r="C3990" s="21">
        <v>0.25208333333333333</v>
      </c>
      <c r="D3990" s="20" t="s">
        <v>3031</v>
      </c>
      <c r="E3990" t="s">
        <v>0</v>
      </c>
      <c r="F3990" t="s">
        <v>10</v>
      </c>
      <c r="H3990">
        <v>13</v>
      </c>
      <c r="I3990">
        <f t="shared" si="64"/>
        <v>17</v>
      </c>
    </row>
    <row r="3991" spans="1:9">
      <c r="A3991" s="1">
        <v>42495.895833333336</v>
      </c>
      <c r="B3991" s="19">
        <v>42780</v>
      </c>
      <c r="C3991" s="21">
        <v>0.24305555555555555</v>
      </c>
      <c r="D3991" s="20" t="s">
        <v>3055</v>
      </c>
      <c r="E3991" t="s">
        <v>0</v>
      </c>
      <c r="F3991" t="s">
        <v>10</v>
      </c>
      <c r="G3991" t="s">
        <v>145</v>
      </c>
      <c r="H3991">
        <v>13</v>
      </c>
      <c r="I3991">
        <f t="shared" si="64"/>
        <v>17</v>
      </c>
    </row>
    <row r="3992" spans="1:9">
      <c r="A3992" s="1">
        <v>42495.832638888889</v>
      </c>
      <c r="B3992" s="19">
        <v>42780</v>
      </c>
      <c r="C3992" s="21">
        <v>0.12708333333333333</v>
      </c>
      <c r="D3992" s="20" t="s">
        <v>3053</v>
      </c>
      <c r="E3992" t="s">
        <v>0</v>
      </c>
      <c r="G3992" t="s">
        <v>550</v>
      </c>
      <c r="H3992">
        <v>7</v>
      </c>
      <c r="I3992">
        <f t="shared" si="64"/>
        <v>9</v>
      </c>
    </row>
    <row r="3993" spans="1:9">
      <c r="A3993" s="1">
        <v>42495.668055555558</v>
      </c>
      <c r="B3993" s="19">
        <v>42781</v>
      </c>
      <c r="C3993" s="21">
        <v>0.96666666666666667</v>
      </c>
      <c r="D3993" s="20" t="s">
        <v>3063</v>
      </c>
      <c r="E3993" t="s">
        <v>6</v>
      </c>
      <c r="F3993" t="s">
        <v>15</v>
      </c>
      <c r="G3993" t="s">
        <v>538</v>
      </c>
      <c r="H3993">
        <v>8</v>
      </c>
      <c r="I3993">
        <f t="shared" si="64"/>
        <v>10</v>
      </c>
    </row>
    <row r="3994" spans="1:9">
      <c r="A3994" s="1">
        <v>42495.595833333333</v>
      </c>
      <c r="B3994" s="19">
        <v>42781</v>
      </c>
      <c r="C3994" s="21">
        <v>0.51180555555555551</v>
      </c>
      <c r="D3994" s="20" t="s">
        <v>3038</v>
      </c>
      <c r="E3994" t="s">
        <v>6</v>
      </c>
      <c r="F3994" t="s">
        <v>12</v>
      </c>
      <c r="G3994" t="s">
        <v>195</v>
      </c>
      <c r="H3994">
        <v>4</v>
      </c>
      <c r="I3994">
        <f t="shared" si="64"/>
        <v>5</v>
      </c>
    </row>
    <row r="3995" spans="1:9">
      <c r="A3995" s="1">
        <v>42495.588194444441</v>
      </c>
      <c r="B3995" s="19">
        <v>42781</v>
      </c>
      <c r="C3995" s="21">
        <v>0.49375000000000002</v>
      </c>
      <c r="D3995" s="20" t="s">
        <v>3037</v>
      </c>
      <c r="E3995" t="s">
        <v>6</v>
      </c>
      <c r="F3995" t="s">
        <v>12</v>
      </c>
      <c r="G3995" t="s">
        <v>195</v>
      </c>
      <c r="H3995">
        <v>4</v>
      </c>
      <c r="I3995">
        <f t="shared" si="64"/>
        <v>5</v>
      </c>
    </row>
    <row r="3996" spans="1:9">
      <c r="A3996" s="1">
        <v>42495.55</v>
      </c>
      <c r="B3996" s="19">
        <v>42781</v>
      </c>
      <c r="C3996" s="21">
        <v>0.48749999999999999</v>
      </c>
      <c r="D3996" s="20" t="s">
        <v>3037</v>
      </c>
      <c r="E3996" t="s">
        <v>6</v>
      </c>
      <c r="F3996" t="s">
        <v>12</v>
      </c>
      <c r="G3996" t="s">
        <v>195</v>
      </c>
      <c r="H3996">
        <v>4</v>
      </c>
      <c r="I3996">
        <f t="shared" si="64"/>
        <v>5</v>
      </c>
    </row>
    <row r="3997" spans="1:9">
      <c r="A3997" s="1">
        <v>42495.48333333333</v>
      </c>
      <c r="B3997" s="19">
        <v>42781</v>
      </c>
      <c r="C3997" s="21">
        <v>0.46666666666666667</v>
      </c>
      <c r="D3997" s="20" t="s">
        <v>3037</v>
      </c>
      <c r="E3997" t="s">
        <v>6</v>
      </c>
      <c r="F3997" t="s">
        <v>12</v>
      </c>
      <c r="G3997" t="s">
        <v>195</v>
      </c>
      <c r="H3997">
        <v>4</v>
      </c>
      <c r="I3997">
        <f t="shared" si="64"/>
        <v>5</v>
      </c>
    </row>
    <row r="3998" spans="1:9">
      <c r="A3998" s="1">
        <v>42495.227083333331</v>
      </c>
      <c r="B3998" s="19">
        <v>42781</v>
      </c>
      <c r="C3998" s="21">
        <v>0.27430555555555558</v>
      </c>
      <c r="D3998" s="20" t="s">
        <v>3031</v>
      </c>
      <c r="E3998" t="s">
        <v>6</v>
      </c>
      <c r="F3998" t="s">
        <v>46</v>
      </c>
      <c r="G3998" t="s">
        <v>540</v>
      </c>
      <c r="H3998" t="e">
        <v>#VALUE!</v>
      </c>
      <c r="I3998" t="e">
        <f t="shared" si="64"/>
        <v>#VALUE!</v>
      </c>
    </row>
    <row r="3999" spans="1:9">
      <c r="A3999" s="1">
        <v>42495.938888888886</v>
      </c>
      <c r="B3999" s="19">
        <v>42781</v>
      </c>
      <c r="C3999" s="21">
        <v>0.75763888888888886</v>
      </c>
      <c r="D3999" s="20" t="s">
        <v>3045</v>
      </c>
      <c r="E3999" t="s">
        <v>77</v>
      </c>
      <c r="G3999" t="s">
        <v>539</v>
      </c>
      <c r="H3999">
        <v>19</v>
      </c>
      <c r="I3999">
        <f t="shared" si="64"/>
        <v>24</v>
      </c>
    </row>
    <row r="4000" spans="1:9">
      <c r="A4000" s="1">
        <v>42495.916666666664</v>
      </c>
      <c r="B4000" s="19">
        <v>42781</v>
      </c>
      <c r="C4000" s="21">
        <v>0.58402777777777781</v>
      </c>
      <c r="D4000" s="20" t="s">
        <v>3040</v>
      </c>
      <c r="E4000" t="s">
        <v>0</v>
      </c>
      <c r="G4000" t="s">
        <v>9</v>
      </c>
      <c r="H4000">
        <v>13</v>
      </c>
      <c r="I4000">
        <f t="shared" si="64"/>
        <v>17</v>
      </c>
    </row>
    <row r="4001" spans="1:9">
      <c r="A4001" s="1">
        <v>42495.892361111109</v>
      </c>
      <c r="B4001" s="19">
        <v>42781</v>
      </c>
      <c r="C4001" s="21">
        <v>0.25416666666666665</v>
      </c>
      <c r="D4001" s="20" t="s">
        <v>3031</v>
      </c>
      <c r="E4001" t="s">
        <v>18</v>
      </c>
      <c r="F4001" t="s">
        <v>71</v>
      </c>
      <c r="G4001" t="s">
        <v>541</v>
      </c>
      <c r="H4001" t="e">
        <v>#VALUE!</v>
      </c>
      <c r="I4001" t="e">
        <f t="shared" si="64"/>
        <v>#VALUE!</v>
      </c>
    </row>
    <row r="4002" spans="1:9">
      <c r="A4002" s="1">
        <v>42495.799305555556</v>
      </c>
      <c r="B4002" s="19">
        <v>42781</v>
      </c>
      <c r="C4002" s="21">
        <v>0.25416666666666665</v>
      </c>
      <c r="D4002" s="20" t="s">
        <v>3031</v>
      </c>
      <c r="E4002" t="s">
        <v>18</v>
      </c>
      <c r="F4002" t="s">
        <v>71</v>
      </c>
      <c r="G4002" t="s">
        <v>542</v>
      </c>
      <c r="H4002" t="e">
        <v>#VALUE!</v>
      </c>
      <c r="I4002" t="e">
        <f t="shared" si="64"/>
        <v>#VALUE!</v>
      </c>
    </row>
    <row r="4003" spans="1:9">
      <c r="A4003" s="1">
        <v>42495.754166666666</v>
      </c>
      <c r="B4003" s="19">
        <v>42781</v>
      </c>
      <c r="C4003" s="21">
        <v>0.25347222222222221</v>
      </c>
      <c r="D4003" s="20" t="s">
        <v>3031</v>
      </c>
      <c r="E4003" t="s">
        <v>0</v>
      </c>
      <c r="G4003" t="s">
        <v>216</v>
      </c>
      <c r="H4003">
        <v>13</v>
      </c>
      <c r="I4003">
        <f t="shared" si="64"/>
        <v>17</v>
      </c>
    </row>
    <row r="4004" spans="1:9">
      <c r="A4004" s="1">
        <v>42495.645138888889</v>
      </c>
      <c r="B4004" s="19">
        <v>42782</v>
      </c>
      <c r="C4004" s="21">
        <v>0.72986111111111107</v>
      </c>
      <c r="D4004" s="20" t="s">
        <v>3044</v>
      </c>
      <c r="E4004" t="s">
        <v>6</v>
      </c>
      <c r="F4004" t="s">
        <v>273</v>
      </c>
      <c r="G4004" t="s">
        <v>83</v>
      </c>
      <c r="H4004">
        <v>10</v>
      </c>
      <c r="I4004">
        <f t="shared" si="64"/>
        <v>13</v>
      </c>
    </row>
    <row r="4005" spans="1:9">
      <c r="A4005" s="1">
        <v>42495.534722222219</v>
      </c>
      <c r="B4005" s="19">
        <v>42782</v>
      </c>
      <c r="C4005" s="21">
        <v>0.70972222222222225</v>
      </c>
      <c r="D4005" s="20" t="s">
        <v>3044</v>
      </c>
      <c r="E4005" t="s">
        <v>2</v>
      </c>
      <c r="F4005" t="s">
        <v>56</v>
      </c>
      <c r="G4005" t="s">
        <v>529</v>
      </c>
      <c r="H4005">
        <v>38</v>
      </c>
      <c r="I4005">
        <f t="shared" si="64"/>
        <v>48</v>
      </c>
    </row>
    <row r="4006" spans="1:9">
      <c r="A4006" s="1">
        <v>42495.490277777775</v>
      </c>
      <c r="B4006" s="19">
        <v>42782</v>
      </c>
      <c r="C4006" s="21">
        <v>0.63055555555555554</v>
      </c>
      <c r="D4006" s="20" t="s">
        <v>3042</v>
      </c>
      <c r="E4006" t="s">
        <v>2</v>
      </c>
      <c r="F4006" t="s">
        <v>48</v>
      </c>
      <c r="G4006" t="s">
        <v>530</v>
      </c>
      <c r="H4006">
        <v>15</v>
      </c>
      <c r="I4006">
        <f t="shared" si="64"/>
        <v>19</v>
      </c>
    </row>
    <row r="4007" spans="1:9">
      <c r="A4007" s="1">
        <v>42495.191666666666</v>
      </c>
      <c r="B4007" s="19">
        <v>42782</v>
      </c>
      <c r="C4007" s="21">
        <v>0.42777777777777776</v>
      </c>
      <c r="D4007" s="20" t="s">
        <v>3036</v>
      </c>
      <c r="E4007" t="s">
        <v>6</v>
      </c>
      <c r="F4007" t="s">
        <v>12</v>
      </c>
      <c r="G4007" t="s">
        <v>531</v>
      </c>
      <c r="H4007">
        <v>22</v>
      </c>
      <c r="I4007">
        <f t="shared" si="64"/>
        <v>28</v>
      </c>
    </row>
    <row r="4008" spans="1:9">
      <c r="A4008" s="1">
        <v>42495.018750000003</v>
      </c>
      <c r="B4008" s="19">
        <v>42782</v>
      </c>
      <c r="C4008" s="21">
        <v>0.32847222222222222</v>
      </c>
      <c r="D4008" s="20" t="s">
        <v>3033</v>
      </c>
      <c r="E4008" t="s">
        <v>2</v>
      </c>
      <c r="F4008" t="s">
        <v>5</v>
      </c>
      <c r="H4008">
        <v>8</v>
      </c>
      <c r="I4008">
        <f t="shared" si="64"/>
        <v>10</v>
      </c>
    </row>
    <row r="4009" spans="1:9">
      <c r="A4009" s="1">
        <v>42494.800694444442</v>
      </c>
      <c r="B4009" s="19">
        <v>42782</v>
      </c>
      <c r="C4009" s="21">
        <v>0.31874999999999998</v>
      </c>
      <c r="D4009" s="20" t="s">
        <v>3033</v>
      </c>
      <c r="E4009" t="s">
        <v>6</v>
      </c>
      <c r="F4009" t="s">
        <v>46</v>
      </c>
      <c r="G4009" t="s">
        <v>532</v>
      </c>
      <c r="H4009">
        <v>15</v>
      </c>
      <c r="I4009">
        <f t="shared" si="64"/>
        <v>19</v>
      </c>
    </row>
    <row r="4010" spans="1:9">
      <c r="A4010" s="1">
        <v>42494.582638888889</v>
      </c>
      <c r="B4010" s="19">
        <v>42782</v>
      </c>
      <c r="C4010" s="21">
        <v>0.28194444444444444</v>
      </c>
      <c r="D4010" s="20" t="s">
        <v>3031</v>
      </c>
      <c r="E4010" t="s">
        <v>6</v>
      </c>
      <c r="F4010" t="s">
        <v>21</v>
      </c>
      <c r="G4010" t="s">
        <v>533</v>
      </c>
      <c r="H4010" t="e">
        <v>#VALUE!</v>
      </c>
      <c r="I4010" t="e">
        <f t="shared" si="64"/>
        <v>#VALUE!</v>
      </c>
    </row>
    <row r="4011" spans="1:9">
      <c r="A4011" s="1">
        <v>42494.542361111111</v>
      </c>
      <c r="B4011" s="19">
        <v>42782</v>
      </c>
      <c r="C4011" s="21">
        <v>0.18819444444444444</v>
      </c>
      <c r="D4011" s="20" t="s">
        <v>3054</v>
      </c>
      <c r="E4011" t="s">
        <v>2</v>
      </c>
      <c r="F4011" t="s">
        <v>5</v>
      </c>
      <c r="G4011" t="s">
        <v>535</v>
      </c>
      <c r="H4011">
        <v>35</v>
      </c>
      <c r="I4011">
        <f t="shared" si="64"/>
        <v>44</v>
      </c>
    </row>
    <row r="4012" spans="1:9">
      <c r="A4012" s="1">
        <v>42494.518055555556</v>
      </c>
      <c r="B4012" s="19">
        <v>42782</v>
      </c>
      <c r="C4012" s="21">
        <v>0.18472222222222223</v>
      </c>
      <c r="D4012" s="20" t="s">
        <v>3054</v>
      </c>
      <c r="E4012" t="s">
        <v>6</v>
      </c>
      <c r="F4012" t="s">
        <v>26</v>
      </c>
      <c r="H4012">
        <v>7</v>
      </c>
      <c r="I4012">
        <f t="shared" si="64"/>
        <v>9</v>
      </c>
    </row>
    <row r="4013" spans="1:9">
      <c r="A4013" s="1">
        <v>42494.492361111108</v>
      </c>
      <c r="B4013" s="19">
        <v>42782</v>
      </c>
      <c r="C4013" s="21">
        <v>1.3888888888888889E-3</v>
      </c>
      <c r="D4013" s="20" t="s">
        <v>3050</v>
      </c>
      <c r="E4013" t="s">
        <v>6</v>
      </c>
      <c r="F4013" t="s">
        <v>12</v>
      </c>
      <c r="G4013" t="s">
        <v>537</v>
      </c>
      <c r="H4013">
        <v>4</v>
      </c>
      <c r="I4013">
        <f t="shared" si="64"/>
        <v>5</v>
      </c>
    </row>
    <row r="4014" spans="1:9">
      <c r="A4014" s="1">
        <v>42494.376388888886</v>
      </c>
      <c r="B4014" s="19">
        <v>42782</v>
      </c>
      <c r="C4014" s="21">
        <v>0.58402777777777781</v>
      </c>
      <c r="D4014" s="20" t="s">
        <v>3040</v>
      </c>
      <c r="E4014" t="s">
        <v>0</v>
      </c>
      <c r="G4014" t="s">
        <v>9</v>
      </c>
      <c r="H4014">
        <v>13</v>
      </c>
      <c r="I4014">
        <f t="shared" si="64"/>
        <v>17</v>
      </c>
    </row>
    <row r="4015" spans="1:9">
      <c r="A4015" s="1">
        <v>42494.29583333333</v>
      </c>
      <c r="B4015" s="19">
        <v>42782</v>
      </c>
      <c r="C4015" s="21">
        <v>0.52569444444444446</v>
      </c>
      <c r="D4015" s="20" t="s">
        <v>3038</v>
      </c>
      <c r="E4015" t="s">
        <v>0</v>
      </c>
      <c r="F4015" t="s">
        <v>1</v>
      </c>
      <c r="H4015">
        <v>13</v>
      </c>
      <c r="I4015">
        <f t="shared" si="64"/>
        <v>17</v>
      </c>
    </row>
    <row r="4016" spans="1:9">
      <c r="A4016" s="1">
        <v>42494.25277777778</v>
      </c>
      <c r="B4016" s="19">
        <v>42782</v>
      </c>
      <c r="C4016" s="21">
        <v>0.52222222222222225</v>
      </c>
      <c r="D4016" s="20" t="s">
        <v>3038</v>
      </c>
      <c r="E4016" t="s">
        <v>149</v>
      </c>
      <c r="F4016" t="s">
        <v>150</v>
      </c>
      <c r="H4016">
        <v>7</v>
      </c>
      <c r="I4016">
        <f t="shared" si="64"/>
        <v>9</v>
      </c>
    </row>
    <row r="4017" spans="1:9">
      <c r="A4017" s="1">
        <v>42490.241666666669</v>
      </c>
      <c r="B4017" s="19">
        <v>42782</v>
      </c>
      <c r="C4017" s="21">
        <v>0.43958333333333333</v>
      </c>
      <c r="D4017" s="20" t="s">
        <v>3036</v>
      </c>
      <c r="E4017" t="s">
        <v>0</v>
      </c>
      <c r="F4017" t="s">
        <v>1</v>
      </c>
      <c r="H4017">
        <v>13</v>
      </c>
      <c r="I4017">
        <f t="shared" si="64"/>
        <v>17</v>
      </c>
    </row>
    <row r="4018" spans="1:9">
      <c r="A4018" s="1">
        <v>42490.17291666667</v>
      </c>
      <c r="B4018" s="19">
        <v>42782</v>
      </c>
      <c r="C4018" s="21">
        <v>0.26180555555555557</v>
      </c>
      <c r="D4018" s="20" t="s">
        <v>3031</v>
      </c>
      <c r="E4018" t="s">
        <v>18</v>
      </c>
      <c r="F4018" t="s">
        <v>71</v>
      </c>
      <c r="G4018" t="s">
        <v>451</v>
      </c>
      <c r="H4018" t="e">
        <v>#VALUE!</v>
      </c>
      <c r="I4018" t="e">
        <f t="shared" si="64"/>
        <v>#VALUE!</v>
      </c>
    </row>
    <row r="4019" spans="1:9">
      <c r="A4019" s="1">
        <v>42490.230555555558</v>
      </c>
      <c r="B4019" s="19">
        <v>42782</v>
      </c>
      <c r="C4019" s="21">
        <v>0.26180555555555557</v>
      </c>
      <c r="D4019" s="20" t="s">
        <v>3031</v>
      </c>
      <c r="E4019" t="s">
        <v>18</v>
      </c>
      <c r="F4019" t="s">
        <v>71</v>
      </c>
      <c r="G4019" t="s">
        <v>534</v>
      </c>
      <c r="H4019" t="e">
        <v>#VALUE!</v>
      </c>
      <c r="I4019" t="e">
        <f t="shared" si="64"/>
        <v>#VALUE!</v>
      </c>
    </row>
    <row r="4020" spans="1:9">
      <c r="A4020" s="1">
        <v>42490.171527777777</v>
      </c>
      <c r="B4020" s="19">
        <v>42782</v>
      </c>
      <c r="C4020" s="21">
        <v>0.26041666666666669</v>
      </c>
      <c r="D4020" s="20" t="s">
        <v>3031</v>
      </c>
      <c r="E4020" t="s">
        <v>0</v>
      </c>
      <c r="G4020" t="s">
        <v>277</v>
      </c>
      <c r="H4020">
        <v>13</v>
      </c>
      <c r="I4020">
        <f t="shared" si="64"/>
        <v>17</v>
      </c>
    </row>
    <row r="4021" spans="1:9">
      <c r="A4021" s="1">
        <v>42490.167361111111</v>
      </c>
      <c r="B4021" s="19">
        <v>42782</v>
      </c>
      <c r="C4021" s="21">
        <v>0.125</v>
      </c>
      <c r="D4021" s="20" t="s">
        <v>3053</v>
      </c>
      <c r="E4021" t="s">
        <v>18</v>
      </c>
      <c r="F4021" t="s">
        <v>100</v>
      </c>
      <c r="G4021" t="s">
        <v>536</v>
      </c>
      <c r="H4021" t="e">
        <v>#VALUE!</v>
      </c>
      <c r="I4021" t="e">
        <f t="shared" si="64"/>
        <v>#VALUE!</v>
      </c>
    </row>
    <row r="4022" spans="1:9">
      <c r="A4022" s="1">
        <v>42489.958333333336</v>
      </c>
      <c r="B4022" s="19">
        <v>42783</v>
      </c>
      <c r="C4022" s="21">
        <v>0.96597222222222223</v>
      </c>
      <c r="D4022" s="20" t="s">
        <v>3063</v>
      </c>
      <c r="E4022" t="s">
        <v>2</v>
      </c>
      <c r="F4022" t="s">
        <v>56</v>
      </c>
      <c r="G4022" t="s">
        <v>513</v>
      </c>
      <c r="H4022">
        <v>56</v>
      </c>
      <c r="I4022">
        <f t="shared" si="64"/>
        <v>70</v>
      </c>
    </row>
    <row r="4023" spans="1:9">
      <c r="A4023" s="1">
        <v>42489.916666666664</v>
      </c>
      <c r="B4023" s="19">
        <v>42783</v>
      </c>
      <c r="C4023" s="21">
        <v>0.89166666666666672</v>
      </c>
      <c r="D4023" s="20" t="s">
        <v>3048</v>
      </c>
      <c r="E4023" t="s">
        <v>6</v>
      </c>
      <c r="F4023" t="s">
        <v>21</v>
      </c>
      <c r="G4023" t="s">
        <v>515</v>
      </c>
      <c r="H4023">
        <v>13</v>
      </c>
      <c r="I4023">
        <f t="shared" si="64"/>
        <v>17</v>
      </c>
    </row>
    <row r="4024" spans="1:9">
      <c r="A4024" s="1">
        <v>42489.811805555553</v>
      </c>
      <c r="B4024" s="19">
        <v>42783</v>
      </c>
      <c r="C4024" s="21">
        <v>0.89166666666666672</v>
      </c>
      <c r="D4024" s="20" t="s">
        <v>3048</v>
      </c>
      <c r="E4024" t="s">
        <v>6</v>
      </c>
      <c r="F4024" t="s">
        <v>21</v>
      </c>
      <c r="G4024" t="s">
        <v>515</v>
      </c>
      <c r="H4024">
        <v>13</v>
      </c>
      <c r="I4024">
        <f t="shared" si="64"/>
        <v>17</v>
      </c>
    </row>
    <row r="4025" spans="1:9">
      <c r="A4025" s="1">
        <v>42489.707638888889</v>
      </c>
      <c r="B4025" s="19">
        <v>42783</v>
      </c>
      <c r="C4025" s="21">
        <v>0.89166666666666672</v>
      </c>
      <c r="D4025" s="20" t="s">
        <v>3048</v>
      </c>
      <c r="E4025" t="s">
        <v>6</v>
      </c>
      <c r="F4025" t="s">
        <v>21</v>
      </c>
      <c r="G4025" t="s">
        <v>515</v>
      </c>
      <c r="H4025">
        <v>13</v>
      </c>
      <c r="I4025">
        <f t="shared" si="64"/>
        <v>17</v>
      </c>
    </row>
    <row r="4026" spans="1:9">
      <c r="A4026" s="1">
        <v>42489.64166666667</v>
      </c>
      <c r="B4026" s="19">
        <v>42783</v>
      </c>
      <c r="C4026" s="21">
        <v>0.89166666666666672</v>
      </c>
      <c r="D4026" s="20" t="s">
        <v>3048</v>
      </c>
      <c r="E4026" t="s">
        <v>6</v>
      </c>
      <c r="F4026" t="s">
        <v>21</v>
      </c>
      <c r="G4026" t="s">
        <v>515</v>
      </c>
      <c r="H4026">
        <v>13</v>
      </c>
      <c r="I4026">
        <f t="shared" si="64"/>
        <v>17</v>
      </c>
    </row>
    <row r="4027" spans="1:9">
      <c r="A4027" s="1">
        <v>42489.640277777777</v>
      </c>
      <c r="B4027" s="19">
        <v>42783</v>
      </c>
      <c r="C4027" s="21">
        <v>0.89166666666666672</v>
      </c>
      <c r="D4027" s="20" t="s">
        <v>3048</v>
      </c>
      <c r="E4027" t="s">
        <v>6</v>
      </c>
      <c r="F4027" t="s">
        <v>21</v>
      </c>
      <c r="G4027" t="s">
        <v>515</v>
      </c>
      <c r="H4027">
        <v>13</v>
      </c>
      <c r="I4027">
        <f t="shared" si="64"/>
        <v>17</v>
      </c>
    </row>
    <row r="4028" spans="1:9">
      <c r="A4028" s="1">
        <v>42489.536111111112</v>
      </c>
      <c r="B4028" s="19">
        <v>42783</v>
      </c>
      <c r="C4028" s="21">
        <v>0.89166666666666672</v>
      </c>
      <c r="D4028" s="20" t="s">
        <v>3048</v>
      </c>
      <c r="E4028" t="s">
        <v>6</v>
      </c>
      <c r="F4028" t="s">
        <v>21</v>
      </c>
      <c r="G4028" t="s">
        <v>515</v>
      </c>
      <c r="H4028">
        <v>13</v>
      </c>
      <c r="I4028">
        <f t="shared" si="64"/>
        <v>17</v>
      </c>
    </row>
    <row r="4029" spans="1:9">
      <c r="A4029" s="1">
        <v>42489.388194444444</v>
      </c>
      <c r="B4029" s="19">
        <v>42783</v>
      </c>
      <c r="C4029" s="21">
        <v>0.89166666666666672</v>
      </c>
      <c r="D4029" s="20" t="s">
        <v>3048</v>
      </c>
      <c r="E4029" t="s">
        <v>6</v>
      </c>
      <c r="F4029" t="s">
        <v>21</v>
      </c>
      <c r="G4029" t="s">
        <v>515</v>
      </c>
      <c r="H4029">
        <v>13</v>
      </c>
      <c r="I4029">
        <f t="shared" si="64"/>
        <v>17</v>
      </c>
    </row>
    <row r="4030" spans="1:9">
      <c r="A4030" s="1">
        <v>42489.366666666669</v>
      </c>
      <c r="B4030" s="19">
        <v>42783</v>
      </c>
      <c r="C4030" s="21">
        <v>0.89166666666666672</v>
      </c>
      <c r="D4030" s="20" t="s">
        <v>3048</v>
      </c>
      <c r="E4030" t="s">
        <v>6</v>
      </c>
      <c r="F4030" t="s">
        <v>21</v>
      </c>
      <c r="G4030" t="s">
        <v>515</v>
      </c>
      <c r="H4030">
        <v>13</v>
      </c>
      <c r="I4030">
        <f t="shared" si="64"/>
        <v>17</v>
      </c>
    </row>
    <row r="4031" spans="1:9">
      <c r="A4031" s="1">
        <v>42489.355555555558</v>
      </c>
      <c r="B4031" s="19">
        <v>42783</v>
      </c>
      <c r="C4031" s="21">
        <v>0.89166666666666672</v>
      </c>
      <c r="D4031" s="20" t="s">
        <v>3048</v>
      </c>
      <c r="E4031" t="s">
        <v>6</v>
      </c>
      <c r="F4031" t="s">
        <v>21</v>
      </c>
      <c r="G4031" t="s">
        <v>515</v>
      </c>
      <c r="H4031">
        <v>13</v>
      </c>
      <c r="I4031">
        <f t="shared" si="64"/>
        <v>17</v>
      </c>
    </row>
    <row r="4032" spans="1:9">
      <c r="A4032" s="1">
        <v>42489.097916666666</v>
      </c>
      <c r="B4032" s="19">
        <v>42783</v>
      </c>
      <c r="C4032" s="21">
        <v>0.89166666666666672</v>
      </c>
      <c r="D4032" s="20" t="s">
        <v>3048</v>
      </c>
      <c r="E4032" t="s">
        <v>6</v>
      </c>
      <c r="F4032" t="s">
        <v>21</v>
      </c>
      <c r="G4032" t="s">
        <v>515</v>
      </c>
      <c r="H4032">
        <v>13</v>
      </c>
      <c r="I4032">
        <f t="shared" si="64"/>
        <v>17</v>
      </c>
    </row>
    <row r="4033" spans="1:9">
      <c r="A4033" s="1">
        <v>42489.896527777775</v>
      </c>
      <c r="B4033" s="19">
        <v>42783</v>
      </c>
      <c r="C4033" s="21">
        <v>0.89166666666666672</v>
      </c>
      <c r="D4033" s="20" t="s">
        <v>3048</v>
      </c>
      <c r="E4033" t="s">
        <v>6</v>
      </c>
      <c r="F4033" t="s">
        <v>21</v>
      </c>
      <c r="G4033" t="s">
        <v>515</v>
      </c>
      <c r="H4033">
        <v>13</v>
      </c>
      <c r="I4033">
        <f t="shared" si="64"/>
        <v>17</v>
      </c>
    </row>
    <row r="4034" spans="1:9">
      <c r="A4034" s="1">
        <v>42489.75</v>
      </c>
      <c r="B4034" s="19">
        <v>42783</v>
      </c>
      <c r="C4034" s="21">
        <v>0.83263888888888893</v>
      </c>
      <c r="D4034" s="20" t="s">
        <v>3046</v>
      </c>
      <c r="E4034" t="s">
        <v>6</v>
      </c>
      <c r="F4034" t="s">
        <v>12</v>
      </c>
      <c r="G4034" t="s">
        <v>516</v>
      </c>
      <c r="H4034">
        <v>75</v>
      </c>
      <c r="I4034">
        <f t="shared" si="64"/>
        <v>93</v>
      </c>
    </row>
    <row r="4035" spans="1:9">
      <c r="A4035" s="1">
        <v>42489.668749999997</v>
      </c>
      <c r="B4035" s="19">
        <v>42783</v>
      </c>
      <c r="C4035" s="21">
        <v>0.83263888888888893</v>
      </c>
      <c r="D4035" s="20" t="s">
        <v>3046</v>
      </c>
      <c r="E4035" t="s">
        <v>6</v>
      </c>
      <c r="F4035" t="s">
        <v>12</v>
      </c>
      <c r="G4035" t="s">
        <v>516</v>
      </c>
      <c r="H4035">
        <v>75</v>
      </c>
      <c r="I4035">
        <f t="shared" ref="I4035:I4098" si="65">ROUNDUP((H4035*1.24), 0)</f>
        <v>93</v>
      </c>
    </row>
    <row r="4036" spans="1:9">
      <c r="A4036" s="1">
        <v>42489.64166666667</v>
      </c>
      <c r="B4036" s="19">
        <v>42783</v>
      </c>
      <c r="C4036" s="21">
        <v>0.83263888888888893</v>
      </c>
      <c r="D4036" s="20" t="s">
        <v>3046</v>
      </c>
      <c r="E4036" t="s">
        <v>6</v>
      </c>
      <c r="F4036" t="s">
        <v>12</v>
      </c>
      <c r="G4036" t="s">
        <v>516</v>
      </c>
      <c r="H4036">
        <v>75</v>
      </c>
      <c r="I4036">
        <f t="shared" si="65"/>
        <v>93</v>
      </c>
    </row>
    <row r="4037" spans="1:9">
      <c r="A4037" s="1">
        <v>42489.601388888892</v>
      </c>
      <c r="B4037" s="19">
        <v>42783</v>
      </c>
      <c r="C4037" s="21">
        <v>0.83263888888888893</v>
      </c>
      <c r="D4037" s="20" t="s">
        <v>3046</v>
      </c>
      <c r="E4037" t="s">
        <v>6</v>
      </c>
      <c r="F4037" t="s">
        <v>12</v>
      </c>
      <c r="G4037" t="s">
        <v>516</v>
      </c>
      <c r="H4037">
        <v>75</v>
      </c>
      <c r="I4037">
        <f t="shared" si="65"/>
        <v>93</v>
      </c>
    </row>
    <row r="4038" spans="1:9">
      <c r="A4038" s="1">
        <v>42489.525694444441</v>
      </c>
      <c r="B4038" s="19">
        <v>42783</v>
      </c>
      <c r="C4038" s="21">
        <v>0.83263888888888893</v>
      </c>
      <c r="D4038" s="20" t="s">
        <v>3046</v>
      </c>
      <c r="E4038" t="s">
        <v>6</v>
      </c>
      <c r="F4038" t="s">
        <v>12</v>
      </c>
      <c r="G4038" t="s">
        <v>516</v>
      </c>
      <c r="H4038">
        <v>75</v>
      </c>
      <c r="I4038">
        <f t="shared" si="65"/>
        <v>93</v>
      </c>
    </row>
    <row r="4039" spans="1:9">
      <c r="A4039" s="1">
        <v>42489.491666666669</v>
      </c>
      <c r="B4039" s="19">
        <v>42783</v>
      </c>
      <c r="C4039" s="21">
        <v>0.83263888888888893</v>
      </c>
      <c r="D4039" s="20" t="s">
        <v>3046</v>
      </c>
      <c r="E4039" t="s">
        <v>6</v>
      </c>
      <c r="F4039" t="s">
        <v>12</v>
      </c>
      <c r="G4039" t="s">
        <v>516</v>
      </c>
      <c r="H4039">
        <v>75</v>
      </c>
      <c r="I4039">
        <f t="shared" si="65"/>
        <v>93</v>
      </c>
    </row>
    <row r="4040" spans="1:9">
      <c r="A4040" s="1">
        <v>42488.919444444444</v>
      </c>
      <c r="B4040" s="19">
        <v>42783</v>
      </c>
      <c r="C4040" s="21">
        <v>0.83263888888888893</v>
      </c>
      <c r="D4040" s="20" t="s">
        <v>3046</v>
      </c>
      <c r="E4040" t="s">
        <v>6</v>
      </c>
      <c r="F4040" t="s">
        <v>12</v>
      </c>
      <c r="G4040" t="s">
        <v>516</v>
      </c>
      <c r="H4040">
        <v>75</v>
      </c>
      <c r="I4040">
        <f t="shared" si="65"/>
        <v>93</v>
      </c>
    </row>
    <row r="4041" spans="1:9">
      <c r="A4041" s="1">
        <v>42488.875</v>
      </c>
      <c r="B4041" s="19">
        <v>42783</v>
      </c>
      <c r="C4041" s="21">
        <v>0.83263888888888893</v>
      </c>
      <c r="D4041" s="20" t="s">
        <v>3046</v>
      </c>
      <c r="E4041" t="s">
        <v>6</v>
      </c>
      <c r="F4041" t="s">
        <v>12</v>
      </c>
      <c r="G4041" t="s">
        <v>516</v>
      </c>
      <c r="H4041">
        <v>75</v>
      </c>
      <c r="I4041">
        <f t="shared" si="65"/>
        <v>93</v>
      </c>
    </row>
    <row r="4042" spans="1:9">
      <c r="A4042" s="1">
        <v>42488.243055555555</v>
      </c>
      <c r="B4042" s="19">
        <v>42783</v>
      </c>
      <c r="C4042" s="21">
        <v>0.83263888888888893</v>
      </c>
      <c r="D4042" s="20" t="s">
        <v>3046</v>
      </c>
      <c r="E4042" t="s">
        <v>6</v>
      </c>
      <c r="F4042" t="s">
        <v>12</v>
      </c>
      <c r="G4042" t="s">
        <v>516</v>
      </c>
      <c r="H4042">
        <v>75</v>
      </c>
      <c r="I4042">
        <f t="shared" si="65"/>
        <v>93</v>
      </c>
    </row>
    <row r="4043" spans="1:9">
      <c r="A4043" s="1">
        <v>42488.129861111112</v>
      </c>
      <c r="B4043" s="19">
        <v>42783</v>
      </c>
      <c r="C4043" s="21">
        <v>0.83263888888888893</v>
      </c>
      <c r="D4043" s="20" t="s">
        <v>3046</v>
      </c>
      <c r="E4043" t="s">
        <v>6</v>
      </c>
      <c r="F4043" t="s">
        <v>12</v>
      </c>
      <c r="G4043" t="s">
        <v>516</v>
      </c>
      <c r="H4043">
        <v>75</v>
      </c>
      <c r="I4043">
        <f t="shared" si="65"/>
        <v>93</v>
      </c>
    </row>
    <row r="4044" spans="1:9">
      <c r="A4044" s="1">
        <v>42488.034722222219</v>
      </c>
      <c r="B4044" s="19">
        <v>42783</v>
      </c>
      <c r="C4044" s="21">
        <v>0.83263888888888893</v>
      </c>
      <c r="D4044" s="20" t="s">
        <v>3046</v>
      </c>
      <c r="E4044" t="s">
        <v>6</v>
      </c>
      <c r="F4044" t="s">
        <v>12</v>
      </c>
      <c r="G4044" t="s">
        <v>516</v>
      </c>
      <c r="H4044">
        <v>75</v>
      </c>
      <c r="I4044">
        <f t="shared" si="65"/>
        <v>93</v>
      </c>
    </row>
    <row r="4045" spans="1:9">
      <c r="A4045" s="1">
        <v>42488.962500000001</v>
      </c>
      <c r="B4045" s="19">
        <v>42783</v>
      </c>
      <c r="C4045" s="21">
        <v>0.82361111111111107</v>
      </c>
      <c r="D4045" s="20" t="s">
        <v>3046</v>
      </c>
      <c r="E4045" t="s">
        <v>6</v>
      </c>
      <c r="F4045" t="s">
        <v>21</v>
      </c>
      <c r="G4045" t="s">
        <v>103</v>
      </c>
      <c r="H4045">
        <v>13</v>
      </c>
      <c r="I4045">
        <f t="shared" si="65"/>
        <v>17</v>
      </c>
    </row>
    <row r="4046" spans="1:9">
      <c r="A4046" s="1">
        <v>42488.319444444445</v>
      </c>
      <c r="B4046" s="19">
        <v>42783</v>
      </c>
      <c r="C4046" s="21">
        <v>0.82361111111111107</v>
      </c>
      <c r="D4046" s="20" t="s">
        <v>3046</v>
      </c>
      <c r="E4046" t="s">
        <v>6</v>
      </c>
      <c r="F4046" t="s">
        <v>21</v>
      </c>
      <c r="G4046" t="s">
        <v>103</v>
      </c>
      <c r="H4046">
        <v>13</v>
      </c>
      <c r="I4046">
        <f t="shared" si="65"/>
        <v>17</v>
      </c>
    </row>
    <row r="4047" spans="1:9">
      <c r="A4047" s="1">
        <v>42488.274305555555</v>
      </c>
      <c r="B4047" s="19">
        <v>42783</v>
      </c>
      <c r="C4047" s="21">
        <v>0.82361111111111107</v>
      </c>
      <c r="D4047" s="20" t="s">
        <v>3046</v>
      </c>
      <c r="E4047" t="s">
        <v>6</v>
      </c>
      <c r="F4047" t="s">
        <v>21</v>
      </c>
      <c r="G4047" t="s">
        <v>103</v>
      </c>
      <c r="H4047">
        <v>13</v>
      </c>
      <c r="I4047">
        <f t="shared" si="65"/>
        <v>17</v>
      </c>
    </row>
    <row r="4048" spans="1:9">
      <c r="A4048" s="1">
        <v>42488.254166666666</v>
      </c>
      <c r="B4048" s="19">
        <v>42783</v>
      </c>
      <c r="C4048" s="21">
        <v>0.82361111111111107</v>
      </c>
      <c r="D4048" s="20" t="s">
        <v>3046</v>
      </c>
      <c r="E4048" t="s">
        <v>6</v>
      </c>
      <c r="F4048" t="s">
        <v>21</v>
      </c>
      <c r="G4048" t="s">
        <v>103</v>
      </c>
      <c r="H4048">
        <v>13</v>
      </c>
      <c r="I4048">
        <f t="shared" si="65"/>
        <v>17</v>
      </c>
    </row>
    <row r="4049" spans="1:9">
      <c r="A4049" s="1">
        <v>42488.040972222225</v>
      </c>
      <c r="B4049" s="19">
        <v>42783</v>
      </c>
      <c r="C4049" s="21">
        <v>0.82361111111111107</v>
      </c>
      <c r="D4049" s="20" t="s">
        <v>3046</v>
      </c>
      <c r="E4049" t="s">
        <v>6</v>
      </c>
      <c r="F4049" t="s">
        <v>21</v>
      </c>
      <c r="G4049" t="s">
        <v>103</v>
      </c>
      <c r="H4049">
        <v>13</v>
      </c>
      <c r="I4049">
        <f t="shared" si="65"/>
        <v>17</v>
      </c>
    </row>
    <row r="4050" spans="1:9">
      <c r="A4050" s="1">
        <v>42487.912499999999</v>
      </c>
      <c r="B4050" s="19">
        <v>42783</v>
      </c>
      <c r="C4050" s="21">
        <v>0.82361111111111107</v>
      </c>
      <c r="D4050" s="20" t="s">
        <v>3046</v>
      </c>
      <c r="E4050" t="s">
        <v>6</v>
      </c>
      <c r="F4050" t="s">
        <v>21</v>
      </c>
      <c r="G4050" t="s">
        <v>103</v>
      </c>
      <c r="H4050">
        <v>13</v>
      </c>
      <c r="I4050">
        <f t="shared" si="65"/>
        <v>17</v>
      </c>
    </row>
    <row r="4051" spans="1:9">
      <c r="A4051" s="1">
        <v>42487.912499999999</v>
      </c>
      <c r="B4051" s="19">
        <v>42783</v>
      </c>
      <c r="C4051" s="21">
        <v>0.82361111111111107</v>
      </c>
      <c r="D4051" s="20" t="s">
        <v>3046</v>
      </c>
      <c r="E4051" t="s">
        <v>6</v>
      </c>
      <c r="F4051" t="s">
        <v>21</v>
      </c>
      <c r="G4051" t="s">
        <v>103</v>
      </c>
      <c r="H4051">
        <v>13</v>
      </c>
      <c r="I4051">
        <f t="shared" si="65"/>
        <v>17</v>
      </c>
    </row>
    <row r="4052" spans="1:9">
      <c r="A4052" s="1">
        <v>42487.907638888886</v>
      </c>
      <c r="B4052" s="19">
        <v>42783</v>
      </c>
      <c r="C4052" s="21">
        <v>0.82361111111111107</v>
      </c>
      <c r="D4052" s="20" t="s">
        <v>3046</v>
      </c>
      <c r="E4052" t="s">
        <v>6</v>
      </c>
      <c r="F4052" t="s">
        <v>21</v>
      </c>
      <c r="G4052" t="s">
        <v>103</v>
      </c>
      <c r="H4052">
        <v>13</v>
      </c>
      <c r="I4052">
        <f t="shared" si="65"/>
        <v>17</v>
      </c>
    </row>
    <row r="4053" spans="1:9">
      <c r="A4053" s="1">
        <v>42487.589583333334</v>
      </c>
      <c r="B4053" s="19">
        <v>42783</v>
      </c>
      <c r="C4053" s="21">
        <v>0.82361111111111107</v>
      </c>
      <c r="D4053" s="20" t="s">
        <v>3046</v>
      </c>
      <c r="E4053" t="s">
        <v>6</v>
      </c>
      <c r="F4053" t="s">
        <v>21</v>
      </c>
      <c r="G4053" t="s">
        <v>103</v>
      </c>
      <c r="H4053">
        <v>13</v>
      </c>
      <c r="I4053">
        <f t="shared" si="65"/>
        <v>17</v>
      </c>
    </row>
    <row r="4054" spans="1:9">
      <c r="A4054" s="1">
        <v>42487.495833333334</v>
      </c>
      <c r="B4054" s="19">
        <v>42783</v>
      </c>
      <c r="C4054" s="21">
        <v>0.82361111111111107</v>
      </c>
      <c r="D4054" s="20" t="s">
        <v>3046</v>
      </c>
      <c r="E4054" t="s">
        <v>6</v>
      </c>
      <c r="F4054" t="s">
        <v>21</v>
      </c>
      <c r="G4054" t="s">
        <v>103</v>
      </c>
      <c r="H4054">
        <v>13</v>
      </c>
      <c r="I4054">
        <f t="shared" si="65"/>
        <v>17</v>
      </c>
    </row>
    <row r="4055" spans="1:9">
      <c r="A4055" s="1">
        <v>42487.117361111108</v>
      </c>
      <c r="B4055" s="19">
        <v>42783</v>
      </c>
      <c r="C4055" s="21">
        <v>0.82361111111111107</v>
      </c>
      <c r="D4055" s="20" t="s">
        <v>3046</v>
      </c>
      <c r="E4055" t="s">
        <v>6</v>
      </c>
      <c r="F4055" t="s">
        <v>21</v>
      </c>
      <c r="G4055" t="s">
        <v>103</v>
      </c>
      <c r="H4055">
        <v>13</v>
      </c>
      <c r="I4055">
        <f t="shared" si="65"/>
        <v>17</v>
      </c>
    </row>
    <row r="4056" spans="1:9">
      <c r="A4056" s="1">
        <v>42487.038888888892</v>
      </c>
      <c r="B4056" s="19">
        <v>42783</v>
      </c>
      <c r="C4056" s="21">
        <v>0.77916666666666667</v>
      </c>
      <c r="D4056" s="20" t="s">
        <v>3045</v>
      </c>
      <c r="E4056" t="s">
        <v>2</v>
      </c>
      <c r="F4056" t="s">
        <v>5</v>
      </c>
      <c r="G4056" t="s">
        <v>518</v>
      </c>
      <c r="H4056">
        <v>40</v>
      </c>
      <c r="I4056">
        <f t="shared" si="65"/>
        <v>50</v>
      </c>
    </row>
    <row r="4057" spans="1:9">
      <c r="A4057" s="1">
        <v>42487.837500000001</v>
      </c>
      <c r="B4057" s="19">
        <v>42783</v>
      </c>
      <c r="C4057" s="21">
        <v>0.77916666666666667</v>
      </c>
      <c r="D4057" s="20" t="s">
        <v>3045</v>
      </c>
      <c r="E4057" t="s">
        <v>2</v>
      </c>
      <c r="F4057" t="s">
        <v>5</v>
      </c>
      <c r="G4057" t="s">
        <v>518</v>
      </c>
      <c r="H4057">
        <v>40</v>
      </c>
      <c r="I4057">
        <f t="shared" si="65"/>
        <v>50</v>
      </c>
    </row>
    <row r="4058" spans="1:9">
      <c r="A4058" s="1">
        <v>42487.833333333336</v>
      </c>
      <c r="B4058" s="19">
        <v>42783</v>
      </c>
      <c r="C4058" s="21">
        <v>0.77916666666666667</v>
      </c>
      <c r="D4058" s="20" t="s">
        <v>3045</v>
      </c>
      <c r="E4058" t="s">
        <v>2</v>
      </c>
      <c r="F4058" t="s">
        <v>5</v>
      </c>
      <c r="G4058" t="s">
        <v>518</v>
      </c>
      <c r="H4058">
        <v>40</v>
      </c>
      <c r="I4058">
        <f t="shared" si="65"/>
        <v>50</v>
      </c>
    </row>
    <row r="4059" spans="1:9">
      <c r="A4059" s="1">
        <v>42487.8</v>
      </c>
      <c r="B4059" s="19">
        <v>42783</v>
      </c>
      <c r="C4059" s="21">
        <v>0.77916666666666667</v>
      </c>
      <c r="D4059" s="20" t="s">
        <v>3045</v>
      </c>
      <c r="E4059" t="s">
        <v>2</v>
      </c>
      <c r="F4059" t="s">
        <v>5</v>
      </c>
      <c r="G4059" t="s">
        <v>518</v>
      </c>
      <c r="H4059">
        <v>40</v>
      </c>
      <c r="I4059">
        <f t="shared" si="65"/>
        <v>50</v>
      </c>
    </row>
    <row r="4060" spans="1:9">
      <c r="A4060" s="1">
        <v>42487.667361111111</v>
      </c>
      <c r="B4060" s="19">
        <v>42783</v>
      </c>
      <c r="C4060" s="21">
        <v>0.77916666666666667</v>
      </c>
      <c r="D4060" s="20" t="s">
        <v>3045</v>
      </c>
      <c r="E4060" t="s">
        <v>2</v>
      </c>
      <c r="F4060" t="s">
        <v>5</v>
      </c>
      <c r="G4060" t="s">
        <v>518</v>
      </c>
      <c r="H4060">
        <v>40</v>
      </c>
      <c r="I4060">
        <f t="shared" si="65"/>
        <v>50</v>
      </c>
    </row>
    <row r="4061" spans="1:9">
      <c r="A4061" s="1">
        <v>42487.627083333333</v>
      </c>
      <c r="B4061" s="19">
        <v>42783</v>
      </c>
      <c r="C4061" s="21">
        <v>0.77916666666666667</v>
      </c>
      <c r="D4061" s="20" t="s">
        <v>3045</v>
      </c>
      <c r="E4061" t="s">
        <v>2</v>
      </c>
      <c r="F4061" t="s">
        <v>5</v>
      </c>
      <c r="G4061" t="s">
        <v>518</v>
      </c>
      <c r="H4061">
        <v>40</v>
      </c>
      <c r="I4061">
        <f t="shared" si="65"/>
        <v>50</v>
      </c>
    </row>
    <row r="4062" spans="1:9">
      <c r="A4062" s="1">
        <v>42487.61041666667</v>
      </c>
      <c r="B4062" s="19">
        <v>42783</v>
      </c>
      <c r="C4062" s="21">
        <v>0.77916666666666667</v>
      </c>
      <c r="D4062" s="20" t="s">
        <v>3045</v>
      </c>
      <c r="E4062" t="s">
        <v>2</v>
      </c>
      <c r="F4062" t="s">
        <v>5</v>
      </c>
      <c r="G4062" t="s">
        <v>518</v>
      </c>
      <c r="H4062">
        <v>40</v>
      </c>
      <c r="I4062">
        <f t="shared" si="65"/>
        <v>50</v>
      </c>
    </row>
    <row r="4063" spans="1:9">
      <c r="A4063" s="1">
        <v>42487.508333333331</v>
      </c>
      <c r="B4063" s="19">
        <v>42783</v>
      </c>
      <c r="C4063" s="21">
        <v>0.77916666666666667</v>
      </c>
      <c r="D4063" s="20" t="s">
        <v>3045</v>
      </c>
      <c r="E4063" t="s">
        <v>2</v>
      </c>
      <c r="F4063" t="s">
        <v>5</v>
      </c>
      <c r="G4063" t="s">
        <v>518</v>
      </c>
      <c r="H4063">
        <v>40</v>
      </c>
      <c r="I4063">
        <f t="shared" si="65"/>
        <v>50</v>
      </c>
    </row>
    <row r="4064" spans="1:9">
      <c r="A4064" s="1">
        <v>42487.439583333333</v>
      </c>
      <c r="B4064" s="19">
        <v>42783</v>
      </c>
      <c r="C4064" s="21">
        <v>0.77916666666666667</v>
      </c>
      <c r="D4064" s="20" t="s">
        <v>3045</v>
      </c>
      <c r="E4064" t="s">
        <v>2</v>
      </c>
      <c r="F4064" t="s">
        <v>5</v>
      </c>
      <c r="G4064" t="s">
        <v>518</v>
      </c>
      <c r="H4064">
        <v>40</v>
      </c>
      <c r="I4064">
        <f t="shared" si="65"/>
        <v>50</v>
      </c>
    </row>
    <row r="4065" spans="1:9">
      <c r="A4065" s="1">
        <v>42487.286111111112</v>
      </c>
      <c r="B4065" s="19">
        <v>42783</v>
      </c>
      <c r="C4065" s="21">
        <v>0.77916666666666667</v>
      </c>
      <c r="D4065" s="20" t="s">
        <v>3045</v>
      </c>
      <c r="E4065" t="s">
        <v>2</v>
      </c>
      <c r="F4065" t="s">
        <v>5</v>
      </c>
      <c r="G4065" t="s">
        <v>518</v>
      </c>
      <c r="H4065">
        <v>40</v>
      </c>
      <c r="I4065">
        <f t="shared" si="65"/>
        <v>50</v>
      </c>
    </row>
    <row r="4066" spans="1:9">
      <c r="A4066" s="1">
        <v>42487.254166666666</v>
      </c>
      <c r="B4066" s="19">
        <v>42783</v>
      </c>
      <c r="C4066" s="21">
        <v>0.77916666666666667</v>
      </c>
      <c r="D4066" s="20" t="s">
        <v>3045</v>
      </c>
      <c r="E4066" t="s">
        <v>2</v>
      </c>
      <c r="F4066" t="s">
        <v>5</v>
      </c>
      <c r="G4066" t="s">
        <v>518</v>
      </c>
      <c r="H4066">
        <v>40</v>
      </c>
      <c r="I4066">
        <f t="shared" si="65"/>
        <v>50</v>
      </c>
    </row>
    <row r="4067" spans="1:9">
      <c r="A4067" s="1">
        <v>42487.23333333333</v>
      </c>
      <c r="B4067" s="19">
        <v>42783</v>
      </c>
      <c r="C4067" s="21">
        <v>0.71111111111111114</v>
      </c>
      <c r="D4067" s="20" t="s">
        <v>3044</v>
      </c>
      <c r="E4067" t="s">
        <v>6</v>
      </c>
      <c r="F4067" t="s">
        <v>21</v>
      </c>
      <c r="G4067" t="s">
        <v>519</v>
      </c>
      <c r="H4067" t="e">
        <v>#VALUE!</v>
      </c>
      <c r="I4067" t="e">
        <f t="shared" si="65"/>
        <v>#VALUE!</v>
      </c>
    </row>
    <row r="4068" spans="1:9">
      <c r="A4068" s="1">
        <v>42487.038194444445</v>
      </c>
      <c r="B4068" s="19">
        <v>42783</v>
      </c>
      <c r="C4068" s="21">
        <v>0.71111111111111114</v>
      </c>
      <c r="D4068" s="20" t="s">
        <v>3044</v>
      </c>
      <c r="E4068" t="s">
        <v>6</v>
      </c>
      <c r="F4068" t="s">
        <v>21</v>
      </c>
      <c r="G4068" t="s">
        <v>519</v>
      </c>
      <c r="H4068" t="e">
        <v>#VALUE!</v>
      </c>
      <c r="I4068" t="e">
        <f t="shared" si="65"/>
        <v>#VALUE!</v>
      </c>
    </row>
    <row r="4069" spans="1:9">
      <c r="A4069" s="1">
        <v>42486.942361111112</v>
      </c>
      <c r="B4069" s="19">
        <v>42783</v>
      </c>
      <c r="C4069" s="21">
        <v>0.71111111111111114</v>
      </c>
      <c r="D4069" s="20" t="s">
        <v>3044</v>
      </c>
      <c r="E4069" t="s">
        <v>6</v>
      </c>
      <c r="F4069" t="s">
        <v>21</v>
      </c>
      <c r="G4069" t="s">
        <v>519</v>
      </c>
      <c r="H4069" t="e">
        <v>#VALUE!</v>
      </c>
      <c r="I4069" t="e">
        <f t="shared" si="65"/>
        <v>#VALUE!</v>
      </c>
    </row>
    <row r="4070" spans="1:9">
      <c r="A4070" s="1">
        <v>42486.916666666664</v>
      </c>
      <c r="B4070" s="19">
        <v>42783</v>
      </c>
      <c r="C4070" s="21">
        <v>0.71111111111111114</v>
      </c>
      <c r="D4070" s="20" t="s">
        <v>3044</v>
      </c>
      <c r="E4070" t="s">
        <v>6</v>
      </c>
      <c r="F4070" t="s">
        <v>21</v>
      </c>
      <c r="G4070" t="s">
        <v>519</v>
      </c>
      <c r="H4070" t="e">
        <v>#VALUE!</v>
      </c>
      <c r="I4070" t="e">
        <f t="shared" si="65"/>
        <v>#VALUE!</v>
      </c>
    </row>
    <row r="4071" spans="1:9">
      <c r="A4071" s="1">
        <v>42486.906944444447</v>
      </c>
      <c r="B4071" s="19">
        <v>42783</v>
      </c>
      <c r="C4071" s="21">
        <v>0.71111111111111114</v>
      </c>
      <c r="D4071" s="20" t="s">
        <v>3044</v>
      </c>
      <c r="E4071" t="s">
        <v>6</v>
      </c>
      <c r="F4071" t="s">
        <v>21</v>
      </c>
      <c r="G4071" t="s">
        <v>519</v>
      </c>
      <c r="H4071" t="e">
        <v>#VALUE!</v>
      </c>
      <c r="I4071" t="e">
        <f t="shared" si="65"/>
        <v>#VALUE!</v>
      </c>
    </row>
    <row r="4072" spans="1:9">
      <c r="A4072" s="1">
        <v>42486.631944444445</v>
      </c>
      <c r="B4072" s="19">
        <v>42783</v>
      </c>
      <c r="C4072" s="21">
        <v>0.71111111111111114</v>
      </c>
      <c r="D4072" s="20" t="s">
        <v>3044</v>
      </c>
      <c r="E4072" t="s">
        <v>6</v>
      </c>
      <c r="F4072" t="s">
        <v>21</v>
      </c>
      <c r="G4072" t="s">
        <v>519</v>
      </c>
      <c r="H4072" t="e">
        <v>#VALUE!</v>
      </c>
      <c r="I4072" t="e">
        <f t="shared" si="65"/>
        <v>#VALUE!</v>
      </c>
    </row>
    <row r="4073" spans="1:9">
      <c r="A4073" s="1">
        <v>42486.970833333333</v>
      </c>
      <c r="B4073" s="19">
        <v>42783</v>
      </c>
      <c r="C4073" s="21">
        <v>0.71111111111111114</v>
      </c>
      <c r="D4073" s="20" t="s">
        <v>3044</v>
      </c>
      <c r="E4073" t="s">
        <v>6</v>
      </c>
      <c r="F4073" t="s">
        <v>21</v>
      </c>
      <c r="G4073" t="s">
        <v>519</v>
      </c>
      <c r="H4073" t="e">
        <v>#VALUE!</v>
      </c>
      <c r="I4073" t="e">
        <f t="shared" si="65"/>
        <v>#VALUE!</v>
      </c>
    </row>
    <row r="4074" spans="1:9">
      <c r="A4074" s="1">
        <v>42486.751388888886</v>
      </c>
      <c r="B4074" s="19">
        <v>42783</v>
      </c>
      <c r="C4074" s="21">
        <v>0.71111111111111114</v>
      </c>
      <c r="D4074" s="20" t="s">
        <v>3044</v>
      </c>
      <c r="E4074" t="s">
        <v>6</v>
      </c>
      <c r="F4074" t="s">
        <v>21</v>
      </c>
      <c r="G4074" t="s">
        <v>519</v>
      </c>
      <c r="H4074" t="e">
        <v>#VALUE!</v>
      </c>
      <c r="I4074" t="e">
        <f t="shared" si="65"/>
        <v>#VALUE!</v>
      </c>
    </row>
    <row r="4075" spans="1:9">
      <c r="A4075" s="1">
        <v>42486.724305555559</v>
      </c>
      <c r="B4075" s="19">
        <v>42783</v>
      </c>
      <c r="C4075" s="21">
        <v>0.71111111111111114</v>
      </c>
      <c r="D4075" s="20" t="s">
        <v>3044</v>
      </c>
      <c r="E4075" t="s">
        <v>6</v>
      </c>
      <c r="F4075" t="s">
        <v>21</v>
      </c>
      <c r="G4075" t="s">
        <v>519</v>
      </c>
      <c r="H4075" t="e">
        <v>#VALUE!</v>
      </c>
      <c r="I4075" t="e">
        <f t="shared" si="65"/>
        <v>#VALUE!</v>
      </c>
    </row>
    <row r="4076" spans="1:9">
      <c r="A4076" s="1">
        <v>42486.710416666669</v>
      </c>
      <c r="B4076" s="19">
        <v>42783</v>
      </c>
      <c r="C4076" s="21">
        <v>0.71111111111111114</v>
      </c>
      <c r="D4076" s="20" t="s">
        <v>3044</v>
      </c>
      <c r="E4076" t="s">
        <v>6</v>
      </c>
      <c r="F4076" t="s">
        <v>21</v>
      </c>
      <c r="G4076" t="s">
        <v>519</v>
      </c>
      <c r="H4076" t="e">
        <v>#VALUE!</v>
      </c>
      <c r="I4076" t="e">
        <f t="shared" si="65"/>
        <v>#VALUE!</v>
      </c>
    </row>
    <row r="4077" spans="1:9">
      <c r="A4077" s="1">
        <v>42486.697916666664</v>
      </c>
      <c r="B4077" s="19">
        <v>42783</v>
      </c>
      <c r="C4077" s="21">
        <v>0.71111111111111114</v>
      </c>
      <c r="D4077" s="20" t="s">
        <v>3044</v>
      </c>
      <c r="E4077" t="s">
        <v>6</v>
      </c>
      <c r="F4077" t="s">
        <v>21</v>
      </c>
      <c r="G4077" t="s">
        <v>519</v>
      </c>
      <c r="H4077" t="e">
        <v>#VALUE!</v>
      </c>
      <c r="I4077" t="e">
        <f t="shared" si="65"/>
        <v>#VALUE!</v>
      </c>
    </row>
    <row r="4078" spans="1:9">
      <c r="A4078" s="1">
        <v>42486.60833333333</v>
      </c>
      <c r="B4078" s="19">
        <v>42783</v>
      </c>
      <c r="C4078" s="21">
        <v>0.67638888888888893</v>
      </c>
      <c r="D4078" s="20" t="s">
        <v>3043</v>
      </c>
      <c r="E4078" t="s">
        <v>2</v>
      </c>
      <c r="F4078" t="s">
        <v>3</v>
      </c>
      <c r="H4078">
        <v>13</v>
      </c>
      <c r="I4078">
        <f t="shared" si="65"/>
        <v>17</v>
      </c>
    </row>
    <row r="4079" spans="1:9">
      <c r="A4079" s="1">
        <v>42486.607638888891</v>
      </c>
      <c r="B4079" s="19">
        <v>42783</v>
      </c>
      <c r="C4079" s="21">
        <v>0.67638888888888893</v>
      </c>
      <c r="D4079" s="20" t="s">
        <v>3043</v>
      </c>
      <c r="E4079" t="s">
        <v>2</v>
      </c>
      <c r="F4079" t="s">
        <v>3</v>
      </c>
      <c r="H4079">
        <v>13</v>
      </c>
      <c r="I4079">
        <f t="shared" si="65"/>
        <v>17</v>
      </c>
    </row>
    <row r="4080" spans="1:9">
      <c r="A4080" s="1">
        <v>42482.751388888886</v>
      </c>
      <c r="B4080" s="19">
        <v>42783</v>
      </c>
      <c r="C4080" s="21">
        <v>0.67638888888888893</v>
      </c>
      <c r="D4080" s="20" t="s">
        <v>3043</v>
      </c>
      <c r="E4080" t="s">
        <v>2</v>
      </c>
      <c r="F4080" t="s">
        <v>3</v>
      </c>
      <c r="H4080">
        <v>13</v>
      </c>
      <c r="I4080">
        <f t="shared" si="65"/>
        <v>17</v>
      </c>
    </row>
    <row r="4081" spans="1:9">
      <c r="A4081" s="1">
        <v>42482.706944444442</v>
      </c>
      <c r="B4081" s="19">
        <v>42783</v>
      </c>
      <c r="C4081" s="21">
        <v>0.67638888888888893</v>
      </c>
      <c r="D4081" s="20" t="s">
        <v>3043</v>
      </c>
      <c r="E4081" t="s">
        <v>2</v>
      </c>
      <c r="F4081" t="s">
        <v>3</v>
      </c>
      <c r="H4081">
        <v>13</v>
      </c>
      <c r="I4081">
        <f t="shared" si="65"/>
        <v>17</v>
      </c>
    </row>
    <row r="4082" spans="1:9">
      <c r="A4082" s="1">
        <v>42482.584722222222</v>
      </c>
      <c r="B4082" s="19">
        <v>42783</v>
      </c>
      <c r="C4082" s="21">
        <v>0.67638888888888893</v>
      </c>
      <c r="D4082" s="20" t="s">
        <v>3043</v>
      </c>
      <c r="E4082" t="s">
        <v>2</v>
      </c>
      <c r="F4082" t="s">
        <v>3</v>
      </c>
      <c r="H4082">
        <v>13</v>
      </c>
      <c r="I4082">
        <f t="shared" si="65"/>
        <v>17</v>
      </c>
    </row>
    <row r="4083" spans="1:9">
      <c r="A4083" s="1">
        <v>42482.581944444442</v>
      </c>
      <c r="B4083" s="19">
        <v>42783</v>
      </c>
      <c r="C4083" s="21">
        <v>0.67638888888888893</v>
      </c>
      <c r="D4083" s="20" t="s">
        <v>3043</v>
      </c>
      <c r="E4083" t="s">
        <v>2</v>
      </c>
      <c r="F4083" t="s">
        <v>3</v>
      </c>
      <c r="H4083">
        <v>13</v>
      </c>
      <c r="I4083">
        <f t="shared" si="65"/>
        <v>17</v>
      </c>
    </row>
    <row r="4084" spans="1:9">
      <c r="A4084" s="1">
        <v>42482.304166666669</v>
      </c>
      <c r="B4084" s="19">
        <v>42783</v>
      </c>
      <c r="C4084" s="21">
        <v>0.67638888888888893</v>
      </c>
      <c r="D4084" s="20" t="s">
        <v>3043</v>
      </c>
      <c r="E4084" t="s">
        <v>2</v>
      </c>
      <c r="F4084" t="s">
        <v>3</v>
      </c>
      <c r="H4084">
        <v>13</v>
      </c>
      <c r="I4084">
        <f t="shared" si="65"/>
        <v>17</v>
      </c>
    </row>
    <row r="4085" spans="1:9">
      <c r="A4085" s="1">
        <v>42482.247916666667</v>
      </c>
      <c r="B4085" s="19">
        <v>42783</v>
      </c>
      <c r="C4085" s="21">
        <v>0.67638888888888893</v>
      </c>
      <c r="D4085" s="20" t="s">
        <v>3043</v>
      </c>
      <c r="E4085" t="s">
        <v>2</v>
      </c>
      <c r="F4085" t="s">
        <v>3</v>
      </c>
      <c r="H4085">
        <v>13</v>
      </c>
      <c r="I4085">
        <f t="shared" si="65"/>
        <v>17</v>
      </c>
    </row>
    <row r="4086" spans="1:9">
      <c r="A4086" s="1">
        <v>42482.081944444442</v>
      </c>
      <c r="B4086" s="19">
        <v>42783</v>
      </c>
      <c r="C4086" s="21">
        <v>0.67638888888888893</v>
      </c>
      <c r="D4086" s="20" t="s">
        <v>3043</v>
      </c>
      <c r="E4086" t="s">
        <v>2</v>
      </c>
      <c r="F4086" t="s">
        <v>3</v>
      </c>
      <c r="H4086">
        <v>13</v>
      </c>
      <c r="I4086">
        <f t="shared" si="65"/>
        <v>17</v>
      </c>
    </row>
    <row r="4087" spans="1:9">
      <c r="A4087" s="1">
        <v>42482.919444444444</v>
      </c>
      <c r="B4087" s="19">
        <v>42783</v>
      </c>
      <c r="C4087" s="21">
        <v>0.67638888888888893</v>
      </c>
      <c r="D4087" s="20" t="s">
        <v>3043</v>
      </c>
      <c r="E4087" t="s">
        <v>2</v>
      </c>
      <c r="F4087" t="s">
        <v>3</v>
      </c>
      <c r="H4087">
        <v>13</v>
      </c>
      <c r="I4087">
        <f t="shared" si="65"/>
        <v>17</v>
      </c>
    </row>
    <row r="4088" spans="1:9">
      <c r="A4088" s="1">
        <v>42482.875</v>
      </c>
      <c r="B4088" s="19">
        <v>42783</v>
      </c>
      <c r="C4088" s="21">
        <v>0.67638888888888893</v>
      </c>
      <c r="D4088" s="20" t="s">
        <v>3043</v>
      </c>
      <c r="E4088" t="s">
        <v>2</v>
      </c>
      <c r="F4088" t="s">
        <v>3</v>
      </c>
      <c r="H4088">
        <v>13</v>
      </c>
      <c r="I4088">
        <f t="shared" si="65"/>
        <v>17</v>
      </c>
    </row>
    <row r="4089" spans="1:9">
      <c r="A4089" s="1">
        <v>42482.835416666669</v>
      </c>
      <c r="B4089" s="19">
        <v>42783</v>
      </c>
      <c r="C4089" s="21">
        <v>0.49930555555555556</v>
      </c>
      <c r="D4089" s="20" t="s">
        <v>3037</v>
      </c>
      <c r="E4089" t="s">
        <v>2</v>
      </c>
      <c r="F4089" t="s">
        <v>48</v>
      </c>
      <c r="G4089" t="s">
        <v>521</v>
      </c>
      <c r="H4089">
        <v>29</v>
      </c>
      <c r="I4089">
        <f t="shared" si="65"/>
        <v>36</v>
      </c>
    </row>
    <row r="4090" spans="1:9">
      <c r="A4090" s="1">
        <v>42482.830555555556</v>
      </c>
      <c r="B4090" s="19">
        <v>42783</v>
      </c>
      <c r="C4090" s="21">
        <v>0.32708333333333334</v>
      </c>
      <c r="D4090" s="20" t="s">
        <v>3033</v>
      </c>
      <c r="E4090" t="s">
        <v>2</v>
      </c>
      <c r="F4090" t="s">
        <v>48</v>
      </c>
      <c r="G4090" t="s">
        <v>522</v>
      </c>
      <c r="H4090">
        <v>4</v>
      </c>
      <c r="I4090">
        <f t="shared" si="65"/>
        <v>5</v>
      </c>
    </row>
    <row r="4091" spans="1:9">
      <c r="A4091" s="1">
        <v>42482.815972222219</v>
      </c>
      <c r="B4091" s="19">
        <v>42783</v>
      </c>
      <c r="C4091" s="21">
        <v>0.31944444444444442</v>
      </c>
      <c r="D4091" s="20" t="s">
        <v>3033</v>
      </c>
      <c r="E4091" t="s">
        <v>6</v>
      </c>
      <c r="F4091" t="s">
        <v>46</v>
      </c>
      <c r="G4091" t="s">
        <v>82</v>
      </c>
      <c r="H4091">
        <v>10</v>
      </c>
      <c r="I4091">
        <f t="shared" si="65"/>
        <v>13</v>
      </c>
    </row>
    <row r="4092" spans="1:9">
      <c r="A4092" s="1">
        <v>42482.664583333331</v>
      </c>
      <c r="B4092" s="19">
        <v>42783</v>
      </c>
      <c r="C4092" s="21">
        <v>0.27569444444444446</v>
      </c>
      <c r="D4092" s="20" t="s">
        <v>3031</v>
      </c>
      <c r="E4092" t="s">
        <v>6</v>
      </c>
      <c r="F4092" t="s">
        <v>21</v>
      </c>
      <c r="G4092" t="s">
        <v>523</v>
      </c>
      <c r="H4092" t="e">
        <v>#VALUE!</v>
      </c>
      <c r="I4092" t="e">
        <f t="shared" si="65"/>
        <v>#VALUE!</v>
      </c>
    </row>
    <row r="4093" spans="1:9">
      <c r="A4093" s="1">
        <v>42482.650694444441</v>
      </c>
      <c r="B4093" s="19">
        <v>42783</v>
      </c>
      <c r="C4093" s="21">
        <v>0.21111111111111111</v>
      </c>
      <c r="D4093" s="20" t="s">
        <v>3055</v>
      </c>
      <c r="E4093" t="s">
        <v>6</v>
      </c>
      <c r="F4093" t="s">
        <v>76</v>
      </c>
      <c r="G4093" t="s">
        <v>526</v>
      </c>
      <c r="H4093">
        <v>4</v>
      </c>
      <c r="I4093">
        <f t="shared" si="65"/>
        <v>5</v>
      </c>
    </row>
    <row r="4094" spans="1:9">
      <c r="A4094" s="1">
        <v>42482.625694444447</v>
      </c>
      <c r="B4094" s="19">
        <v>42783</v>
      </c>
      <c r="C4094" s="21">
        <v>2.4305555555555556E-2</v>
      </c>
      <c r="D4094" s="20" t="s">
        <v>3050</v>
      </c>
      <c r="E4094" t="s">
        <v>6</v>
      </c>
      <c r="F4094" t="s">
        <v>46</v>
      </c>
      <c r="G4094" t="s">
        <v>527</v>
      </c>
      <c r="H4094" t="e">
        <v>#VALUE!</v>
      </c>
      <c r="I4094" t="e">
        <f t="shared" si="65"/>
        <v>#VALUE!</v>
      </c>
    </row>
    <row r="4095" spans="1:9">
      <c r="A4095" s="1">
        <v>42482.559027777781</v>
      </c>
      <c r="B4095" s="19">
        <v>42783</v>
      </c>
      <c r="C4095" s="21">
        <v>0.95763888888888893</v>
      </c>
      <c r="D4095" s="20" t="s">
        <v>3049</v>
      </c>
      <c r="E4095" t="s">
        <v>0</v>
      </c>
      <c r="F4095" t="s">
        <v>10</v>
      </c>
      <c r="G4095" t="s">
        <v>514</v>
      </c>
      <c r="H4095">
        <v>13</v>
      </c>
      <c r="I4095">
        <f t="shared" si="65"/>
        <v>17</v>
      </c>
    </row>
    <row r="4096" spans="1:9">
      <c r="A4096" s="1">
        <v>42482.544444444444</v>
      </c>
      <c r="B4096" s="19">
        <v>42783</v>
      </c>
      <c r="C4096" s="21">
        <v>0.88194444444444442</v>
      </c>
      <c r="D4096" s="20" t="s">
        <v>3048</v>
      </c>
      <c r="E4096" t="s">
        <v>0</v>
      </c>
      <c r="F4096" t="s">
        <v>1</v>
      </c>
      <c r="H4096">
        <v>13</v>
      </c>
      <c r="I4096">
        <f t="shared" si="65"/>
        <v>17</v>
      </c>
    </row>
    <row r="4097" spans="1:9">
      <c r="A4097" s="1">
        <v>42482.466666666667</v>
      </c>
      <c r="B4097" s="19">
        <v>42783</v>
      </c>
      <c r="C4097" s="21">
        <v>0.88194444444444442</v>
      </c>
      <c r="D4097" s="20" t="s">
        <v>3048</v>
      </c>
      <c r="E4097" t="s">
        <v>0</v>
      </c>
      <c r="F4097" t="s">
        <v>1</v>
      </c>
      <c r="H4097">
        <v>13</v>
      </c>
      <c r="I4097">
        <f t="shared" si="65"/>
        <v>17</v>
      </c>
    </row>
    <row r="4098" spans="1:9">
      <c r="A4098" s="1">
        <v>42482.447916666664</v>
      </c>
      <c r="B4098" s="19">
        <v>42783</v>
      </c>
      <c r="C4098" s="21">
        <v>0.88194444444444442</v>
      </c>
      <c r="D4098" s="20" t="s">
        <v>3048</v>
      </c>
      <c r="E4098" t="s">
        <v>0</v>
      </c>
      <c r="F4098" t="s">
        <v>1</v>
      </c>
      <c r="H4098">
        <v>13</v>
      </c>
      <c r="I4098">
        <f t="shared" si="65"/>
        <v>17</v>
      </c>
    </row>
    <row r="4099" spans="1:9">
      <c r="A4099" s="1">
        <v>42481.823611111111</v>
      </c>
      <c r="B4099" s="19">
        <v>42783</v>
      </c>
      <c r="C4099" s="21">
        <v>0.88194444444444442</v>
      </c>
      <c r="D4099" s="20" t="s">
        <v>3048</v>
      </c>
      <c r="E4099" t="s">
        <v>0</v>
      </c>
      <c r="F4099" t="s">
        <v>1</v>
      </c>
      <c r="H4099">
        <v>13</v>
      </c>
      <c r="I4099">
        <f t="shared" ref="I4099:I4162" si="66">ROUNDUP((H4099*1.24), 0)</f>
        <v>17</v>
      </c>
    </row>
    <row r="4100" spans="1:9">
      <c r="A4100" s="1">
        <v>42481.773611111108</v>
      </c>
      <c r="B4100" s="19">
        <v>42783</v>
      </c>
      <c r="C4100" s="21">
        <v>0.88194444444444442</v>
      </c>
      <c r="D4100" s="20" t="s">
        <v>3048</v>
      </c>
      <c r="E4100" t="s">
        <v>0</v>
      </c>
      <c r="F4100" t="s">
        <v>1</v>
      </c>
      <c r="H4100">
        <v>13</v>
      </c>
      <c r="I4100">
        <f t="shared" si="66"/>
        <v>17</v>
      </c>
    </row>
    <row r="4101" spans="1:9">
      <c r="A4101" s="1">
        <v>42481.664583333331</v>
      </c>
      <c r="B4101" s="19">
        <v>42783</v>
      </c>
      <c r="C4101" s="21">
        <v>0.88194444444444442</v>
      </c>
      <c r="D4101" s="20" t="s">
        <v>3048</v>
      </c>
      <c r="E4101" t="s">
        <v>0</v>
      </c>
      <c r="F4101" t="s">
        <v>1</v>
      </c>
      <c r="H4101">
        <v>13</v>
      </c>
      <c r="I4101">
        <f t="shared" si="66"/>
        <v>17</v>
      </c>
    </row>
    <row r="4102" spans="1:9">
      <c r="A4102" s="1">
        <v>42481.559027777781</v>
      </c>
      <c r="B4102" s="19">
        <v>42783</v>
      </c>
      <c r="C4102" s="21">
        <v>0.88194444444444442</v>
      </c>
      <c r="D4102" s="20" t="s">
        <v>3048</v>
      </c>
      <c r="E4102" t="s">
        <v>0</v>
      </c>
      <c r="F4102" t="s">
        <v>1</v>
      </c>
      <c r="H4102">
        <v>13</v>
      </c>
      <c r="I4102">
        <f t="shared" si="66"/>
        <v>17</v>
      </c>
    </row>
    <row r="4103" spans="1:9">
      <c r="A4103" s="1">
        <v>42481.551388888889</v>
      </c>
      <c r="B4103" s="19">
        <v>42783</v>
      </c>
      <c r="C4103" s="21">
        <v>0.88194444444444442</v>
      </c>
      <c r="D4103" s="20" t="s">
        <v>3048</v>
      </c>
      <c r="E4103" t="s">
        <v>0</v>
      </c>
      <c r="F4103" t="s">
        <v>1</v>
      </c>
      <c r="H4103">
        <v>13</v>
      </c>
      <c r="I4103">
        <f t="shared" si="66"/>
        <v>17</v>
      </c>
    </row>
    <row r="4104" spans="1:9">
      <c r="A4104" s="1">
        <v>42481.442361111112</v>
      </c>
      <c r="B4104" s="19">
        <v>42783</v>
      </c>
      <c r="C4104" s="21">
        <v>0.88194444444444442</v>
      </c>
      <c r="D4104" s="20" t="s">
        <v>3048</v>
      </c>
      <c r="E4104" t="s">
        <v>0</v>
      </c>
      <c r="F4104" t="s">
        <v>1</v>
      </c>
      <c r="H4104">
        <v>13</v>
      </c>
      <c r="I4104">
        <f t="shared" si="66"/>
        <v>17</v>
      </c>
    </row>
    <row r="4105" spans="1:9">
      <c r="A4105" s="1">
        <v>42481.441666666666</v>
      </c>
      <c r="B4105" s="19">
        <v>42783</v>
      </c>
      <c r="C4105" s="21">
        <v>0.88194444444444442</v>
      </c>
      <c r="D4105" s="20" t="s">
        <v>3048</v>
      </c>
      <c r="E4105" t="s">
        <v>0</v>
      </c>
      <c r="F4105" t="s">
        <v>1</v>
      </c>
      <c r="H4105">
        <v>13</v>
      </c>
      <c r="I4105">
        <f t="shared" si="66"/>
        <v>17</v>
      </c>
    </row>
    <row r="4106" spans="1:9">
      <c r="A4106" s="1">
        <v>42481.907638888886</v>
      </c>
      <c r="B4106" s="19">
        <v>42783</v>
      </c>
      <c r="C4106" s="21">
        <v>0.88194444444444442</v>
      </c>
      <c r="D4106" s="20" t="s">
        <v>3048</v>
      </c>
      <c r="E4106" t="s">
        <v>0</v>
      </c>
      <c r="F4106" t="s">
        <v>1</v>
      </c>
      <c r="H4106">
        <v>13</v>
      </c>
      <c r="I4106">
        <f t="shared" si="66"/>
        <v>17</v>
      </c>
    </row>
    <row r="4107" spans="1:9">
      <c r="A4107" s="1">
        <v>42481.709722222222</v>
      </c>
      <c r="B4107" s="19">
        <v>42783</v>
      </c>
      <c r="C4107" s="21">
        <v>0.79861111111111116</v>
      </c>
      <c r="D4107" s="20" t="s">
        <v>3046</v>
      </c>
      <c r="E4107" t="s">
        <v>0</v>
      </c>
      <c r="G4107" t="s">
        <v>517</v>
      </c>
      <c r="H4107">
        <v>2</v>
      </c>
      <c r="I4107">
        <f t="shared" si="66"/>
        <v>3</v>
      </c>
    </row>
    <row r="4108" spans="1:9">
      <c r="A4108" s="1">
        <v>42481.707638888889</v>
      </c>
      <c r="B4108" s="19">
        <v>42783</v>
      </c>
      <c r="C4108" s="21">
        <v>0.79861111111111116</v>
      </c>
      <c r="D4108" s="20" t="s">
        <v>3046</v>
      </c>
      <c r="E4108" t="s">
        <v>0</v>
      </c>
      <c r="G4108" t="s">
        <v>517</v>
      </c>
      <c r="H4108">
        <v>2</v>
      </c>
      <c r="I4108">
        <f t="shared" si="66"/>
        <v>3</v>
      </c>
    </row>
    <row r="4109" spans="1:9">
      <c r="A4109" s="1">
        <v>42481.670138888891</v>
      </c>
      <c r="B4109" s="19">
        <v>42783</v>
      </c>
      <c r="C4109" s="21">
        <v>0.79861111111111116</v>
      </c>
      <c r="D4109" s="20" t="s">
        <v>3046</v>
      </c>
      <c r="E4109" t="s">
        <v>0</v>
      </c>
      <c r="G4109" t="s">
        <v>517</v>
      </c>
      <c r="H4109">
        <v>2</v>
      </c>
      <c r="I4109">
        <f t="shared" si="66"/>
        <v>3</v>
      </c>
    </row>
    <row r="4110" spans="1:9">
      <c r="A4110" s="1">
        <v>42481.663888888892</v>
      </c>
      <c r="B4110" s="19">
        <v>42783</v>
      </c>
      <c r="C4110" s="21">
        <v>0.79861111111111116</v>
      </c>
      <c r="D4110" s="20" t="s">
        <v>3046</v>
      </c>
      <c r="E4110" t="s">
        <v>0</v>
      </c>
      <c r="G4110" t="s">
        <v>517</v>
      </c>
      <c r="H4110">
        <v>2</v>
      </c>
      <c r="I4110">
        <f t="shared" si="66"/>
        <v>3</v>
      </c>
    </row>
    <row r="4111" spans="1:9">
      <c r="A4111" s="1">
        <v>42481.662499999999</v>
      </c>
      <c r="B4111" s="19">
        <v>42783</v>
      </c>
      <c r="C4111" s="21">
        <v>0.79861111111111116</v>
      </c>
      <c r="D4111" s="20" t="s">
        <v>3046</v>
      </c>
      <c r="E4111" t="s">
        <v>0</v>
      </c>
      <c r="G4111" t="s">
        <v>517</v>
      </c>
      <c r="H4111">
        <v>2</v>
      </c>
      <c r="I4111">
        <f t="shared" si="66"/>
        <v>3</v>
      </c>
    </row>
    <row r="4112" spans="1:9">
      <c r="A4112" s="1">
        <v>42481.661805555559</v>
      </c>
      <c r="B4112" s="19">
        <v>42783</v>
      </c>
      <c r="C4112" s="21">
        <v>0.79861111111111116</v>
      </c>
      <c r="D4112" s="20" t="s">
        <v>3046</v>
      </c>
      <c r="E4112" t="s">
        <v>0</v>
      </c>
      <c r="G4112" t="s">
        <v>517</v>
      </c>
      <c r="H4112">
        <v>2</v>
      </c>
      <c r="I4112">
        <f t="shared" si="66"/>
        <v>3</v>
      </c>
    </row>
    <row r="4113" spans="1:9">
      <c r="A4113" s="1">
        <v>42481.546527777777</v>
      </c>
      <c r="B4113" s="19">
        <v>42783</v>
      </c>
      <c r="C4113" s="21">
        <v>0.79861111111111116</v>
      </c>
      <c r="D4113" s="20" t="s">
        <v>3046</v>
      </c>
      <c r="E4113" t="s">
        <v>0</v>
      </c>
      <c r="G4113" t="s">
        <v>517</v>
      </c>
      <c r="H4113">
        <v>2</v>
      </c>
      <c r="I4113">
        <f t="shared" si="66"/>
        <v>3</v>
      </c>
    </row>
    <row r="4114" spans="1:9">
      <c r="A4114" s="1">
        <v>42481.445833333331</v>
      </c>
      <c r="B4114" s="19">
        <v>42783</v>
      </c>
      <c r="C4114" s="21">
        <v>0.79861111111111116</v>
      </c>
      <c r="D4114" s="20" t="s">
        <v>3046</v>
      </c>
      <c r="E4114" t="s">
        <v>0</v>
      </c>
      <c r="G4114" t="s">
        <v>517</v>
      </c>
      <c r="H4114">
        <v>2</v>
      </c>
      <c r="I4114">
        <f t="shared" si="66"/>
        <v>3</v>
      </c>
    </row>
    <row r="4115" spans="1:9">
      <c r="A4115" s="1">
        <v>42480.835416666669</v>
      </c>
      <c r="B4115" s="19">
        <v>42783</v>
      </c>
      <c r="C4115" s="21">
        <v>0.79861111111111116</v>
      </c>
      <c r="D4115" s="20" t="s">
        <v>3046</v>
      </c>
      <c r="E4115" t="s">
        <v>0</v>
      </c>
      <c r="G4115" t="s">
        <v>517</v>
      </c>
      <c r="H4115">
        <v>2</v>
      </c>
      <c r="I4115">
        <f t="shared" si="66"/>
        <v>3</v>
      </c>
    </row>
    <row r="4116" spans="1:9">
      <c r="A4116" s="1">
        <v>42480.788194444445</v>
      </c>
      <c r="B4116" s="19">
        <v>42783</v>
      </c>
      <c r="C4116" s="21">
        <v>0.79861111111111116</v>
      </c>
      <c r="D4116" s="20" t="s">
        <v>3046</v>
      </c>
      <c r="E4116" t="s">
        <v>0</v>
      </c>
      <c r="G4116" t="s">
        <v>517</v>
      </c>
      <c r="H4116">
        <v>2</v>
      </c>
      <c r="I4116">
        <f t="shared" si="66"/>
        <v>3</v>
      </c>
    </row>
    <row r="4117" spans="1:9">
      <c r="A4117" s="1">
        <v>42480.685416666667</v>
      </c>
      <c r="B4117" s="19">
        <v>42783</v>
      </c>
      <c r="C4117" s="21">
        <v>0.79861111111111116</v>
      </c>
      <c r="D4117" s="20" t="s">
        <v>3046</v>
      </c>
      <c r="E4117" t="s">
        <v>0</v>
      </c>
      <c r="G4117" t="s">
        <v>517</v>
      </c>
      <c r="H4117">
        <v>2</v>
      </c>
      <c r="I4117">
        <f t="shared" si="66"/>
        <v>3</v>
      </c>
    </row>
    <row r="4118" spans="1:9">
      <c r="A4118" s="1">
        <v>42480.643750000003</v>
      </c>
      <c r="B4118" s="19">
        <v>42783</v>
      </c>
      <c r="C4118" s="21">
        <v>0.6958333333333333</v>
      </c>
      <c r="D4118" s="20" t="s">
        <v>3043</v>
      </c>
      <c r="E4118" t="s">
        <v>77</v>
      </c>
      <c r="F4118" t="s">
        <v>78</v>
      </c>
      <c r="G4118" t="s">
        <v>306</v>
      </c>
      <c r="H4118">
        <v>4</v>
      </c>
      <c r="I4118">
        <f t="shared" si="66"/>
        <v>5</v>
      </c>
    </row>
    <row r="4119" spans="1:9">
      <c r="A4119" s="1">
        <v>42480.626388888886</v>
      </c>
      <c r="B4119" s="19">
        <v>42783</v>
      </c>
      <c r="C4119" s="21">
        <v>0.6958333333333333</v>
      </c>
      <c r="D4119" s="20" t="s">
        <v>3043</v>
      </c>
      <c r="E4119" t="s">
        <v>77</v>
      </c>
      <c r="F4119" t="s">
        <v>78</v>
      </c>
      <c r="G4119" t="s">
        <v>306</v>
      </c>
      <c r="H4119">
        <v>4</v>
      </c>
      <c r="I4119">
        <f t="shared" si="66"/>
        <v>5</v>
      </c>
    </row>
    <row r="4120" spans="1:9">
      <c r="A4120" s="1">
        <v>42480.432638888888</v>
      </c>
      <c r="B4120" s="19">
        <v>42783</v>
      </c>
      <c r="C4120" s="21">
        <v>0.6958333333333333</v>
      </c>
      <c r="D4120" s="20" t="s">
        <v>3043</v>
      </c>
      <c r="E4120" t="s">
        <v>77</v>
      </c>
      <c r="F4120" t="s">
        <v>78</v>
      </c>
      <c r="G4120" t="s">
        <v>306</v>
      </c>
      <c r="H4120">
        <v>4</v>
      </c>
      <c r="I4120">
        <f t="shared" si="66"/>
        <v>5</v>
      </c>
    </row>
    <row r="4121" spans="1:9">
      <c r="A4121" s="1">
        <v>42480.357638888891</v>
      </c>
      <c r="B4121" s="19">
        <v>42783</v>
      </c>
      <c r="C4121" s="21">
        <v>0.6958333333333333</v>
      </c>
      <c r="D4121" s="20" t="s">
        <v>3043</v>
      </c>
      <c r="E4121" t="s">
        <v>77</v>
      </c>
      <c r="F4121" t="s">
        <v>78</v>
      </c>
      <c r="G4121" t="s">
        <v>306</v>
      </c>
      <c r="H4121">
        <v>4</v>
      </c>
      <c r="I4121">
        <f t="shared" si="66"/>
        <v>5</v>
      </c>
    </row>
    <row r="4122" spans="1:9">
      <c r="A4122" s="1">
        <v>42480.265972222223</v>
      </c>
      <c r="B4122" s="19">
        <v>42783</v>
      </c>
      <c r="C4122" s="21">
        <v>0.6958333333333333</v>
      </c>
      <c r="D4122" s="20" t="s">
        <v>3043</v>
      </c>
      <c r="E4122" t="s">
        <v>77</v>
      </c>
      <c r="F4122" t="s">
        <v>78</v>
      </c>
      <c r="G4122" t="s">
        <v>306</v>
      </c>
      <c r="H4122">
        <v>4</v>
      </c>
      <c r="I4122">
        <f t="shared" si="66"/>
        <v>5</v>
      </c>
    </row>
    <row r="4123" spans="1:9">
      <c r="A4123" s="1">
        <v>42480.250694444447</v>
      </c>
      <c r="B4123" s="19">
        <v>42783</v>
      </c>
      <c r="C4123" s="21">
        <v>0.6958333333333333</v>
      </c>
      <c r="D4123" s="20" t="s">
        <v>3043</v>
      </c>
      <c r="E4123" t="s">
        <v>77</v>
      </c>
      <c r="F4123" t="s">
        <v>78</v>
      </c>
      <c r="G4123" t="s">
        <v>306</v>
      </c>
      <c r="H4123">
        <v>4</v>
      </c>
      <c r="I4123">
        <f t="shared" si="66"/>
        <v>5</v>
      </c>
    </row>
    <row r="4124" spans="1:9">
      <c r="A4124" s="1">
        <v>42480.222916666666</v>
      </c>
      <c r="B4124" s="19">
        <v>42783</v>
      </c>
      <c r="C4124" s="21">
        <v>0.6958333333333333</v>
      </c>
      <c r="D4124" s="20" t="s">
        <v>3043</v>
      </c>
      <c r="E4124" t="s">
        <v>77</v>
      </c>
      <c r="F4124" t="s">
        <v>78</v>
      </c>
      <c r="G4124" t="s">
        <v>306</v>
      </c>
      <c r="H4124">
        <v>4</v>
      </c>
      <c r="I4124">
        <f t="shared" si="66"/>
        <v>5</v>
      </c>
    </row>
    <row r="4125" spans="1:9">
      <c r="A4125" s="1">
        <v>42480.770833333336</v>
      </c>
      <c r="B4125" s="19">
        <v>42783</v>
      </c>
      <c r="C4125" s="21">
        <v>0.6958333333333333</v>
      </c>
      <c r="D4125" s="20" t="s">
        <v>3043</v>
      </c>
      <c r="E4125" t="s">
        <v>77</v>
      </c>
      <c r="F4125" t="s">
        <v>78</v>
      </c>
      <c r="G4125" t="s">
        <v>306</v>
      </c>
      <c r="H4125">
        <v>4</v>
      </c>
      <c r="I4125">
        <f t="shared" si="66"/>
        <v>5</v>
      </c>
    </row>
    <row r="4126" spans="1:9">
      <c r="A4126" s="1">
        <v>42480.556944444441</v>
      </c>
      <c r="B4126" s="19">
        <v>42783</v>
      </c>
      <c r="C4126" s="21">
        <v>0.6958333333333333</v>
      </c>
      <c r="D4126" s="20" t="s">
        <v>3043</v>
      </c>
      <c r="E4126" t="s">
        <v>77</v>
      </c>
      <c r="F4126" t="s">
        <v>78</v>
      </c>
      <c r="G4126" t="s">
        <v>306</v>
      </c>
      <c r="H4126">
        <v>4</v>
      </c>
      <c r="I4126">
        <f t="shared" si="66"/>
        <v>5</v>
      </c>
    </row>
    <row r="4127" spans="1:9">
      <c r="A4127" s="1">
        <v>42480.546527777777</v>
      </c>
      <c r="B4127" s="19">
        <v>42783</v>
      </c>
      <c r="C4127" s="21">
        <v>0.6958333333333333</v>
      </c>
      <c r="D4127" s="20" t="s">
        <v>3043</v>
      </c>
      <c r="E4127" t="s">
        <v>77</v>
      </c>
      <c r="F4127" t="s">
        <v>78</v>
      </c>
      <c r="G4127" t="s">
        <v>306</v>
      </c>
      <c r="H4127">
        <v>4</v>
      </c>
      <c r="I4127">
        <f t="shared" si="66"/>
        <v>5</v>
      </c>
    </row>
    <row r="4128" spans="1:9">
      <c r="A4128" s="1">
        <v>42480.352083333331</v>
      </c>
      <c r="B4128" s="19">
        <v>42783</v>
      </c>
      <c r="C4128" s="21">
        <v>0.6958333333333333</v>
      </c>
      <c r="D4128" s="20" t="s">
        <v>3043</v>
      </c>
      <c r="E4128" t="s">
        <v>77</v>
      </c>
      <c r="F4128" t="s">
        <v>78</v>
      </c>
      <c r="G4128" t="s">
        <v>306</v>
      </c>
      <c r="H4128">
        <v>4</v>
      </c>
      <c r="I4128">
        <f t="shared" si="66"/>
        <v>5</v>
      </c>
    </row>
    <row r="4129" spans="1:9">
      <c r="A4129" s="1">
        <v>42480.334027777775</v>
      </c>
      <c r="B4129" s="19">
        <v>42783</v>
      </c>
      <c r="C4129" s="21">
        <v>0.65694444444444444</v>
      </c>
      <c r="D4129" s="20" t="s">
        <v>3042</v>
      </c>
      <c r="E4129" t="s">
        <v>77</v>
      </c>
      <c r="F4129" t="s">
        <v>78</v>
      </c>
      <c r="G4129" t="s">
        <v>520</v>
      </c>
      <c r="H4129">
        <v>4</v>
      </c>
      <c r="I4129">
        <f t="shared" si="66"/>
        <v>5</v>
      </c>
    </row>
    <row r="4130" spans="1:9">
      <c r="A4130" s="1">
        <v>42480.20208333333</v>
      </c>
      <c r="B4130" s="19">
        <v>42783</v>
      </c>
      <c r="C4130" s="21">
        <v>0.65694444444444444</v>
      </c>
      <c r="D4130" s="20" t="s">
        <v>3042</v>
      </c>
      <c r="E4130" t="s">
        <v>77</v>
      </c>
      <c r="F4130" t="s">
        <v>78</v>
      </c>
      <c r="G4130" t="s">
        <v>520</v>
      </c>
      <c r="H4130">
        <v>4</v>
      </c>
      <c r="I4130">
        <f t="shared" si="66"/>
        <v>5</v>
      </c>
    </row>
    <row r="4131" spans="1:9">
      <c r="A4131" s="1">
        <v>42479.910416666666</v>
      </c>
      <c r="B4131" s="19">
        <v>42783</v>
      </c>
      <c r="C4131" s="21">
        <v>0.65694444444444444</v>
      </c>
      <c r="D4131" s="20" t="s">
        <v>3042</v>
      </c>
      <c r="E4131" t="s">
        <v>77</v>
      </c>
      <c r="F4131" t="s">
        <v>78</v>
      </c>
      <c r="G4131" t="s">
        <v>520</v>
      </c>
      <c r="H4131">
        <v>4</v>
      </c>
      <c r="I4131">
        <f t="shared" si="66"/>
        <v>5</v>
      </c>
    </row>
    <row r="4132" spans="1:9">
      <c r="A4132" s="1">
        <v>42479.634027777778</v>
      </c>
      <c r="B4132" s="19">
        <v>42783</v>
      </c>
      <c r="C4132" s="21">
        <v>0.65694444444444444</v>
      </c>
      <c r="D4132" s="20" t="s">
        <v>3042</v>
      </c>
      <c r="E4132" t="s">
        <v>77</v>
      </c>
      <c r="F4132" t="s">
        <v>78</v>
      </c>
      <c r="G4132" t="s">
        <v>520</v>
      </c>
      <c r="H4132">
        <v>4</v>
      </c>
      <c r="I4132">
        <f t="shared" si="66"/>
        <v>5</v>
      </c>
    </row>
    <row r="4133" spans="1:9">
      <c r="A4133" s="1">
        <v>42479.568749999999</v>
      </c>
      <c r="B4133" s="19">
        <v>42783</v>
      </c>
      <c r="C4133" s="21">
        <v>0.65694444444444444</v>
      </c>
      <c r="D4133" s="20" t="s">
        <v>3042</v>
      </c>
      <c r="E4133" t="s">
        <v>77</v>
      </c>
      <c r="F4133" t="s">
        <v>78</v>
      </c>
      <c r="G4133" t="s">
        <v>520</v>
      </c>
      <c r="H4133">
        <v>4</v>
      </c>
      <c r="I4133">
        <f t="shared" si="66"/>
        <v>5</v>
      </c>
    </row>
    <row r="4134" spans="1:9">
      <c r="A4134" s="1">
        <v>42479.447222222225</v>
      </c>
      <c r="B4134" s="19">
        <v>42783</v>
      </c>
      <c r="C4134" s="21">
        <v>0.65694444444444444</v>
      </c>
      <c r="D4134" s="20" t="s">
        <v>3042</v>
      </c>
      <c r="E4134" t="s">
        <v>77</v>
      </c>
      <c r="F4134" t="s">
        <v>78</v>
      </c>
      <c r="G4134" t="s">
        <v>520</v>
      </c>
      <c r="H4134">
        <v>4</v>
      </c>
      <c r="I4134">
        <f t="shared" si="66"/>
        <v>5</v>
      </c>
    </row>
    <row r="4135" spans="1:9">
      <c r="A4135" s="1">
        <v>42479.350694444445</v>
      </c>
      <c r="B4135" s="19">
        <v>42783</v>
      </c>
      <c r="C4135" s="21">
        <v>0.65694444444444444</v>
      </c>
      <c r="D4135" s="20" t="s">
        <v>3042</v>
      </c>
      <c r="E4135" t="s">
        <v>77</v>
      </c>
      <c r="F4135" t="s">
        <v>78</v>
      </c>
      <c r="G4135" t="s">
        <v>520</v>
      </c>
      <c r="H4135">
        <v>4</v>
      </c>
      <c r="I4135">
        <f t="shared" si="66"/>
        <v>5</v>
      </c>
    </row>
    <row r="4136" spans="1:9">
      <c r="A4136" s="1">
        <v>42479.25277777778</v>
      </c>
      <c r="B4136" s="19">
        <v>42783</v>
      </c>
      <c r="C4136" s="21">
        <v>0.65694444444444444</v>
      </c>
      <c r="D4136" s="20" t="s">
        <v>3042</v>
      </c>
      <c r="E4136" t="s">
        <v>77</v>
      </c>
      <c r="F4136" t="s">
        <v>78</v>
      </c>
      <c r="G4136" t="s">
        <v>520</v>
      </c>
      <c r="H4136">
        <v>4</v>
      </c>
      <c r="I4136">
        <f t="shared" si="66"/>
        <v>5</v>
      </c>
    </row>
    <row r="4137" spans="1:9">
      <c r="A4137" s="1">
        <v>42479.248611111114</v>
      </c>
      <c r="B4137" s="19">
        <v>42783</v>
      </c>
      <c r="C4137" s="21">
        <v>0.65694444444444444</v>
      </c>
      <c r="D4137" s="20" t="s">
        <v>3042</v>
      </c>
      <c r="E4137" t="s">
        <v>77</v>
      </c>
      <c r="F4137" t="s">
        <v>78</v>
      </c>
      <c r="G4137" t="s">
        <v>520</v>
      </c>
      <c r="H4137">
        <v>4</v>
      </c>
      <c r="I4137">
        <f t="shared" si="66"/>
        <v>5</v>
      </c>
    </row>
    <row r="4138" spans="1:9">
      <c r="A4138" s="1">
        <v>42479.968055555553</v>
      </c>
      <c r="B4138" s="19">
        <v>42783</v>
      </c>
      <c r="C4138" s="21">
        <v>0.65694444444444444</v>
      </c>
      <c r="D4138" s="20" t="s">
        <v>3042</v>
      </c>
      <c r="E4138" t="s">
        <v>77</v>
      </c>
      <c r="F4138" t="s">
        <v>78</v>
      </c>
      <c r="G4138" t="s">
        <v>520</v>
      </c>
      <c r="H4138">
        <v>4</v>
      </c>
      <c r="I4138">
        <f t="shared" si="66"/>
        <v>5</v>
      </c>
    </row>
    <row r="4139" spans="1:9">
      <c r="A4139" s="1">
        <v>42479.95416666667</v>
      </c>
      <c r="B4139" s="19">
        <v>42783</v>
      </c>
      <c r="C4139" s="21">
        <v>0.65694444444444444</v>
      </c>
      <c r="D4139" s="20" t="s">
        <v>3042</v>
      </c>
      <c r="E4139" t="s">
        <v>77</v>
      </c>
      <c r="F4139" t="s">
        <v>78</v>
      </c>
      <c r="G4139" t="s">
        <v>520</v>
      </c>
      <c r="H4139">
        <v>4</v>
      </c>
      <c r="I4139">
        <f t="shared" si="66"/>
        <v>5</v>
      </c>
    </row>
    <row r="4140" spans="1:9">
      <c r="A4140" s="1">
        <v>42479.856249999997</v>
      </c>
      <c r="B4140" s="19">
        <v>42783</v>
      </c>
      <c r="C4140" s="21">
        <v>0.58402777777777781</v>
      </c>
      <c r="D4140" s="20" t="s">
        <v>3040</v>
      </c>
      <c r="E4140" t="s">
        <v>0</v>
      </c>
      <c r="G4140" t="s">
        <v>193</v>
      </c>
      <c r="H4140">
        <v>13</v>
      </c>
      <c r="I4140">
        <f t="shared" si="66"/>
        <v>17</v>
      </c>
    </row>
    <row r="4141" spans="1:9">
      <c r="A4141" s="1">
        <v>42479.838194444441</v>
      </c>
      <c r="B4141" s="19">
        <v>42783</v>
      </c>
      <c r="C4141" s="21">
        <v>0.58402777777777781</v>
      </c>
      <c r="D4141" s="20" t="s">
        <v>3040</v>
      </c>
      <c r="E4141" t="s">
        <v>0</v>
      </c>
      <c r="G4141" t="s">
        <v>193</v>
      </c>
      <c r="H4141">
        <v>13</v>
      </c>
      <c r="I4141">
        <f t="shared" si="66"/>
        <v>17</v>
      </c>
    </row>
    <row r="4142" spans="1:9">
      <c r="A4142" s="1">
        <v>42479.800694444442</v>
      </c>
      <c r="B4142" s="19">
        <v>42783</v>
      </c>
      <c r="C4142" s="21">
        <v>0.58402777777777781</v>
      </c>
      <c r="D4142" s="20" t="s">
        <v>3040</v>
      </c>
      <c r="E4142" t="s">
        <v>0</v>
      </c>
      <c r="G4142" t="s">
        <v>193</v>
      </c>
      <c r="H4142">
        <v>13</v>
      </c>
      <c r="I4142">
        <f t="shared" si="66"/>
        <v>17</v>
      </c>
    </row>
    <row r="4143" spans="1:9">
      <c r="A4143" s="1">
        <v>42479.705555555556</v>
      </c>
      <c r="B4143" s="19">
        <v>42783</v>
      </c>
      <c r="C4143" s="21">
        <v>0.58402777777777781</v>
      </c>
      <c r="D4143" s="20" t="s">
        <v>3040</v>
      </c>
      <c r="E4143" t="s">
        <v>0</v>
      </c>
      <c r="G4143" t="s">
        <v>193</v>
      </c>
      <c r="H4143">
        <v>13</v>
      </c>
      <c r="I4143">
        <f t="shared" si="66"/>
        <v>17</v>
      </c>
    </row>
    <row r="4144" spans="1:9">
      <c r="A4144" s="1">
        <v>42479.554861111108</v>
      </c>
      <c r="B4144" s="19">
        <v>42783</v>
      </c>
      <c r="C4144" s="21">
        <v>0.58402777777777781</v>
      </c>
      <c r="D4144" s="20" t="s">
        <v>3040</v>
      </c>
      <c r="E4144" t="s">
        <v>0</v>
      </c>
      <c r="G4144" t="s">
        <v>193</v>
      </c>
      <c r="H4144">
        <v>13</v>
      </c>
      <c r="I4144">
        <f t="shared" si="66"/>
        <v>17</v>
      </c>
    </row>
    <row r="4145" spans="1:9">
      <c r="A4145" s="1">
        <v>42479.433333333334</v>
      </c>
      <c r="B4145" s="19">
        <v>42783</v>
      </c>
      <c r="C4145" s="21">
        <v>0.58402777777777781</v>
      </c>
      <c r="D4145" s="20" t="s">
        <v>3040</v>
      </c>
      <c r="E4145" t="s">
        <v>0</v>
      </c>
      <c r="G4145" t="s">
        <v>193</v>
      </c>
      <c r="H4145">
        <v>13</v>
      </c>
      <c r="I4145">
        <f t="shared" si="66"/>
        <v>17</v>
      </c>
    </row>
    <row r="4146" spans="1:9">
      <c r="A4146" s="1">
        <v>42479.270833333336</v>
      </c>
      <c r="B4146" s="19">
        <v>42783</v>
      </c>
      <c r="C4146" s="21">
        <v>0.58402777777777781</v>
      </c>
      <c r="D4146" s="20" t="s">
        <v>3040</v>
      </c>
      <c r="E4146" t="s">
        <v>0</v>
      </c>
      <c r="G4146" t="s">
        <v>193</v>
      </c>
      <c r="H4146">
        <v>13</v>
      </c>
      <c r="I4146">
        <f t="shared" si="66"/>
        <v>17</v>
      </c>
    </row>
    <row r="4147" spans="1:9">
      <c r="A4147" s="1">
        <v>42479.268750000003</v>
      </c>
      <c r="B4147" s="19">
        <v>42783</v>
      </c>
      <c r="C4147" s="21">
        <v>0.58402777777777781</v>
      </c>
      <c r="D4147" s="20" t="s">
        <v>3040</v>
      </c>
      <c r="E4147" t="s">
        <v>0</v>
      </c>
      <c r="G4147" t="s">
        <v>193</v>
      </c>
      <c r="H4147">
        <v>13</v>
      </c>
      <c r="I4147">
        <f t="shared" si="66"/>
        <v>17</v>
      </c>
    </row>
    <row r="4148" spans="1:9">
      <c r="A4148" s="1">
        <v>42479.259722222225</v>
      </c>
      <c r="B4148" s="19">
        <v>42783</v>
      </c>
      <c r="C4148" s="21">
        <v>0.58402777777777781</v>
      </c>
      <c r="D4148" s="20" t="s">
        <v>3040</v>
      </c>
      <c r="E4148" t="s">
        <v>0</v>
      </c>
      <c r="G4148" t="s">
        <v>193</v>
      </c>
      <c r="H4148">
        <v>13</v>
      </c>
      <c r="I4148">
        <f t="shared" si="66"/>
        <v>17</v>
      </c>
    </row>
    <row r="4149" spans="1:9">
      <c r="A4149" s="1">
        <v>42479.254166666666</v>
      </c>
      <c r="B4149" s="19">
        <v>42783</v>
      </c>
      <c r="C4149" s="21">
        <v>0.58402777777777781</v>
      </c>
      <c r="D4149" s="20" t="s">
        <v>3040</v>
      </c>
      <c r="E4149" t="s">
        <v>0</v>
      </c>
      <c r="G4149" t="s">
        <v>193</v>
      </c>
      <c r="H4149">
        <v>13</v>
      </c>
      <c r="I4149">
        <f t="shared" si="66"/>
        <v>17</v>
      </c>
    </row>
    <row r="4150" spans="1:9">
      <c r="A4150" s="1">
        <v>42475.088888888888</v>
      </c>
      <c r="B4150" s="19">
        <v>42783</v>
      </c>
      <c r="C4150" s="21">
        <v>0.58402777777777781</v>
      </c>
      <c r="D4150" s="20" t="s">
        <v>3040</v>
      </c>
      <c r="E4150" t="s">
        <v>0</v>
      </c>
      <c r="G4150" t="s">
        <v>193</v>
      </c>
      <c r="H4150">
        <v>13</v>
      </c>
      <c r="I4150">
        <f t="shared" si="66"/>
        <v>17</v>
      </c>
    </row>
    <row r="4151" spans="1:9">
      <c r="A4151" s="1">
        <v>42474.661111111112</v>
      </c>
      <c r="B4151" s="19">
        <v>42783</v>
      </c>
      <c r="C4151" s="21">
        <v>0.51527777777777772</v>
      </c>
      <c r="D4151" s="20" t="s">
        <v>3038</v>
      </c>
      <c r="E4151" t="s">
        <v>0</v>
      </c>
      <c r="F4151" t="s">
        <v>1</v>
      </c>
      <c r="H4151">
        <v>15</v>
      </c>
      <c r="I4151">
        <f t="shared" si="66"/>
        <v>19</v>
      </c>
    </row>
    <row r="4152" spans="1:9">
      <c r="A4152" s="1">
        <v>42474.599305555559</v>
      </c>
      <c r="B4152" s="19">
        <v>42783</v>
      </c>
      <c r="C4152" s="21">
        <v>0.25277777777777777</v>
      </c>
      <c r="D4152" s="20" t="s">
        <v>3031</v>
      </c>
      <c r="E4152" t="s">
        <v>18</v>
      </c>
      <c r="F4152" t="s">
        <v>71</v>
      </c>
      <c r="G4152" t="s">
        <v>524</v>
      </c>
      <c r="H4152" t="e">
        <v>#VALUE!</v>
      </c>
      <c r="I4152" t="e">
        <f t="shared" si="66"/>
        <v>#VALUE!</v>
      </c>
    </row>
    <row r="4153" spans="1:9">
      <c r="A4153" s="1">
        <v>42474.597916666666</v>
      </c>
      <c r="B4153" s="19">
        <v>42783</v>
      </c>
      <c r="C4153" s="21">
        <v>0.25208333333333333</v>
      </c>
      <c r="D4153" s="20" t="s">
        <v>3031</v>
      </c>
      <c r="E4153" t="s">
        <v>0</v>
      </c>
      <c r="G4153" t="s">
        <v>525</v>
      </c>
      <c r="H4153">
        <v>13</v>
      </c>
      <c r="I4153">
        <f t="shared" si="66"/>
        <v>17</v>
      </c>
    </row>
    <row r="4154" spans="1:9">
      <c r="A4154" s="1">
        <v>42474.020833333336</v>
      </c>
      <c r="B4154" s="19">
        <v>42783</v>
      </c>
      <c r="C4154" s="21">
        <v>0.25208333333333333</v>
      </c>
      <c r="D4154" s="20" t="s">
        <v>3031</v>
      </c>
      <c r="E4154" t="s">
        <v>18</v>
      </c>
      <c r="F4154" t="s">
        <v>71</v>
      </c>
      <c r="G4154" t="s">
        <v>460</v>
      </c>
      <c r="H4154" t="e">
        <v>#VALUE!</v>
      </c>
      <c r="I4154" t="e">
        <f t="shared" si="66"/>
        <v>#VALUE!</v>
      </c>
    </row>
    <row r="4155" spans="1:9">
      <c r="A4155" s="1">
        <v>42474.932638888888</v>
      </c>
      <c r="B4155" s="19">
        <v>42783</v>
      </c>
      <c r="C4155" s="21">
        <v>6.9444444444444441E-3</v>
      </c>
      <c r="D4155" s="20" t="s">
        <v>3050</v>
      </c>
      <c r="E4155" t="s">
        <v>0</v>
      </c>
      <c r="F4155" t="s">
        <v>75</v>
      </c>
      <c r="G4155" t="s">
        <v>528</v>
      </c>
      <c r="H4155">
        <v>7</v>
      </c>
      <c r="I4155">
        <f t="shared" si="66"/>
        <v>9</v>
      </c>
    </row>
    <row r="4156" spans="1:9">
      <c r="A4156" s="1">
        <v>42474.597916666666</v>
      </c>
      <c r="B4156" s="19">
        <v>42786</v>
      </c>
      <c r="C4156" s="21">
        <v>0.91666666666666663</v>
      </c>
      <c r="D4156" s="20" t="s">
        <v>3049</v>
      </c>
      <c r="E4156" t="s">
        <v>6</v>
      </c>
      <c r="F4156" t="s">
        <v>15</v>
      </c>
      <c r="G4156" t="s">
        <v>509</v>
      </c>
      <c r="H4156" t="e">
        <v>#VALUE!</v>
      </c>
      <c r="I4156" t="e">
        <f t="shared" si="66"/>
        <v>#VALUE!</v>
      </c>
    </row>
    <row r="4157" spans="1:9">
      <c r="A4157" s="1">
        <v>42474.29583333333</v>
      </c>
      <c r="B4157" s="19">
        <v>42786</v>
      </c>
      <c r="C4157" s="21">
        <v>0.80069444444444449</v>
      </c>
      <c r="D4157" s="20" t="s">
        <v>3046</v>
      </c>
      <c r="E4157" t="s">
        <v>6</v>
      </c>
      <c r="F4157" t="s">
        <v>15</v>
      </c>
      <c r="G4157" t="s">
        <v>510</v>
      </c>
      <c r="H4157" t="e">
        <v>#VALUE!</v>
      </c>
      <c r="I4157" t="e">
        <f t="shared" si="66"/>
        <v>#VALUE!</v>
      </c>
    </row>
    <row r="4158" spans="1:9">
      <c r="A4158" s="1">
        <v>42474.170138888891</v>
      </c>
      <c r="B4158" s="19">
        <v>42786</v>
      </c>
      <c r="C4158" s="21">
        <v>0.47916666666666669</v>
      </c>
      <c r="D4158" s="20" t="s">
        <v>3037</v>
      </c>
      <c r="E4158" t="s">
        <v>2</v>
      </c>
      <c r="F4158" t="s">
        <v>5</v>
      </c>
      <c r="G4158" t="s">
        <v>512</v>
      </c>
      <c r="H4158">
        <v>75</v>
      </c>
      <c r="I4158">
        <f t="shared" si="66"/>
        <v>93</v>
      </c>
    </row>
    <row r="4159" spans="1:9">
      <c r="A4159" s="1">
        <v>42474.135416666664</v>
      </c>
      <c r="B4159" s="19">
        <v>42786</v>
      </c>
      <c r="C4159" s="21">
        <v>0.91736111111111107</v>
      </c>
      <c r="D4159" s="20" t="s">
        <v>3049</v>
      </c>
      <c r="E4159" t="s">
        <v>0</v>
      </c>
      <c r="G4159" t="s">
        <v>9</v>
      </c>
      <c r="H4159" t="e">
        <v>#VALUE!</v>
      </c>
      <c r="I4159" t="e">
        <f t="shared" si="66"/>
        <v>#VALUE!</v>
      </c>
    </row>
    <row r="4160" spans="1:9">
      <c r="A4160" s="1">
        <v>42474.122916666667</v>
      </c>
      <c r="B4160" s="19">
        <v>42786</v>
      </c>
      <c r="C4160" s="21">
        <v>0.91666666666666663</v>
      </c>
      <c r="D4160" s="20" t="s">
        <v>3049</v>
      </c>
      <c r="E4160" t="s">
        <v>0</v>
      </c>
      <c r="F4160" t="s">
        <v>10</v>
      </c>
      <c r="G4160" t="s">
        <v>145</v>
      </c>
      <c r="H4160">
        <v>13</v>
      </c>
      <c r="I4160">
        <f t="shared" si="66"/>
        <v>17</v>
      </c>
    </row>
    <row r="4161" spans="1:9">
      <c r="A4161" s="1">
        <v>42473.97152777778</v>
      </c>
      <c r="B4161" s="19">
        <v>42786</v>
      </c>
      <c r="C4161" s="21">
        <v>0.91666666666666663</v>
      </c>
      <c r="D4161" s="20" t="s">
        <v>3049</v>
      </c>
      <c r="E4161" t="s">
        <v>18</v>
      </c>
      <c r="F4161" t="s">
        <v>100</v>
      </c>
      <c r="G4161" t="s">
        <v>175</v>
      </c>
      <c r="H4161" t="e">
        <v>#VALUE!</v>
      </c>
      <c r="I4161" t="e">
        <f t="shared" si="66"/>
        <v>#VALUE!</v>
      </c>
    </row>
    <row r="4162" spans="1:9">
      <c r="A4162" s="1">
        <v>42473.806250000001</v>
      </c>
      <c r="B4162" s="19">
        <v>42786</v>
      </c>
      <c r="C4162" s="21">
        <v>0.90972222222222221</v>
      </c>
      <c r="D4162" s="20" t="s">
        <v>3048</v>
      </c>
      <c r="E4162" t="s">
        <v>0</v>
      </c>
      <c r="F4162" t="s">
        <v>10</v>
      </c>
      <c r="G4162" t="s">
        <v>145</v>
      </c>
      <c r="H4162">
        <v>13</v>
      </c>
      <c r="I4162">
        <f t="shared" si="66"/>
        <v>17</v>
      </c>
    </row>
    <row r="4163" spans="1:9">
      <c r="A4163" s="1">
        <v>42473.720833333333</v>
      </c>
      <c r="B4163" s="19">
        <v>42786</v>
      </c>
      <c r="C4163" s="21">
        <v>0.53402777777777777</v>
      </c>
      <c r="D4163" s="20" t="s">
        <v>3038</v>
      </c>
      <c r="E4163" t="s">
        <v>33</v>
      </c>
      <c r="G4163" t="s">
        <v>511</v>
      </c>
      <c r="H4163">
        <v>19</v>
      </c>
      <c r="I4163">
        <f t="shared" ref="I4163:I4226" si="67">ROUNDUP((H4163*1.24), 0)</f>
        <v>24</v>
      </c>
    </row>
    <row r="4164" spans="1:9">
      <c r="A4164" s="1">
        <v>42473.683333333334</v>
      </c>
      <c r="B4164" s="19">
        <v>42786</v>
      </c>
      <c r="C4164" s="21">
        <v>0.24930555555555556</v>
      </c>
      <c r="D4164" s="20" t="s">
        <v>3055</v>
      </c>
      <c r="E4164" t="s">
        <v>0</v>
      </c>
      <c r="G4164" t="s">
        <v>9</v>
      </c>
      <c r="H4164">
        <v>31</v>
      </c>
      <c r="I4164">
        <f t="shared" si="67"/>
        <v>39</v>
      </c>
    </row>
    <row r="4165" spans="1:9">
      <c r="A4165" s="1">
        <v>42473.623611111114</v>
      </c>
      <c r="B4165" s="19">
        <v>42787</v>
      </c>
      <c r="C4165" s="21">
        <v>0.80972222222222223</v>
      </c>
      <c r="D4165" s="20" t="s">
        <v>3046</v>
      </c>
      <c r="E4165" t="s">
        <v>6</v>
      </c>
      <c r="F4165" t="s">
        <v>21</v>
      </c>
      <c r="G4165" t="s">
        <v>103</v>
      </c>
      <c r="H4165">
        <v>7</v>
      </c>
      <c r="I4165">
        <f t="shared" si="67"/>
        <v>9</v>
      </c>
    </row>
    <row r="4166" spans="1:9">
      <c r="A4166" s="1">
        <v>42473.623611111114</v>
      </c>
      <c r="B4166" s="19">
        <v>42787</v>
      </c>
      <c r="C4166" s="21">
        <v>0.63749999999999996</v>
      </c>
      <c r="D4166" s="20" t="s">
        <v>3042</v>
      </c>
      <c r="E4166" t="s">
        <v>2</v>
      </c>
      <c r="F4166" t="s">
        <v>48</v>
      </c>
      <c r="G4166" t="s">
        <v>499</v>
      </c>
      <c r="H4166" t="e">
        <v>#VALUE!</v>
      </c>
      <c r="I4166" t="e">
        <f t="shared" si="67"/>
        <v>#VALUE!</v>
      </c>
    </row>
    <row r="4167" spans="1:9">
      <c r="A4167" s="1">
        <v>42473.584722222222</v>
      </c>
      <c r="B4167" s="19">
        <v>42787</v>
      </c>
      <c r="C4167" s="21">
        <v>0.58472222222222225</v>
      </c>
      <c r="D4167" s="20" t="s">
        <v>3040</v>
      </c>
      <c r="E4167" t="s">
        <v>6</v>
      </c>
      <c r="F4167" t="s">
        <v>21</v>
      </c>
      <c r="G4167" t="s">
        <v>500</v>
      </c>
      <c r="H4167" t="e">
        <v>#VALUE!</v>
      </c>
      <c r="I4167" t="e">
        <f t="shared" si="67"/>
        <v>#VALUE!</v>
      </c>
    </row>
    <row r="4168" spans="1:9">
      <c r="A4168" s="1">
        <v>42473.568749999999</v>
      </c>
      <c r="B4168" s="19">
        <v>42787</v>
      </c>
      <c r="C4168" s="21">
        <v>0.47638888888888886</v>
      </c>
      <c r="D4168" s="20" t="s">
        <v>3037</v>
      </c>
      <c r="E4168" t="s">
        <v>2</v>
      </c>
      <c r="F4168" t="s">
        <v>3</v>
      </c>
      <c r="G4168" t="s">
        <v>202</v>
      </c>
      <c r="H4168">
        <v>7</v>
      </c>
      <c r="I4168">
        <f t="shared" si="67"/>
        <v>9</v>
      </c>
    </row>
    <row r="4169" spans="1:9">
      <c r="A4169" s="1">
        <v>42473.456944444442</v>
      </c>
      <c r="B4169" s="19">
        <v>42787</v>
      </c>
      <c r="C4169" s="21">
        <v>0.36180555555555555</v>
      </c>
      <c r="D4169" s="20" t="s">
        <v>3034</v>
      </c>
      <c r="E4169" t="s">
        <v>2</v>
      </c>
      <c r="G4169" t="s">
        <v>502</v>
      </c>
      <c r="H4169" t="e">
        <v>#VALUE!</v>
      </c>
      <c r="I4169" t="e">
        <f t="shared" si="67"/>
        <v>#VALUE!</v>
      </c>
    </row>
    <row r="4170" spans="1:9">
      <c r="A4170" s="1">
        <v>42473.333333333336</v>
      </c>
      <c r="B4170" s="19">
        <v>42787</v>
      </c>
      <c r="C4170" s="21">
        <v>0.34722222222222221</v>
      </c>
      <c r="D4170" s="20" t="s">
        <v>3034</v>
      </c>
      <c r="E4170" t="s">
        <v>2</v>
      </c>
      <c r="F4170" t="s">
        <v>5</v>
      </c>
      <c r="G4170" t="s">
        <v>503</v>
      </c>
      <c r="H4170">
        <v>25</v>
      </c>
      <c r="I4170">
        <f t="shared" si="67"/>
        <v>31</v>
      </c>
    </row>
    <row r="4171" spans="1:9">
      <c r="A4171" s="1">
        <v>42473.270833333336</v>
      </c>
      <c r="B4171" s="19">
        <v>42787</v>
      </c>
      <c r="C4171" s="21">
        <v>0.31527777777777777</v>
      </c>
      <c r="D4171" s="20" t="s">
        <v>3033</v>
      </c>
      <c r="E4171" t="s">
        <v>6</v>
      </c>
      <c r="F4171" t="s">
        <v>21</v>
      </c>
      <c r="G4171" t="s">
        <v>504</v>
      </c>
      <c r="H4171">
        <v>31</v>
      </c>
      <c r="I4171">
        <f t="shared" si="67"/>
        <v>39</v>
      </c>
    </row>
    <row r="4172" spans="1:9">
      <c r="A4172" s="1">
        <v>42473.248611111114</v>
      </c>
      <c r="B4172" s="19">
        <v>42787</v>
      </c>
      <c r="C4172" s="21">
        <v>0.27430555555555558</v>
      </c>
      <c r="D4172" s="20" t="s">
        <v>3031</v>
      </c>
      <c r="E4172" t="s">
        <v>6</v>
      </c>
      <c r="F4172" t="s">
        <v>21</v>
      </c>
      <c r="G4172" t="s">
        <v>505</v>
      </c>
      <c r="H4172">
        <v>75</v>
      </c>
      <c r="I4172">
        <f t="shared" si="67"/>
        <v>93</v>
      </c>
    </row>
    <row r="4173" spans="1:9">
      <c r="A4173" s="1">
        <v>42473.24722222222</v>
      </c>
      <c r="B4173" s="19">
        <v>42787</v>
      </c>
      <c r="C4173" s="21">
        <v>0.25208333333333333</v>
      </c>
      <c r="D4173" s="20" t="s">
        <v>3031</v>
      </c>
      <c r="E4173" t="s">
        <v>6</v>
      </c>
      <c r="F4173" t="s">
        <v>21</v>
      </c>
      <c r="G4173" t="s">
        <v>506</v>
      </c>
      <c r="H4173">
        <v>35</v>
      </c>
      <c r="I4173">
        <f t="shared" si="67"/>
        <v>44</v>
      </c>
    </row>
    <row r="4174" spans="1:9">
      <c r="A4174" s="1">
        <v>42473.01458333333</v>
      </c>
      <c r="B4174" s="19">
        <v>42787</v>
      </c>
      <c r="C4174" s="21">
        <v>0.21875</v>
      </c>
      <c r="D4174" s="20" t="s">
        <v>3055</v>
      </c>
      <c r="E4174" t="s">
        <v>2</v>
      </c>
      <c r="F4174" t="s">
        <v>5</v>
      </c>
      <c r="H4174">
        <v>56</v>
      </c>
      <c r="I4174">
        <f t="shared" si="67"/>
        <v>70</v>
      </c>
    </row>
    <row r="4175" spans="1:9">
      <c r="A4175" s="1">
        <v>42473.98541666667</v>
      </c>
      <c r="B4175" s="19">
        <v>42787</v>
      </c>
      <c r="C4175" s="21">
        <v>0.21388888888888888</v>
      </c>
      <c r="D4175" s="20" t="s">
        <v>3055</v>
      </c>
      <c r="E4175" t="s">
        <v>6</v>
      </c>
      <c r="F4175" t="s">
        <v>21</v>
      </c>
      <c r="G4175" t="s">
        <v>82</v>
      </c>
      <c r="H4175">
        <v>22</v>
      </c>
      <c r="I4175">
        <f t="shared" si="67"/>
        <v>28</v>
      </c>
    </row>
    <row r="4176" spans="1:9">
      <c r="A4176" s="1">
        <v>42473.936111111114</v>
      </c>
      <c r="B4176" s="19">
        <v>42787</v>
      </c>
      <c r="C4176" s="21">
        <v>0.20555555555555555</v>
      </c>
      <c r="D4176" s="20" t="s">
        <v>3054</v>
      </c>
      <c r="E4176" t="s">
        <v>6</v>
      </c>
      <c r="F4176" t="s">
        <v>21</v>
      </c>
      <c r="G4176" t="s">
        <v>507</v>
      </c>
      <c r="H4176">
        <v>10</v>
      </c>
      <c r="I4176">
        <f t="shared" si="67"/>
        <v>13</v>
      </c>
    </row>
    <row r="4177" spans="1:9">
      <c r="A4177" s="1">
        <v>42473.914583333331</v>
      </c>
      <c r="B4177" s="19">
        <v>42787</v>
      </c>
      <c r="C4177" s="21">
        <v>0.19305555555555556</v>
      </c>
      <c r="D4177" s="20" t="s">
        <v>3054</v>
      </c>
      <c r="E4177" t="s">
        <v>6</v>
      </c>
      <c r="F4177" t="s">
        <v>21</v>
      </c>
      <c r="G4177" t="s">
        <v>508</v>
      </c>
      <c r="H4177">
        <v>23</v>
      </c>
      <c r="I4177">
        <f t="shared" si="67"/>
        <v>29</v>
      </c>
    </row>
    <row r="4178" spans="1:9">
      <c r="A4178" s="1">
        <v>42473.835416666669</v>
      </c>
      <c r="B4178" s="19">
        <v>42787</v>
      </c>
      <c r="C4178" s="21">
        <v>0.92361111111111116</v>
      </c>
      <c r="D4178" s="20" t="s">
        <v>3049</v>
      </c>
      <c r="E4178" t="s">
        <v>0</v>
      </c>
      <c r="G4178" t="s">
        <v>216</v>
      </c>
      <c r="H4178">
        <v>13</v>
      </c>
      <c r="I4178">
        <f t="shared" si="67"/>
        <v>17</v>
      </c>
    </row>
    <row r="4179" spans="1:9">
      <c r="A4179" s="1">
        <v>42473.801388888889</v>
      </c>
      <c r="B4179" s="19">
        <v>42787</v>
      </c>
      <c r="C4179" s="21">
        <v>0.91736111111111107</v>
      </c>
      <c r="D4179" s="20" t="s">
        <v>3049</v>
      </c>
      <c r="E4179" t="s">
        <v>0</v>
      </c>
      <c r="F4179" t="s">
        <v>10</v>
      </c>
      <c r="G4179" t="s">
        <v>228</v>
      </c>
      <c r="H4179">
        <v>13</v>
      </c>
      <c r="I4179">
        <f t="shared" si="67"/>
        <v>17</v>
      </c>
    </row>
    <row r="4180" spans="1:9">
      <c r="A4180" s="1">
        <v>42473.70416666667</v>
      </c>
      <c r="B4180" s="19">
        <v>42787</v>
      </c>
      <c r="C4180" s="21">
        <v>0.90972222222222221</v>
      </c>
      <c r="D4180" s="20" t="s">
        <v>3048</v>
      </c>
      <c r="E4180" t="s">
        <v>0</v>
      </c>
      <c r="F4180" t="s">
        <v>10</v>
      </c>
      <c r="G4180" t="s">
        <v>145</v>
      </c>
      <c r="H4180">
        <v>13</v>
      </c>
      <c r="I4180">
        <f t="shared" si="67"/>
        <v>17</v>
      </c>
    </row>
    <row r="4181" spans="1:9">
      <c r="A4181" s="1">
        <v>42473.620833333334</v>
      </c>
      <c r="B4181" s="19">
        <v>42787</v>
      </c>
      <c r="C4181" s="21">
        <v>0.42291666666666666</v>
      </c>
      <c r="D4181" s="20" t="s">
        <v>3036</v>
      </c>
      <c r="E4181" t="s">
        <v>0</v>
      </c>
      <c r="G4181" t="s">
        <v>501</v>
      </c>
      <c r="H4181">
        <v>2</v>
      </c>
      <c r="I4181">
        <f t="shared" si="67"/>
        <v>3</v>
      </c>
    </row>
    <row r="4182" spans="1:9">
      <c r="A4182" s="1">
        <v>42473.258333333331</v>
      </c>
      <c r="B4182" s="19">
        <v>42788</v>
      </c>
      <c r="C4182" s="21">
        <v>0.88749999999999996</v>
      </c>
      <c r="D4182" s="20" t="s">
        <v>3048</v>
      </c>
      <c r="E4182" t="s">
        <v>6</v>
      </c>
      <c r="F4182" t="s">
        <v>26</v>
      </c>
      <c r="G4182" t="s">
        <v>496</v>
      </c>
      <c r="H4182">
        <v>3</v>
      </c>
      <c r="I4182">
        <f t="shared" si="67"/>
        <v>4</v>
      </c>
    </row>
    <row r="4183" spans="1:9">
      <c r="A4183" s="1">
        <v>42473.247916666667</v>
      </c>
      <c r="B4183" s="19">
        <v>42788</v>
      </c>
      <c r="C4183" s="21">
        <v>0.46527777777777779</v>
      </c>
      <c r="D4183" s="20" t="s">
        <v>3037</v>
      </c>
      <c r="E4183" t="s">
        <v>6</v>
      </c>
      <c r="F4183" t="s">
        <v>76</v>
      </c>
      <c r="G4183" t="s">
        <v>497</v>
      </c>
      <c r="H4183">
        <v>17</v>
      </c>
      <c r="I4183">
        <f t="shared" si="67"/>
        <v>22</v>
      </c>
    </row>
    <row r="4184" spans="1:9">
      <c r="A4184" s="1">
        <v>42473.24722222222</v>
      </c>
      <c r="B4184" s="19">
        <v>42788</v>
      </c>
      <c r="C4184" s="21">
        <v>0.22361111111111112</v>
      </c>
      <c r="D4184" s="20" t="s">
        <v>3055</v>
      </c>
      <c r="E4184" t="s">
        <v>6</v>
      </c>
      <c r="F4184" t="s">
        <v>46</v>
      </c>
      <c r="G4184" t="s">
        <v>435</v>
      </c>
      <c r="H4184" t="e">
        <v>#VALUE!</v>
      </c>
      <c r="I4184" t="e">
        <f t="shared" si="67"/>
        <v>#VALUE!</v>
      </c>
    </row>
    <row r="4185" spans="1:9">
      <c r="A4185" s="1">
        <v>42473.246527777781</v>
      </c>
      <c r="B4185" s="19">
        <v>42788</v>
      </c>
      <c r="C4185" s="21">
        <v>0.17430555555555555</v>
      </c>
      <c r="D4185" s="20" t="s">
        <v>3054</v>
      </c>
      <c r="E4185" t="s">
        <v>6</v>
      </c>
      <c r="F4185" t="s">
        <v>15</v>
      </c>
      <c r="G4185" t="s">
        <v>455</v>
      </c>
      <c r="H4185">
        <v>15</v>
      </c>
      <c r="I4185">
        <f t="shared" si="67"/>
        <v>19</v>
      </c>
    </row>
    <row r="4186" spans="1:9">
      <c r="A4186" s="1">
        <v>42473.213888888888</v>
      </c>
      <c r="B4186" s="19">
        <v>42788</v>
      </c>
      <c r="C4186" s="21">
        <v>0.92013888888888884</v>
      </c>
      <c r="D4186" s="20" t="s">
        <v>3049</v>
      </c>
      <c r="E4186" t="s">
        <v>18</v>
      </c>
      <c r="F4186" t="s">
        <v>71</v>
      </c>
      <c r="G4186" t="s">
        <v>494</v>
      </c>
      <c r="H4186" t="e">
        <v>#VALUE!</v>
      </c>
      <c r="I4186" t="e">
        <f t="shared" si="67"/>
        <v>#VALUE!</v>
      </c>
    </row>
    <row r="4187" spans="1:9">
      <c r="A4187" s="1">
        <v>42473.206250000003</v>
      </c>
      <c r="B4187" s="19">
        <v>42788</v>
      </c>
      <c r="C4187" s="21">
        <v>0.91805555555555551</v>
      </c>
      <c r="D4187" s="20" t="s">
        <v>3049</v>
      </c>
      <c r="E4187" t="s">
        <v>0</v>
      </c>
      <c r="G4187" t="s">
        <v>495</v>
      </c>
      <c r="H4187">
        <v>13</v>
      </c>
      <c r="I4187">
        <f t="shared" si="67"/>
        <v>17</v>
      </c>
    </row>
    <row r="4188" spans="1:9">
      <c r="A4188" s="1">
        <v>42473.164583333331</v>
      </c>
      <c r="B4188" s="19">
        <v>42788</v>
      </c>
      <c r="C4188" s="21">
        <v>0.91805555555555551</v>
      </c>
      <c r="D4188" s="20" t="s">
        <v>3049</v>
      </c>
      <c r="E4188" t="s">
        <v>0</v>
      </c>
      <c r="F4188" t="s">
        <v>10</v>
      </c>
      <c r="H4188">
        <v>13</v>
      </c>
      <c r="I4188">
        <f t="shared" si="67"/>
        <v>17</v>
      </c>
    </row>
    <row r="4189" spans="1:9">
      <c r="A4189" s="1">
        <v>42472.752083333333</v>
      </c>
      <c r="B4189" s="19">
        <v>42788</v>
      </c>
      <c r="C4189" s="21">
        <v>0.90972222222222221</v>
      </c>
      <c r="D4189" s="20" t="s">
        <v>3048</v>
      </c>
      <c r="E4189" t="s">
        <v>0</v>
      </c>
      <c r="F4189" t="s">
        <v>10</v>
      </c>
      <c r="G4189" t="s">
        <v>84</v>
      </c>
      <c r="H4189">
        <v>13</v>
      </c>
      <c r="I4189">
        <f t="shared" si="67"/>
        <v>17</v>
      </c>
    </row>
    <row r="4190" spans="1:9">
      <c r="A4190" s="1">
        <v>42472.661111111112</v>
      </c>
      <c r="B4190" s="19">
        <v>42788</v>
      </c>
      <c r="C4190" s="21">
        <v>0.38194444444444442</v>
      </c>
      <c r="D4190" s="20" t="s">
        <v>3035</v>
      </c>
      <c r="E4190" t="s">
        <v>77</v>
      </c>
      <c r="F4190" t="s">
        <v>78</v>
      </c>
      <c r="G4190" t="s">
        <v>498</v>
      </c>
      <c r="H4190">
        <v>13</v>
      </c>
      <c r="I4190">
        <f t="shared" si="67"/>
        <v>17</v>
      </c>
    </row>
    <row r="4191" spans="1:9">
      <c r="A4191" s="1">
        <v>42472.583333333336</v>
      </c>
      <c r="B4191" s="19">
        <v>42788</v>
      </c>
      <c r="C4191" s="21">
        <v>0.25208333333333333</v>
      </c>
      <c r="D4191" s="20" t="s">
        <v>3031</v>
      </c>
      <c r="E4191" t="s">
        <v>0</v>
      </c>
      <c r="G4191" t="s">
        <v>9</v>
      </c>
      <c r="H4191">
        <v>13</v>
      </c>
      <c r="I4191">
        <f t="shared" si="67"/>
        <v>17</v>
      </c>
    </row>
    <row r="4192" spans="1:9">
      <c r="A4192" s="1">
        <v>42472.487500000003</v>
      </c>
      <c r="B4192" s="19">
        <v>42789</v>
      </c>
      <c r="C4192" s="21">
        <v>0.84166666666666667</v>
      </c>
      <c r="D4192" s="20" t="s">
        <v>3047</v>
      </c>
      <c r="E4192" t="s">
        <v>2</v>
      </c>
      <c r="F4192" t="s">
        <v>56</v>
      </c>
      <c r="G4192" t="s">
        <v>491</v>
      </c>
      <c r="H4192">
        <v>48</v>
      </c>
      <c r="I4192">
        <f t="shared" si="67"/>
        <v>60</v>
      </c>
    </row>
    <row r="4193" spans="1:9">
      <c r="A4193" s="1">
        <v>42472.461805555555</v>
      </c>
      <c r="B4193" s="19">
        <v>42789</v>
      </c>
      <c r="C4193" s="21">
        <v>0.21875</v>
      </c>
      <c r="D4193" s="20" t="s">
        <v>3055</v>
      </c>
      <c r="E4193" t="s">
        <v>6</v>
      </c>
      <c r="F4193" t="s">
        <v>76</v>
      </c>
      <c r="G4193" t="s">
        <v>493</v>
      </c>
      <c r="H4193">
        <v>4</v>
      </c>
      <c r="I4193">
        <f t="shared" si="67"/>
        <v>5</v>
      </c>
    </row>
    <row r="4194" spans="1:9">
      <c r="A4194" s="1">
        <v>42472.388194444444</v>
      </c>
      <c r="B4194" s="19">
        <v>42789</v>
      </c>
      <c r="C4194" s="21">
        <v>0.92291666666666672</v>
      </c>
      <c r="D4194" s="20" t="s">
        <v>3049</v>
      </c>
      <c r="E4194" t="s">
        <v>18</v>
      </c>
      <c r="F4194" t="s">
        <v>71</v>
      </c>
      <c r="G4194" t="s">
        <v>489</v>
      </c>
      <c r="H4194" t="e">
        <v>#VALUE!</v>
      </c>
      <c r="I4194" t="e">
        <f t="shared" si="67"/>
        <v>#VALUE!</v>
      </c>
    </row>
    <row r="4195" spans="1:9">
      <c r="A4195" s="1">
        <v>42472.938194444447</v>
      </c>
      <c r="B4195" s="19">
        <v>42789</v>
      </c>
      <c r="C4195" s="21">
        <v>0.92222222222222228</v>
      </c>
      <c r="D4195" s="20" t="s">
        <v>3049</v>
      </c>
      <c r="E4195" t="s">
        <v>0</v>
      </c>
      <c r="G4195" t="s">
        <v>490</v>
      </c>
      <c r="H4195">
        <v>13</v>
      </c>
      <c r="I4195">
        <f t="shared" si="67"/>
        <v>17</v>
      </c>
    </row>
    <row r="4196" spans="1:9">
      <c r="A4196" s="1">
        <v>42472.920138888891</v>
      </c>
      <c r="B4196" s="19">
        <v>42789</v>
      </c>
      <c r="C4196" s="21">
        <v>0.90972222222222221</v>
      </c>
      <c r="D4196" s="20" t="s">
        <v>3048</v>
      </c>
      <c r="E4196" t="s">
        <v>0</v>
      </c>
      <c r="F4196" t="s">
        <v>10</v>
      </c>
      <c r="G4196" t="s">
        <v>145</v>
      </c>
      <c r="H4196">
        <v>13</v>
      </c>
      <c r="I4196">
        <f t="shared" si="67"/>
        <v>17</v>
      </c>
    </row>
    <row r="4197" spans="1:9">
      <c r="A4197" s="1">
        <v>42472.883333333331</v>
      </c>
      <c r="B4197" s="19">
        <v>42789</v>
      </c>
      <c r="C4197" s="21">
        <v>0.72430555555555554</v>
      </c>
      <c r="D4197" s="20" t="s">
        <v>3044</v>
      </c>
      <c r="E4197" t="s">
        <v>0</v>
      </c>
      <c r="G4197" t="s">
        <v>454</v>
      </c>
      <c r="H4197">
        <v>4</v>
      </c>
      <c r="I4197">
        <f t="shared" si="67"/>
        <v>5</v>
      </c>
    </row>
    <row r="4198" spans="1:9">
      <c r="A4198" s="1">
        <v>42472.829861111109</v>
      </c>
      <c r="B4198" s="19">
        <v>42789</v>
      </c>
      <c r="C4198" s="21">
        <v>0.57430555555555551</v>
      </c>
      <c r="D4198" s="20" t="s">
        <v>3039</v>
      </c>
      <c r="E4198" t="s">
        <v>77</v>
      </c>
      <c r="F4198" t="s">
        <v>78</v>
      </c>
      <c r="G4198" t="s">
        <v>492</v>
      </c>
      <c r="H4198">
        <v>13</v>
      </c>
      <c r="I4198">
        <f t="shared" si="67"/>
        <v>17</v>
      </c>
    </row>
    <row r="4199" spans="1:9">
      <c r="A4199" s="1">
        <v>42472.605555555558</v>
      </c>
      <c r="B4199" s="19">
        <v>42789</v>
      </c>
      <c r="C4199" s="21">
        <v>0.24930555555555556</v>
      </c>
      <c r="D4199" s="20" t="s">
        <v>3055</v>
      </c>
      <c r="E4199" t="s">
        <v>0</v>
      </c>
      <c r="G4199" t="s">
        <v>9</v>
      </c>
      <c r="H4199">
        <v>13</v>
      </c>
      <c r="I4199">
        <f t="shared" si="67"/>
        <v>17</v>
      </c>
    </row>
    <row r="4200" spans="1:9">
      <c r="A4200" s="1">
        <v>42472.499305555553</v>
      </c>
      <c r="B4200" s="19">
        <v>42789</v>
      </c>
      <c r="C4200" s="21">
        <v>0.16527777777777777</v>
      </c>
      <c r="D4200" s="20" t="s">
        <v>3053</v>
      </c>
      <c r="E4200" t="s">
        <v>0</v>
      </c>
      <c r="F4200" t="s">
        <v>75</v>
      </c>
      <c r="H4200">
        <v>7</v>
      </c>
      <c r="I4200">
        <f t="shared" si="67"/>
        <v>9</v>
      </c>
    </row>
    <row r="4201" spans="1:9">
      <c r="A4201" s="1">
        <v>42472.497916666667</v>
      </c>
      <c r="B4201" s="19">
        <v>42790</v>
      </c>
      <c r="C4201" s="21">
        <v>0.98055555555555551</v>
      </c>
      <c r="D4201" s="20" t="s">
        <v>3063</v>
      </c>
      <c r="E4201" t="s">
        <v>6</v>
      </c>
      <c r="F4201" t="s">
        <v>12</v>
      </c>
      <c r="G4201" t="s">
        <v>468</v>
      </c>
      <c r="H4201" t="e">
        <v>#VALUE!</v>
      </c>
      <c r="I4201" t="e">
        <f t="shared" si="67"/>
        <v>#VALUE!</v>
      </c>
    </row>
    <row r="4202" spans="1:9">
      <c r="A4202" s="1">
        <v>42472.211111111108</v>
      </c>
      <c r="B4202" s="19">
        <v>42790</v>
      </c>
      <c r="C4202" s="21">
        <v>0.67986111111111114</v>
      </c>
      <c r="D4202" s="20" t="s">
        <v>3043</v>
      </c>
      <c r="E4202" t="s">
        <v>6</v>
      </c>
      <c r="F4202" t="s">
        <v>21</v>
      </c>
      <c r="G4202" t="s">
        <v>472</v>
      </c>
      <c r="H4202">
        <v>8</v>
      </c>
      <c r="I4202">
        <f t="shared" si="67"/>
        <v>10</v>
      </c>
    </row>
    <row r="4203" spans="1:9">
      <c r="A4203" s="1">
        <v>42472.197916666664</v>
      </c>
      <c r="B4203" s="19">
        <v>42790</v>
      </c>
      <c r="C4203" s="21">
        <v>0.63749999999999996</v>
      </c>
      <c r="D4203" s="20" t="s">
        <v>3042</v>
      </c>
      <c r="E4203" t="s">
        <v>6</v>
      </c>
      <c r="F4203" t="s">
        <v>15</v>
      </c>
      <c r="G4203" t="s">
        <v>472</v>
      </c>
      <c r="H4203">
        <v>8</v>
      </c>
      <c r="I4203">
        <f t="shared" si="67"/>
        <v>10</v>
      </c>
    </row>
    <row r="4204" spans="1:9">
      <c r="A4204" s="1">
        <v>42472.104166666664</v>
      </c>
      <c r="B4204" s="19">
        <v>42790</v>
      </c>
      <c r="C4204" s="21">
        <v>0.62083333333333335</v>
      </c>
      <c r="D4204" s="20" t="s">
        <v>3040</v>
      </c>
      <c r="E4204" t="s">
        <v>6</v>
      </c>
      <c r="F4204" t="s">
        <v>21</v>
      </c>
      <c r="G4204" t="s">
        <v>472</v>
      </c>
      <c r="H4204">
        <v>8</v>
      </c>
      <c r="I4204">
        <f t="shared" si="67"/>
        <v>10</v>
      </c>
    </row>
    <row r="4205" spans="1:9">
      <c r="A4205" s="1">
        <v>42472.084027777775</v>
      </c>
      <c r="B4205" s="19">
        <v>42790</v>
      </c>
      <c r="C4205" s="21">
        <v>0.60347222222222219</v>
      </c>
      <c r="D4205" s="20" t="s">
        <v>3040</v>
      </c>
      <c r="E4205" t="s">
        <v>6</v>
      </c>
      <c r="F4205" t="s">
        <v>21</v>
      </c>
      <c r="G4205" t="s">
        <v>472</v>
      </c>
      <c r="H4205">
        <v>8</v>
      </c>
      <c r="I4205">
        <f t="shared" si="67"/>
        <v>10</v>
      </c>
    </row>
    <row r="4206" spans="1:9">
      <c r="A4206" s="1">
        <v>42472.043055555558</v>
      </c>
      <c r="B4206" s="19">
        <v>42790</v>
      </c>
      <c r="C4206" s="21">
        <v>0.56527777777777777</v>
      </c>
      <c r="D4206" s="20" t="s">
        <v>3039</v>
      </c>
      <c r="E4206" t="s">
        <v>6</v>
      </c>
      <c r="F4206" t="s">
        <v>15</v>
      </c>
      <c r="G4206" t="s">
        <v>473</v>
      </c>
      <c r="H4206">
        <v>17</v>
      </c>
      <c r="I4206">
        <f t="shared" si="67"/>
        <v>22</v>
      </c>
    </row>
    <row r="4207" spans="1:9">
      <c r="A4207" s="1">
        <v>42472.020833333336</v>
      </c>
      <c r="B4207" s="19">
        <v>42790</v>
      </c>
      <c r="C4207" s="21">
        <v>0.55069444444444449</v>
      </c>
      <c r="D4207" s="20" t="s">
        <v>3039</v>
      </c>
      <c r="E4207" t="s">
        <v>6</v>
      </c>
      <c r="F4207" t="s">
        <v>26</v>
      </c>
      <c r="G4207" t="s">
        <v>474</v>
      </c>
      <c r="H4207">
        <v>18</v>
      </c>
      <c r="I4207">
        <f t="shared" si="67"/>
        <v>23</v>
      </c>
    </row>
    <row r="4208" spans="1:9">
      <c r="A4208" s="1">
        <v>42472.004861111112</v>
      </c>
      <c r="B4208" s="19">
        <v>42790</v>
      </c>
      <c r="C4208" s="21">
        <v>0.53819444444444442</v>
      </c>
      <c r="D4208" s="20" t="s">
        <v>3038</v>
      </c>
      <c r="E4208" t="s">
        <v>6</v>
      </c>
      <c r="F4208" t="s">
        <v>15</v>
      </c>
      <c r="G4208" t="s">
        <v>475</v>
      </c>
      <c r="H4208">
        <v>10</v>
      </c>
      <c r="I4208">
        <f t="shared" si="67"/>
        <v>13</v>
      </c>
    </row>
    <row r="4209" spans="1:9">
      <c r="A4209" s="1">
        <v>42471.856249999997</v>
      </c>
      <c r="B4209" s="19">
        <v>42790</v>
      </c>
      <c r="C4209" s="21">
        <v>0.36249999999999999</v>
      </c>
      <c r="D4209" s="20" t="s">
        <v>3034</v>
      </c>
      <c r="E4209" t="s">
        <v>6</v>
      </c>
      <c r="F4209" t="s">
        <v>46</v>
      </c>
      <c r="G4209" t="s">
        <v>479</v>
      </c>
      <c r="H4209">
        <v>13</v>
      </c>
      <c r="I4209">
        <f t="shared" si="67"/>
        <v>17</v>
      </c>
    </row>
    <row r="4210" spans="1:9">
      <c r="A4210" s="1">
        <v>42471.828472222223</v>
      </c>
      <c r="B4210" s="19">
        <v>42790</v>
      </c>
      <c r="C4210" s="21">
        <v>0.30486111111111114</v>
      </c>
      <c r="D4210" s="20" t="s">
        <v>3033</v>
      </c>
      <c r="E4210" t="s">
        <v>2</v>
      </c>
      <c r="F4210" t="s">
        <v>3</v>
      </c>
      <c r="G4210" t="s">
        <v>480</v>
      </c>
      <c r="H4210">
        <v>19</v>
      </c>
      <c r="I4210">
        <f t="shared" si="67"/>
        <v>24</v>
      </c>
    </row>
    <row r="4211" spans="1:9">
      <c r="A4211" s="1">
        <v>42471.790972222225</v>
      </c>
      <c r="B4211" s="19">
        <v>42790</v>
      </c>
      <c r="C4211" s="21">
        <v>0.29583333333333334</v>
      </c>
      <c r="D4211" s="20" t="s">
        <v>3033</v>
      </c>
      <c r="E4211" t="s">
        <v>6</v>
      </c>
      <c r="F4211" t="s">
        <v>26</v>
      </c>
      <c r="G4211" t="s">
        <v>481</v>
      </c>
      <c r="H4211">
        <v>7</v>
      </c>
      <c r="I4211">
        <f t="shared" si="67"/>
        <v>9</v>
      </c>
    </row>
    <row r="4212" spans="1:9">
      <c r="A4212" s="1">
        <v>42471.584722222222</v>
      </c>
      <c r="B4212" s="19">
        <v>42790</v>
      </c>
      <c r="C4212" s="21">
        <v>0.25555555555555554</v>
      </c>
      <c r="D4212" s="20" t="s">
        <v>3031</v>
      </c>
      <c r="E4212" t="s">
        <v>6</v>
      </c>
      <c r="F4212" t="s">
        <v>7</v>
      </c>
      <c r="G4212" t="s">
        <v>482</v>
      </c>
      <c r="H4212">
        <v>10</v>
      </c>
      <c r="I4212">
        <f t="shared" si="67"/>
        <v>13</v>
      </c>
    </row>
    <row r="4213" spans="1:9">
      <c r="A4213" s="1">
        <v>42471.540972222225</v>
      </c>
      <c r="B4213" s="19">
        <v>42790</v>
      </c>
      <c r="C4213" s="21">
        <v>0.23055555555555557</v>
      </c>
      <c r="D4213" s="20" t="s">
        <v>3055</v>
      </c>
      <c r="E4213" t="s">
        <v>6</v>
      </c>
      <c r="F4213" t="s">
        <v>7</v>
      </c>
      <c r="G4213" t="s">
        <v>483</v>
      </c>
      <c r="H4213">
        <v>44</v>
      </c>
      <c r="I4213">
        <f t="shared" si="67"/>
        <v>55</v>
      </c>
    </row>
    <row r="4214" spans="1:9">
      <c r="A4214" s="1">
        <v>42471.384722222225</v>
      </c>
      <c r="B4214" s="19">
        <v>42790</v>
      </c>
      <c r="C4214" s="21">
        <v>0.19722222222222222</v>
      </c>
      <c r="D4214" s="20" t="s">
        <v>3054</v>
      </c>
      <c r="E4214" t="s">
        <v>2</v>
      </c>
      <c r="F4214" t="s">
        <v>5</v>
      </c>
      <c r="G4214" t="s">
        <v>484</v>
      </c>
      <c r="H4214">
        <v>44</v>
      </c>
      <c r="I4214">
        <f t="shared" si="67"/>
        <v>55</v>
      </c>
    </row>
    <row r="4215" spans="1:9">
      <c r="A4215" s="1">
        <v>42471.286805555559</v>
      </c>
      <c r="B4215" s="19">
        <v>42790</v>
      </c>
      <c r="C4215" s="21">
        <v>0.19513888888888889</v>
      </c>
      <c r="D4215" s="20" t="s">
        <v>3054</v>
      </c>
      <c r="E4215" t="s">
        <v>6</v>
      </c>
      <c r="F4215" t="s">
        <v>46</v>
      </c>
      <c r="G4215" t="s">
        <v>485</v>
      </c>
      <c r="H4215">
        <v>4</v>
      </c>
      <c r="I4215">
        <f t="shared" si="67"/>
        <v>5</v>
      </c>
    </row>
    <row r="4216" spans="1:9">
      <c r="A4216" s="1">
        <v>42471.280555555553</v>
      </c>
      <c r="B4216" s="19">
        <v>42790</v>
      </c>
      <c r="C4216" s="21">
        <v>0.17291666666666666</v>
      </c>
      <c r="D4216" s="20" t="s">
        <v>3054</v>
      </c>
      <c r="E4216" t="s">
        <v>2</v>
      </c>
      <c r="F4216" t="s">
        <v>5</v>
      </c>
      <c r="H4216">
        <v>28</v>
      </c>
      <c r="I4216">
        <f t="shared" si="67"/>
        <v>35</v>
      </c>
    </row>
    <row r="4217" spans="1:9">
      <c r="A4217" s="1">
        <v>42471.790277777778</v>
      </c>
      <c r="B4217" s="19">
        <v>42790</v>
      </c>
      <c r="C4217" s="21">
        <v>0.15277777777777779</v>
      </c>
      <c r="D4217" s="20" t="s">
        <v>3053</v>
      </c>
      <c r="E4217" t="s">
        <v>6</v>
      </c>
      <c r="F4217" t="s">
        <v>46</v>
      </c>
      <c r="G4217" t="s">
        <v>487</v>
      </c>
      <c r="H4217">
        <v>18</v>
      </c>
      <c r="I4217">
        <f t="shared" si="67"/>
        <v>23</v>
      </c>
    </row>
    <row r="4218" spans="1:9">
      <c r="A4218" s="1">
        <v>42471.652777777781</v>
      </c>
      <c r="B4218" s="19">
        <v>42790</v>
      </c>
      <c r="C4218" s="21">
        <v>9.375E-2</v>
      </c>
      <c r="D4218" s="20" t="s">
        <v>3052</v>
      </c>
      <c r="E4218" t="s">
        <v>6</v>
      </c>
      <c r="F4218" t="s">
        <v>76</v>
      </c>
      <c r="G4218" t="s">
        <v>65</v>
      </c>
      <c r="H4218">
        <v>4</v>
      </c>
      <c r="I4218">
        <f t="shared" si="67"/>
        <v>5</v>
      </c>
    </row>
    <row r="4219" spans="1:9">
      <c r="A4219" s="1">
        <v>42468.921527777777</v>
      </c>
      <c r="B4219" s="19">
        <v>42790</v>
      </c>
      <c r="C4219" s="21">
        <v>6.25E-2</v>
      </c>
      <c r="D4219" s="20" t="s">
        <v>3051</v>
      </c>
      <c r="E4219" t="s">
        <v>6</v>
      </c>
      <c r="F4219" t="s">
        <v>21</v>
      </c>
      <c r="G4219" t="s">
        <v>103</v>
      </c>
      <c r="H4219" t="e">
        <v>#VALUE!</v>
      </c>
      <c r="I4219" t="e">
        <f t="shared" si="67"/>
        <v>#VALUE!</v>
      </c>
    </row>
    <row r="4220" spans="1:9">
      <c r="A4220" s="1">
        <v>42468.902083333334</v>
      </c>
      <c r="B4220" s="19">
        <v>42790</v>
      </c>
      <c r="C4220" s="21">
        <v>5.7638888888888892E-2</v>
      </c>
      <c r="D4220" s="20" t="s">
        <v>3051</v>
      </c>
      <c r="E4220" t="s">
        <v>6</v>
      </c>
      <c r="F4220" t="s">
        <v>21</v>
      </c>
      <c r="G4220" t="s">
        <v>487</v>
      </c>
      <c r="H4220">
        <v>9</v>
      </c>
      <c r="I4220">
        <f t="shared" si="67"/>
        <v>12</v>
      </c>
    </row>
    <row r="4221" spans="1:9">
      <c r="A4221" s="1">
        <v>42468.831944444442</v>
      </c>
      <c r="B4221" s="19">
        <v>42790</v>
      </c>
      <c r="C4221" s="21">
        <v>0.94444444444444442</v>
      </c>
      <c r="D4221" s="20" t="s">
        <v>3049</v>
      </c>
      <c r="E4221" t="s">
        <v>0</v>
      </c>
      <c r="F4221" t="s">
        <v>10</v>
      </c>
      <c r="G4221" t="s">
        <v>469</v>
      </c>
      <c r="H4221">
        <v>13</v>
      </c>
      <c r="I4221">
        <f t="shared" si="67"/>
        <v>17</v>
      </c>
    </row>
    <row r="4222" spans="1:9">
      <c r="A4222" s="1">
        <v>42468.790972222225</v>
      </c>
      <c r="B4222" s="19">
        <v>42790</v>
      </c>
      <c r="C4222" s="21">
        <v>0.92152777777777772</v>
      </c>
      <c r="D4222" s="20" t="s">
        <v>3049</v>
      </c>
      <c r="E4222" t="s">
        <v>18</v>
      </c>
      <c r="F4222" t="s">
        <v>100</v>
      </c>
      <c r="G4222" t="s">
        <v>470</v>
      </c>
      <c r="H4222" t="e">
        <v>#VALUE!</v>
      </c>
      <c r="I4222" t="e">
        <f t="shared" si="67"/>
        <v>#VALUE!</v>
      </c>
    </row>
    <row r="4223" spans="1:9">
      <c r="A4223" s="1">
        <v>42468.724305555559</v>
      </c>
      <c r="B4223" s="19">
        <v>42790</v>
      </c>
      <c r="C4223" s="21">
        <v>0.92083333333333328</v>
      </c>
      <c r="D4223" s="20" t="s">
        <v>3049</v>
      </c>
      <c r="E4223" t="s">
        <v>0</v>
      </c>
      <c r="G4223" t="s">
        <v>471</v>
      </c>
      <c r="H4223">
        <v>13</v>
      </c>
      <c r="I4223">
        <f t="shared" si="67"/>
        <v>17</v>
      </c>
    </row>
    <row r="4224" spans="1:9">
      <c r="A4224" s="1">
        <v>42467.927083333336</v>
      </c>
      <c r="B4224" s="19">
        <v>42790</v>
      </c>
      <c r="C4224" s="21">
        <v>0.90972222222222221</v>
      </c>
      <c r="D4224" s="20" t="s">
        <v>3048</v>
      </c>
      <c r="E4224" t="s">
        <v>0</v>
      </c>
      <c r="F4224" t="s">
        <v>10</v>
      </c>
      <c r="G4224" t="s">
        <v>145</v>
      </c>
      <c r="H4224">
        <v>13</v>
      </c>
      <c r="I4224">
        <f t="shared" si="67"/>
        <v>17</v>
      </c>
    </row>
    <row r="4225" spans="1:9">
      <c r="A4225" s="1">
        <v>42467.916666666664</v>
      </c>
      <c r="B4225" s="19">
        <v>42790</v>
      </c>
      <c r="C4225" s="21">
        <v>0.46527777777777779</v>
      </c>
      <c r="D4225" s="20" t="s">
        <v>3037</v>
      </c>
      <c r="E4225" t="s">
        <v>33</v>
      </c>
      <c r="F4225" t="s">
        <v>34</v>
      </c>
      <c r="G4225" t="s">
        <v>476</v>
      </c>
      <c r="H4225" t="e">
        <v>#VALUE!</v>
      </c>
      <c r="I4225" t="e">
        <f t="shared" si="67"/>
        <v>#VALUE!</v>
      </c>
    </row>
    <row r="4226" spans="1:9">
      <c r="A4226" s="1">
        <v>42467.870833333334</v>
      </c>
      <c r="B4226" s="19">
        <v>42790</v>
      </c>
      <c r="C4226" s="21">
        <v>0.42986111111111114</v>
      </c>
      <c r="D4226" s="20" t="s">
        <v>3036</v>
      </c>
      <c r="E4226" t="s">
        <v>18</v>
      </c>
      <c r="G4226" t="s">
        <v>477</v>
      </c>
      <c r="H4226">
        <v>50</v>
      </c>
      <c r="I4226">
        <f t="shared" si="67"/>
        <v>62</v>
      </c>
    </row>
    <row r="4227" spans="1:9">
      <c r="A4227" s="1">
        <v>42467.729166666664</v>
      </c>
      <c r="B4227" s="19">
        <v>42790</v>
      </c>
      <c r="C4227" s="21">
        <v>0.36319444444444443</v>
      </c>
      <c r="D4227" s="20" t="s">
        <v>3034</v>
      </c>
      <c r="E4227" t="s">
        <v>0</v>
      </c>
      <c r="F4227" t="s">
        <v>75</v>
      </c>
      <c r="G4227" t="s">
        <v>478</v>
      </c>
      <c r="H4227">
        <v>15</v>
      </c>
      <c r="I4227">
        <f t="shared" ref="I4227:I4290" si="68">ROUNDUP((H4227*1.24), 0)</f>
        <v>19</v>
      </c>
    </row>
    <row r="4228" spans="1:9">
      <c r="A4228" s="1">
        <v>42467.701388888891</v>
      </c>
      <c r="B4228" s="19">
        <v>42790</v>
      </c>
      <c r="C4228" s="21">
        <v>0.25277777777777777</v>
      </c>
      <c r="D4228" s="20" t="s">
        <v>3031</v>
      </c>
      <c r="E4228" t="s">
        <v>0</v>
      </c>
      <c r="G4228" t="s">
        <v>9</v>
      </c>
      <c r="H4228">
        <v>13</v>
      </c>
      <c r="I4228">
        <f t="shared" si="68"/>
        <v>17</v>
      </c>
    </row>
    <row r="4229" spans="1:9">
      <c r="A4229" s="1">
        <v>42467.679861111108</v>
      </c>
      <c r="B4229" s="19">
        <v>42790</v>
      </c>
      <c r="C4229" s="21">
        <v>0.16250000000000001</v>
      </c>
      <c r="D4229" s="20" t="s">
        <v>3053</v>
      </c>
      <c r="E4229" t="s">
        <v>0</v>
      </c>
      <c r="F4229" t="s">
        <v>46</v>
      </c>
      <c r="G4229" t="s">
        <v>486</v>
      </c>
      <c r="H4229">
        <v>19</v>
      </c>
      <c r="I4229">
        <f t="shared" si="68"/>
        <v>24</v>
      </c>
    </row>
    <row r="4230" spans="1:9">
      <c r="A4230" s="1">
        <v>42467.631944444445</v>
      </c>
      <c r="B4230" s="19">
        <v>42790</v>
      </c>
      <c r="C4230" s="21">
        <v>0.11388888888888889</v>
      </c>
      <c r="D4230" s="20" t="s">
        <v>3052</v>
      </c>
      <c r="E4230" t="s">
        <v>18</v>
      </c>
      <c r="F4230" t="s">
        <v>71</v>
      </c>
      <c r="G4230" t="s">
        <v>488</v>
      </c>
      <c r="H4230" t="e">
        <v>#VALUE!</v>
      </c>
      <c r="I4230" t="e">
        <f t="shared" si="68"/>
        <v>#VALUE!</v>
      </c>
    </row>
    <row r="4231" spans="1:9">
      <c r="A4231" s="1">
        <v>42467.613888888889</v>
      </c>
      <c r="B4231" s="19">
        <v>42791</v>
      </c>
      <c r="C4231" s="21">
        <v>0.22500000000000001</v>
      </c>
      <c r="D4231" s="20" t="s">
        <v>3055</v>
      </c>
      <c r="E4231" t="s">
        <v>6</v>
      </c>
      <c r="F4231" t="s">
        <v>89</v>
      </c>
      <c r="G4231" t="s">
        <v>466</v>
      </c>
      <c r="H4231">
        <v>31</v>
      </c>
      <c r="I4231">
        <f t="shared" si="68"/>
        <v>39</v>
      </c>
    </row>
    <row r="4232" spans="1:9">
      <c r="A4232" s="1">
        <v>42467.611111111109</v>
      </c>
      <c r="B4232" s="19">
        <v>42791</v>
      </c>
      <c r="C4232" s="21">
        <v>0.11388888888888889</v>
      </c>
      <c r="D4232" s="20" t="s">
        <v>3052</v>
      </c>
      <c r="E4232" t="s">
        <v>6</v>
      </c>
      <c r="F4232" t="s">
        <v>12</v>
      </c>
      <c r="G4232" t="s">
        <v>467</v>
      </c>
      <c r="H4232" t="e">
        <v>#VALUE!</v>
      </c>
      <c r="I4232" t="e">
        <f t="shared" si="68"/>
        <v>#VALUE!</v>
      </c>
    </row>
    <row r="4233" spans="1:9">
      <c r="A4233" s="1">
        <v>42467.558333333334</v>
      </c>
      <c r="B4233" s="19">
        <v>42793</v>
      </c>
      <c r="C4233" s="21">
        <v>0.32500000000000001</v>
      </c>
      <c r="D4233" s="20" t="s">
        <v>3033</v>
      </c>
      <c r="E4233" t="s">
        <v>2</v>
      </c>
      <c r="F4233" t="s">
        <v>48</v>
      </c>
      <c r="G4233" t="s">
        <v>462</v>
      </c>
      <c r="H4233">
        <v>7</v>
      </c>
      <c r="I4233">
        <f t="shared" si="68"/>
        <v>9</v>
      </c>
    </row>
    <row r="4234" spans="1:9">
      <c r="A4234" s="1">
        <v>42467.517361111109</v>
      </c>
      <c r="B4234" s="19">
        <v>42793</v>
      </c>
      <c r="C4234" s="21">
        <v>0.31805555555555554</v>
      </c>
      <c r="D4234" s="20" t="s">
        <v>3033</v>
      </c>
      <c r="E4234" t="s">
        <v>2</v>
      </c>
      <c r="F4234" t="s">
        <v>5</v>
      </c>
      <c r="G4234" t="s">
        <v>463</v>
      </c>
      <c r="H4234">
        <v>14</v>
      </c>
      <c r="I4234">
        <f t="shared" si="68"/>
        <v>18</v>
      </c>
    </row>
    <row r="4235" spans="1:9">
      <c r="A4235" s="1">
        <v>42467.502083333333</v>
      </c>
      <c r="B4235" s="19">
        <v>42793</v>
      </c>
      <c r="C4235" s="21">
        <v>0.28680555555555554</v>
      </c>
      <c r="D4235" s="20" t="s">
        <v>3031</v>
      </c>
      <c r="E4235" t="s">
        <v>2</v>
      </c>
      <c r="F4235" t="s">
        <v>5</v>
      </c>
      <c r="G4235" t="s">
        <v>465</v>
      </c>
      <c r="H4235">
        <v>38</v>
      </c>
      <c r="I4235">
        <f t="shared" si="68"/>
        <v>48</v>
      </c>
    </row>
    <row r="4236" spans="1:9">
      <c r="A4236" s="1">
        <v>42467.15347222222</v>
      </c>
      <c r="B4236" s="19">
        <v>42793</v>
      </c>
      <c r="C4236" s="21">
        <v>0.92083333333333328</v>
      </c>
      <c r="D4236" s="20" t="s">
        <v>3049</v>
      </c>
      <c r="E4236" t="s">
        <v>0</v>
      </c>
      <c r="G4236" t="s">
        <v>9</v>
      </c>
      <c r="H4236">
        <v>13</v>
      </c>
      <c r="I4236">
        <f t="shared" si="68"/>
        <v>17</v>
      </c>
    </row>
    <row r="4237" spans="1:9">
      <c r="A4237" s="1">
        <v>42467.152777777781</v>
      </c>
      <c r="B4237" s="19">
        <v>42793</v>
      </c>
      <c r="C4237" s="21">
        <v>0.91111111111111109</v>
      </c>
      <c r="D4237" s="20" t="s">
        <v>3048</v>
      </c>
      <c r="E4237" t="s">
        <v>0</v>
      </c>
      <c r="F4237" t="s">
        <v>10</v>
      </c>
      <c r="G4237" t="s">
        <v>228</v>
      </c>
      <c r="H4237" t="e">
        <v>#VALUE!</v>
      </c>
      <c r="I4237" t="e">
        <f t="shared" si="68"/>
        <v>#VALUE!</v>
      </c>
    </row>
    <row r="4238" spans="1:9">
      <c r="A4238" s="1">
        <v>42467.930555555555</v>
      </c>
      <c r="B4238" s="19">
        <v>42793</v>
      </c>
      <c r="C4238" s="21">
        <v>0.58611111111111114</v>
      </c>
      <c r="D4238" s="20" t="s">
        <v>3040</v>
      </c>
      <c r="E4238" t="s">
        <v>0</v>
      </c>
      <c r="F4238" t="s">
        <v>10</v>
      </c>
      <c r="G4238" t="s">
        <v>228</v>
      </c>
      <c r="H4238">
        <v>13</v>
      </c>
      <c r="I4238">
        <f t="shared" si="68"/>
        <v>17</v>
      </c>
    </row>
    <row r="4239" spans="1:9">
      <c r="A4239" s="1">
        <v>42467.862500000003</v>
      </c>
      <c r="B4239" s="19">
        <v>42793</v>
      </c>
      <c r="C4239" s="21">
        <v>0.5854166666666667</v>
      </c>
      <c r="D4239" s="20" t="s">
        <v>3040</v>
      </c>
      <c r="E4239" t="s">
        <v>0</v>
      </c>
      <c r="G4239" t="s">
        <v>216</v>
      </c>
      <c r="H4239">
        <v>13</v>
      </c>
      <c r="I4239">
        <f t="shared" si="68"/>
        <v>17</v>
      </c>
    </row>
    <row r="4240" spans="1:9">
      <c r="A4240" s="1">
        <v>42467.85</v>
      </c>
      <c r="B4240" s="19">
        <v>42793</v>
      </c>
      <c r="C4240" s="21">
        <v>0.5854166666666667</v>
      </c>
      <c r="D4240" s="20" t="s">
        <v>3040</v>
      </c>
      <c r="E4240" t="s">
        <v>18</v>
      </c>
      <c r="F4240" t="s">
        <v>71</v>
      </c>
      <c r="G4240" t="s">
        <v>460</v>
      </c>
      <c r="H4240" t="e">
        <v>#VALUE!</v>
      </c>
      <c r="I4240" t="e">
        <f t="shared" si="68"/>
        <v>#VALUE!</v>
      </c>
    </row>
    <row r="4241" spans="1:9">
      <c r="A4241" s="1">
        <v>42467.671527777777</v>
      </c>
      <c r="B4241" s="19">
        <v>42793</v>
      </c>
      <c r="C4241" s="21">
        <v>0.57638888888888884</v>
      </c>
      <c r="D4241" s="20" t="s">
        <v>3039</v>
      </c>
      <c r="E4241" t="s">
        <v>0</v>
      </c>
      <c r="F4241" t="s">
        <v>10</v>
      </c>
      <c r="G4241" t="s">
        <v>84</v>
      </c>
      <c r="H4241">
        <v>13</v>
      </c>
      <c r="I4241">
        <f t="shared" si="68"/>
        <v>17</v>
      </c>
    </row>
    <row r="4242" spans="1:9">
      <c r="A4242" s="1">
        <v>42467.637499999997</v>
      </c>
      <c r="B4242" s="19">
        <v>42793</v>
      </c>
      <c r="C4242" s="21">
        <v>0.48194444444444445</v>
      </c>
      <c r="D4242" s="20" t="s">
        <v>3037</v>
      </c>
      <c r="E4242" t="s">
        <v>0</v>
      </c>
      <c r="F4242" t="s">
        <v>1</v>
      </c>
      <c r="G4242" t="s">
        <v>461</v>
      </c>
      <c r="H4242">
        <v>33</v>
      </c>
      <c r="I4242">
        <f t="shared" si="68"/>
        <v>41</v>
      </c>
    </row>
    <row r="4243" spans="1:9">
      <c r="A4243" s="1">
        <v>42467.619444444441</v>
      </c>
      <c r="B4243" s="19">
        <v>42793</v>
      </c>
      <c r="C4243" s="21">
        <v>0.28749999999999998</v>
      </c>
      <c r="D4243" s="20" t="s">
        <v>3031</v>
      </c>
      <c r="E4243" t="s">
        <v>77</v>
      </c>
      <c r="G4243" t="s">
        <v>464</v>
      </c>
      <c r="H4243">
        <v>55</v>
      </c>
      <c r="I4243">
        <f t="shared" si="68"/>
        <v>69</v>
      </c>
    </row>
    <row r="4244" spans="1:9">
      <c r="A4244" s="1">
        <v>42467.547222222223</v>
      </c>
      <c r="B4244" s="19">
        <v>42794</v>
      </c>
      <c r="C4244" s="21">
        <v>0.22569444444444445</v>
      </c>
      <c r="D4244" s="20" t="s">
        <v>3055</v>
      </c>
      <c r="E4244" t="s">
        <v>6</v>
      </c>
      <c r="F4244" t="s">
        <v>46</v>
      </c>
      <c r="G4244" t="s">
        <v>65</v>
      </c>
      <c r="H4244">
        <v>4</v>
      </c>
      <c r="I4244">
        <f t="shared" si="68"/>
        <v>5</v>
      </c>
    </row>
    <row r="4245" spans="1:9">
      <c r="A4245" s="1">
        <v>42467.529861111114</v>
      </c>
      <c r="B4245" s="19">
        <v>42794</v>
      </c>
      <c r="C4245" s="21">
        <v>0.96319444444444446</v>
      </c>
      <c r="D4245" s="20" t="s">
        <v>3063</v>
      </c>
      <c r="E4245" t="s">
        <v>77</v>
      </c>
      <c r="F4245" t="s">
        <v>78</v>
      </c>
      <c r="G4245" t="s">
        <v>456</v>
      </c>
      <c r="H4245">
        <v>4</v>
      </c>
      <c r="I4245">
        <f t="shared" si="68"/>
        <v>5</v>
      </c>
    </row>
    <row r="4246" spans="1:9">
      <c r="A4246" s="1">
        <v>42467.431944444441</v>
      </c>
      <c r="B4246" s="19">
        <v>42794</v>
      </c>
      <c r="C4246" s="21">
        <v>0.93680555555555556</v>
      </c>
      <c r="D4246" s="20" t="s">
        <v>3049</v>
      </c>
      <c r="E4246" t="s">
        <v>18</v>
      </c>
      <c r="F4246" t="s">
        <v>100</v>
      </c>
      <c r="G4246" t="s">
        <v>457</v>
      </c>
      <c r="H4246" t="e">
        <v>#VALUE!</v>
      </c>
      <c r="I4246" t="e">
        <f t="shared" si="68"/>
        <v>#VALUE!</v>
      </c>
    </row>
    <row r="4247" spans="1:9">
      <c r="A4247" s="1">
        <v>42467.279166666667</v>
      </c>
      <c r="B4247" s="19">
        <v>42794</v>
      </c>
      <c r="C4247" s="21">
        <v>0.91805555555555551</v>
      </c>
      <c r="D4247" s="20" t="s">
        <v>3049</v>
      </c>
      <c r="E4247" t="s">
        <v>0</v>
      </c>
      <c r="G4247" t="s">
        <v>9</v>
      </c>
      <c r="H4247">
        <v>13</v>
      </c>
      <c r="I4247">
        <f t="shared" si="68"/>
        <v>17</v>
      </c>
    </row>
    <row r="4248" spans="1:9">
      <c r="A4248" s="1">
        <v>42467.270138888889</v>
      </c>
      <c r="B4248" s="19">
        <v>42794</v>
      </c>
      <c r="C4248" s="21">
        <v>0.90347222222222223</v>
      </c>
      <c r="D4248" s="20" t="s">
        <v>3048</v>
      </c>
      <c r="E4248" t="s">
        <v>0</v>
      </c>
      <c r="F4248" t="s">
        <v>10</v>
      </c>
      <c r="G4248" t="s">
        <v>84</v>
      </c>
      <c r="H4248" t="e">
        <v>#VALUE!</v>
      </c>
      <c r="I4248" t="e">
        <f t="shared" si="68"/>
        <v>#VALUE!</v>
      </c>
    </row>
    <row r="4249" spans="1:9">
      <c r="A4249" s="1">
        <v>42466.957638888889</v>
      </c>
      <c r="B4249" s="19">
        <v>42794</v>
      </c>
      <c r="C4249" s="21">
        <v>0.58472222222222225</v>
      </c>
      <c r="D4249" s="20" t="s">
        <v>3040</v>
      </c>
      <c r="E4249" t="s">
        <v>18</v>
      </c>
      <c r="F4249" t="s">
        <v>100</v>
      </c>
      <c r="G4249" t="s">
        <v>458</v>
      </c>
      <c r="H4249" t="e">
        <v>#VALUE!</v>
      </c>
      <c r="I4249" t="e">
        <f t="shared" si="68"/>
        <v>#VALUE!</v>
      </c>
    </row>
    <row r="4250" spans="1:9">
      <c r="A4250" s="1">
        <v>42466.913888888892</v>
      </c>
      <c r="B4250" s="19">
        <v>42794</v>
      </c>
      <c r="C4250" s="21">
        <v>0.58402777777777781</v>
      </c>
      <c r="D4250" s="20" t="s">
        <v>3040</v>
      </c>
      <c r="E4250" t="s">
        <v>0</v>
      </c>
      <c r="F4250" t="s">
        <v>10</v>
      </c>
      <c r="G4250" t="s">
        <v>84</v>
      </c>
      <c r="H4250">
        <v>13</v>
      </c>
      <c r="I4250">
        <f t="shared" si="68"/>
        <v>17</v>
      </c>
    </row>
    <row r="4251" spans="1:9">
      <c r="A4251" s="1">
        <v>42466.716666666667</v>
      </c>
      <c r="B4251" s="19">
        <v>42794</v>
      </c>
      <c r="C4251" s="21">
        <v>0.58402777777777781</v>
      </c>
      <c r="D4251" s="20" t="s">
        <v>3040</v>
      </c>
      <c r="E4251" t="s">
        <v>0</v>
      </c>
      <c r="G4251" t="s">
        <v>9</v>
      </c>
      <c r="H4251">
        <v>13</v>
      </c>
      <c r="I4251">
        <f t="shared" si="68"/>
        <v>17</v>
      </c>
    </row>
    <row r="4252" spans="1:9">
      <c r="A4252" s="1">
        <v>42466.600694444445</v>
      </c>
      <c r="B4252" s="19">
        <v>42794</v>
      </c>
      <c r="C4252" s="21">
        <v>0.57638888888888884</v>
      </c>
      <c r="D4252" s="20" t="s">
        <v>3039</v>
      </c>
      <c r="E4252" t="s">
        <v>0</v>
      </c>
      <c r="F4252" t="s">
        <v>10</v>
      </c>
      <c r="G4252" t="s">
        <v>84</v>
      </c>
      <c r="H4252">
        <v>13</v>
      </c>
      <c r="I4252">
        <f t="shared" si="68"/>
        <v>17</v>
      </c>
    </row>
    <row r="4253" spans="1:9">
      <c r="A4253" s="1">
        <v>42466.150694444441</v>
      </c>
      <c r="B4253" s="19">
        <v>42794</v>
      </c>
      <c r="C4253" s="21">
        <v>1.3194444444444444E-2</v>
      </c>
      <c r="D4253" s="20" t="s">
        <v>3050</v>
      </c>
      <c r="E4253" t="s">
        <v>33</v>
      </c>
      <c r="F4253" t="s">
        <v>34</v>
      </c>
      <c r="G4253" t="s">
        <v>459</v>
      </c>
      <c r="H4253" t="e">
        <v>#VALUE!</v>
      </c>
      <c r="I4253" t="e">
        <f t="shared" si="68"/>
        <v>#VALUE!</v>
      </c>
    </row>
    <row r="4254" spans="1:9">
      <c r="A4254" s="1">
        <v>42466.059027777781</v>
      </c>
      <c r="B4254" s="19">
        <v>42794</v>
      </c>
      <c r="C4254" s="21">
        <v>9.0277777777777769E-3</v>
      </c>
      <c r="D4254" s="20" t="s">
        <v>3050</v>
      </c>
      <c r="E4254" t="s">
        <v>18</v>
      </c>
      <c r="F4254" t="s">
        <v>71</v>
      </c>
      <c r="G4254" t="s">
        <v>457</v>
      </c>
      <c r="H4254" t="e">
        <v>#VALUE!</v>
      </c>
      <c r="I4254" t="e">
        <f t="shared" si="68"/>
        <v>#VALUE!</v>
      </c>
    </row>
    <row r="4255" spans="1:9">
      <c r="A4255" s="1">
        <v>42466.59375</v>
      </c>
      <c r="B4255" s="19">
        <v>42795</v>
      </c>
      <c r="C4255" s="21">
        <v>0.95694444444444449</v>
      </c>
      <c r="D4255" s="20" t="s">
        <v>3049</v>
      </c>
      <c r="E4255" t="s">
        <v>2</v>
      </c>
      <c r="F4255" t="s">
        <v>3</v>
      </c>
      <c r="G4255" t="s">
        <v>445</v>
      </c>
      <c r="H4255">
        <v>41</v>
      </c>
      <c r="I4255">
        <f t="shared" si="68"/>
        <v>51</v>
      </c>
    </row>
    <row r="4256" spans="1:9">
      <c r="A4256" s="1">
        <v>42466.536805555559</v>
      </c>
      <c r="B4256" s="19">
        <v>42795</v>
      </c>
      <c r="C4256" s="21">
        <v>0.68194444444444446</v>
      </c>
      <c r="D4256" s="20" t="s">
        <v>3043</v>
      </c>
      <c r="E4256" t="s">
        <v>6</v>
      </c>
      <c r="F4256" t="s">
        <v>12</v>
      </c>
      <c r="G4256" t="s">
        <v>450</v>
      </c>
      <c r="H4256" t="e">
        <v>#VALUE!</v>
      </c>
      <c r="I4256" t="e">
        <f t="shared" si="68"/>
        <v>#VALUE!</v>
      </c>
    </row>
    <row r="4257" spans="1:9">
      <c r="A4257" s="1">
        <v>42466.520138888889</v>
      </c>
      <c r="B4257" s="19">
        <v>42795</v>
      </c>
      <c r="C4257" s="21">
        <v>0.44583333333333336</v>
      </c>
      <c r="D4257" s="20" t="s">
        <v>3036</v>
      </c>
      <c r="E4257" t="s">
        <v>2</v>
      </c>
      <c r="F4257" t="s">
        <v>5</v>
      </c>
      <c r="G4257" t="s">
        <v>452</v>
      </c>
      <c r="H4257">
        <v>76</v>
      </c>
      <c r="I4257">
        <f t="shared" si="68"/>
        <v>95</v>
      </c>
    </row>
    <row r="4258" spans="1:9">
      <c r="A4258" s="1">
        <v>42466.49722222222</v>
      </c>
      <c r="B4258" s="19">
        <v>42795</v>
      </c>
      <c r="C4258" s="21">
        <v>0.37916666666666665</v>
      </c>
      <c r="D4258" s="20" t="s">
        <v>3035</v>
      </c>
      <c r="E4258" t="s">
        <v>6</v>
      </c>
      <c r="F4258" t="s">
        <v>26</v>
      </c>
      <c r="G4258" t="s">
        <v>453</v>
      </c>
      <c r="H4258" t="e">
        <v>#VALUE!</v>
      </c>
      <c r="I4258" t="e">
        <f t="shared" si="68"/>
        <v>#VALUE!</v>
      </c>
    </row>
    <row r="4259" spans="1:9">
      <c r="A4259" s="1">
        <v>42466.470138888886</v>
      </c>
      <c r="B4259" s="19">
        <v>42795</v>
      </c>
      <c r="C4259" s="21">
        <v>1.8055555555555554E-2</v>
      </c>
      <c r="D4259" s="20" t="s">
        <v>3050</v>
      </c>
      <c r="E4259" t="s">
        <v>6</v>
      </c>
      <c r="F4259" t="s">
        <v>21</v>
      </c>
      <c r="G4259" t="s">
        <v>455</v>
      </c>
      <c r="H4259">
        <v>8</v>
      </c>
      <c r="I4259">
        <f t="shared" si="68"/>
        <v>10</v>
      </c>
    </row>
    <row r="4260" spans="1:9">
      <c r="A4260" s="1">
        <v>42466.429166666669</v>
      </c>
      <c r="B4260" s="19">
        <v>42795</v>
      </c>
      <c r="C4260" s="21">
        <v>0.95694444444444449</v>
      </c>
      <c r="D4260" s="20" t="s">
        <v>3049</v>
      </c>
      <c r="E4260" t="s">
        <v>18</v>
      </c>
      <c r="G4260" t="s">
        <v>444</v>
      </c>
      <c r="H4260" t="e">
        <v>#VALUE!</v>
      </c>
      <c r="I4260" t="e">
        <f t="shared" si="68"/>
        <v>#VALUE!</v>
      </c>
    </row>
    <row r="4261" spans="1:9">
      <c r="A4261" s="1">
        <v>42466.374305555553</v>
      </c>
      <c r="B4261" s="19">
        <v>42795</v>
      </c>
      <c r="C4261" s="21">
        <v>0.93819444444444444</v>
      </c>
      <c r="D4261" s="20" t="s">
        <v>3049</v>
      </c>
      <c r="E4261" t="s">
        <v>33</v>
      </c>
      <c r="G4261" t="s">
        <v>446</v>
      </c>
      <c r="H4261">
        <v>8</v>
      </c>
      <c r="I4261">
        <f t="shared" si="68"/>
        <v>10</v>
      </c>
    </row>
    <row r="4262" spans="1:9">
      <c r="A4262" s="1">
        <v>42466.341666666667</v>
      </c>
      <c r="B4262" s="19">
        <v>42795</v>
      </c>
      <c r="C4262" s="21">
        <v>0.9375</v>
      </c>
      <c r="D4262" s="20" t="s">
        <v>3049</v>
      </c>
      <c r="E4262" t="s">
        <v>77</v>
      </c>
      <c r="F4262" t="s">
        <v>78</v>
      </c>
      <c r="G4262" t="s">
        <v>447</v>
      </c>
      <c r="H4262">
        <v>5</v>
      </c>
      <c r="I4262">
        <f t="shared" si="68"/>
        <v>7</v>
      </c>
    </row>
    <row r="4263" spans="1:9">
      <c r="A4263" s="1">
        <v>42466.306250000001</v>
      </c>
      <c r="B4263" s="19">
        <v>42795</v>
      </c>
      <c r="C4263" s="21">
        <v>0.91666666666666663</v>
      </c>
      <c r="D4263" s="20" t="s">
        <v>3049</v>
      </c>
      <c r="E4263" t="s">
        <v>0</v>
      </c>
      <c r="G4263" t="s">
        <v>9</v>
      </c>
      <c r="H4263">
        <v>13</v>
      </c>
      <c r="I4263">
        <f t="shared" si="68"/>
        <v>17</v>
      </c>
    </row>
    <row r="4264" spans="1:9">
      <c r="A4264" s="1">
        <v>42466.109027777777</v>
      </c>
      <c r="B4264" s="19">
        <v>42795</v>
      </c>
      <c r="C4264" s="21">
        <v>0.90416666666666667</v>
      </c>
      <c r="D4264" s="20" t="s">
        <v>3048</v>
      </c>
      <c r="E4264" t="s">
        <v>0</v>
      </c>
      <c r="F4264" t="s">
        <v>10</v>
      </c>
      <c r="G4264" t="s">
        <v>448</v>
      </c>
      <c r="H4264">
        <v>13</v>
      </c>
      <c r="I4264">
        <f t="shared" si="68"/>
        <v>17</v>
      </c>
    </row>
    <row r="4265" spans="1:9">
      <c r="A4265" s="1">
        <v>42466.103472222225</v>
      </c>
      <c r="B4265" s="19">
        <v>42795</v>
      </c>
      <c r="C4265" s="21">
        <v>0.69166666666666665</v>
      </c>
      <c r="D4265" s="20" t="s">
        <v>3043</v>
      </c>
      <c r="E4265" t="s">
        <v>0</v>
      </c>
      <c r="F4265" t="s">
        <v>1</v>
      </c>
      <c r="H4265">
        <v>10</v>
      </c>
      <c r="I4265">
        <f t="shared" si="68"/>
        <v>13</v>
      </c>
    </row>
    <row r="4266" spans="1:9">
      <c r="A4266" s="1">
        <v>42466.059027777781</v>
      </c>
      <c r="B4266" s="19">
        <v>42795</v>
      </c>
      <c r="C4266" s="21">
        <v>0.68402777777777779</v>
      </c>
      <c r="D4266" s="20" t="s">
        <v>3043</v>
      </c>
      <c r="E4266" t="s">
        <v>33</v>
      </c>
      <c r="F4266" t="s">
        <v>34</v>
      </c>
      <c r="G4266" t="s">
        <v>449</v>
      </c>
      <c r="H4266">
        <v>44</v>
      </c>
      <c r="I4266">
        <f t="shared" si="68"/>
        <v>55</v>
      </c>
    </row>
    <row r="4267" spans="1:9">
      <c r="A4267" s="1">
        <v>42465.925694444442</v>
      </c>
      <c r="B4267" s="19">
        <v>42795</v>
      </c>
      <c r="C4267" s="21">
        <v>0.5854166666666667</v>
      </c>
      <c r="D4267" s="20" t="s">
        <v>3040</v>
      </c>
      <c r="E4267" t="s">
        <v>0</v>
      </c>
      <c r="G4267" t="s">
        <v>277</v>
      </c>
      <c r="H4267">
        <v>13</v>
      </c>
      <c r="I4267">
        <f t="shared" si="68"/>
        <v>17</v>
      </c>
    </row>
    <row r="4268" spans="1:9">
      <c r="A4268" s="1">
        <v>42465.916666666664</v>
      </c>
      <c r="B4268" s="19">
        <v>42795</v>
      </c>
      <c r="C4268" s="21">
        <v>0.5854166666666667</v>
      </c>
      <c r="D4268" s="20" t="s">
        <v>3040</v>
      </c>
      <c r="E4268" t="s">
        <v>0</v>
      </c>
      <c r="F4268" t="s">
        <v>10</v>
      </c>
      <c r="G4268" t="s">
        <v>84</v>
      </c>
      <c r="H4268">
        <v>13</v>
      </c>
      <c r="I4268">
        <f t="shared" si="68"/>
        <v>17</v>
      </c>
    </row>
    <row r="4269" spans="1:9">
      <c r="A4269" s="1">
        <v>42465.681250000001</v>
      </c>
      <c r="B4269" s="19">
        <v>42795</v>
      </c>
      <c r="C4269" s="21">
        <v>0.5854166666666667</v>
      </c>
      <c r="D4269" s="20" t="s">
        <v>3040</v>
      </c>
      <c r="E4269" t="s">
        <v>18</v>
      </c>
      <c r="F4269" t="s">
        <v>71</v>
      </c>
      <c r="G4269" t="s">
        <v>451</v>
      </c>
      <c r="H4269" t="e">
        <v>#VALUE!</v>
      </c>
      <c r="I4269" t="e">
        <f t="shared" si="68"/>
        <v>#VALUE!</v>
      </c>
    </row>
    <row r="4270" spans="1:9">
      <c r="A4270" s="1">
        <v>42465.625</v>
      </c>
      <c r="B4270" s="19">
        <v>42795</v>
      </c>
      <c r="C4270" s="21">
        <v>0.57499999999999996</v>
      </c>
      <c r="D4270" s="20" t="s">
        <v>3039</v>
      </c>
      <c r="E4270" t="s">
        <v>0</v>
      </c>
      <c r="F4270" t="s">
        <v>10</v>
      </c>
      <c r="G4270" t="s">
        <v>84</v>
      </c>
      <c r="H4270">
        <v>13</v>
      </c>
      <c r="I4270">
        <f t="shared" si="68"/>
        <v>17</v>
      </c>
    </row>
    <row r="4271" spans="1:9">
      <c r="A4271" s="1">
        <v>42465.574999999997</v>
      </c>
      <c r="B4271" s="19">
        <v>42795</v>
      </c>
      <c r="C4271" s="21">
        <v>0.27430555555555558</v>
      </c>
      <c r="D4271" s="20" t="s">
        <v>3031</v>
      </c>
      <c r="E4271" t="s">
        <v>0</v>
      </c>
      <c r="G4271" t="s">
        <v>454</v>
      </c>
      <c r="H4271">
        <v>4</v>
      </c>
      <c r="I4271">
        <f t="shared" si="68"/>
        <v>5</v>
      </c>
    </row>
    <row r="4272" spans="1:9">
      <c r="A4272" s="1">
        <v>42465.434027777781</v>
      </c>
      <c r="B4272" s="19">
        <v>42796</v>
      </c>
      <c r="C4272" s="21">
        <v>0.98055555555555551</v>
      </c>
      <c r="D4272" s="20" t="s">
        <v>3063</v>
      </c>
      <c r="E4272" t="s">
        <v>2</v>
      </c>
      <c r="F4272" t="s">
        <v>5</v>
      </c>
      <c r="G4272" t="s">
        <v>434</v>
      </c>
      <c r="H4272">
        <v>19</v>
      </c>
      <c r="I4272">
        <f t="shared" si="68"/>
        <v>24</v>
      </c>
    </row>
    <row r="4273" spans="1:9">
      <c r="A4273" s="1">
        <v>42465.254861111112</v>
      </c>
      <c r="B4273" s="19">
        <v>42796</v>
      </c>
      <c r="C4273" s="21">
        <v>0.9375</v>
      </c>
      <c r="D4273" s="20" t="s">
        <v>3049</v>
      </c>
      <c r="E4273" t="s">
        <v>6</v>
      </c>
      <c r="F4273" t="s">
        <v>46</v>
      </c>
      <c r="G4273" t="s">
        <v>435</v>
      </c>
      <c r="H4273">
        <v>75</v>
      </c>
      <c r="I4273">
        <f t="shared" si="68"/>
        <v>93</v>
      </c>
    </row>
    <row r="4274" spans="1:9">
      <c r="A4274" s="1">
        <v>42465.092361111114</v>
      </c>
      <c r="B4274" s="19">
        <v>42796</v>
      </c>
      <c r="C4274" s="21">
        <v>0.83125000000000004</v>
      </c>
      <c r="D4274" s="20" t="s">
        <v>3046</v>
      </c>
      <c r="E4274" t="s">
        <v>6</v>
      </c>
      <c r="F4274" t="s">
        <v>12</v>
      </c>
      <c r="G4274" t="s">
        <v>437</v>
      </c>
      <c r="H4274" t="e">
        <v>#VALUE!</v>
      </c>
      <c r="I4274" t="e">
        <f t="shared" si="68"/>
        <v>#VALUE!</v>
      </c>
    </row>
    <row r="4275" spans="1:9">
      <c r="A4275" s="1">
        <v>42465.95</v>
      </c>
      <c r="B4275" s="19">
        <v>42796</v>
      </c>
      <c r="C4275" s="21">
        <v>0.71111111111111114</v>
      </c>
      <c r="D4275" s="20" t="s">
        <v>3044</v>
      </c>
      <c r="E4275" t="s">
        <v>2</v>
      </c>
      <c r="F4275" t="s">
        <v>5</v>
      </c>
      <c r="H4275">
        <v>23</v>
      </c>
      <c r="I4275">
        <f t="shared" si="68"/>
        <v>29</v>
      </c>
    </row>
    <row r="4276" spans="1:9">
      <c r="A4276" s="1">
        <v>42465.67291666667</v>
      </c>
      <c r="B4276" s="19">
        <v>42796</v>
      </c>
      <c r="C4276" s="21">
        <v>0.67500000000000004</v>
      </c>
      <c r="D4276" s="20" t="s">
        <v>3043</v>
      </c>
      <c r="E4276" t="s">
        <v>6</v>
      </c>
      <c r="F4276" t="s">
        <v>26</v>
      </c>
      <c r="G4276" t="s">
        <v>438</v>
      </c>
      <c r="H4276">
        <v>65</v>
      </c>
      <c r="I4276">
        <f t="shared" si="68"/>
        <v>81</v>
      </c>
    </row>
    <row r="4277" spans="1:9">
      <c r="A4277" s="1">
        <v>42465.625</v>
      </c>
      <c r="B4277" s="19">
        <v>42796</v>
      </c>
      <c r="C4277" s="21">
        <v>0.62083333333333335</v>
      </c>
      <c r="D4277" s="20" t="s">
        <v>3040</v>
      </c>
      <c r="E4277" t="s">
        <v>6</v>
      </c>
      <c r="F4277" t="s">
        <v>12</v>
      </c>
      <c r="G4277" t="s">
        <v>439</v>
      </c>
      <c r="H4277" t="e">
        <v>#VALUE!</v>
      </c>
      <c r="I4277" t="e">
        <f t="shared" si="68"/>
        <v>#VALUE!</v>
      </c>
    </row>
    <row r="4278" spans="1:9">
      <c r="A4278" s="1">
        <v>42465.600694444445</v>
      </c>
      <c r="B4278" s="19">
        <v>42796</v>
      </c>
      <c r="C4278" s="21">
        <v>0.6</v>
      </c>
      <c r="D4278" s="20" t="s">
        <v>3040</v>
      </c>
      <c r="E4278" t="s">
        <v>2</v>
      </c>
      <c r="F4278" t="s">
        <v>48</v>
      </c>
      <c r="G4278" t="s">
        <v>440</v>
      </c>
      <c r="H4278">
        <v>19</v>
      </c>
      <c r="I4278">
        <f t="shared" si="68"/>
        <v>24</v>
      </c>
    </row>
    <row r="4279" spans="1:9">
      <c r="A4279" s="1">
        <v>42465.567361111112</v>
      </c>
      <c r="B4279" s="19">
        <v>42796</v>
      </c>
      <c r="C4279" s="21">
        <v>0.58958333333333335</v>
      </c>
      <c r="D4279" s="20" t="s">
        <v>3040</v>
      </c>
      <c r="E4279" t="s">
        <v>6</v>
      </c>
      <c r="F4279" t="s">
        <v>7</v>
      </c>
      <c r="G4279" t="s">
        <v>441</v>
      </c>
      <c r="H4279">
        <v>30</v>
      </c>
      <c r="I4279">
        <f t="shared" si="68"/>
        <v>38</v>
      </c>
    </row>
    <row r="4280" spans="1:9">
      <c r="A4280" s="1">
        <v>42465.529166666667</v>
      </c>
      <c r="B4280" s="19">
        <v>42796</v>
      </c>
      <c r="C4280" s="21">
        <v>0.52222222222222225</v>
      </c>
      <c r="D4280" s="20" t="s">
        <v>3038</v>
      </c>
      <c r="E4280" t="s">
        <v>6</v>
      </c>
      <c r="F4280" t="s">
        <v>26</v>
      </c>
      <c r="G4280" t="s">
        <v>307</v>
      </c>
      <c r="H4280" t="e">
        <v>#VALUE!</v>
      </c>
      <c r="I4280" t="e">
        <f t="shared" si="68"/>
        <v>#VALUE!</v>
      </c>
    </row>
    <row r="4281" spans="1:9">
      <c r="A4281" s="1">
        <v>42465.499305555553</v>
      </c>
      <c r="B4281" s="19">
        <v>42796</v>
      </c>
      <c r="C4281" s="21">
        <v>0.37291666666666667</v>
      </c>
      <c r="D4281" s="20" t="s">
        <v>3034</v>
      </c>
      <c r="E4281" t="s">
        <v>6</v>
      </c>
      <c r="F4281" t="s">
        <v>12</v>
      </c>
      <c r="G4281" t="s">
        <v>442</v>
      </c>
      <c r="H4281" t="e">
        <v>#VALUE!</v>
      </c>
      <c r="I4281" t="e">
        <f t="shared" si="68"/>
        <v>#VALUE!</v>
      </c>
    </row>
    <row r="4282" spans="1:9">
      <c r="A4282" s="1">
        <v>42465.440972222219</v>
      </c>
      <c r="B4282" s="19">
        <v>42796</v>
      </c>
      <c r="C4282" s="21">
        <v>0.26250000000000001</v>
      </c>
      <c r="D4282" s="20" t="s">
        <v>3031</v>
      </c>
      <c r="E4282" t="s">
        <v>6</v>
      </c>
      <c r="F4282" t="s">
        <v>12</v>
      </c>
      <c r="G4282" t="s">
        <v>65</v>
      </c>
      <c r="H4282" t="e">
        <v>#VALUE!</v>
      </c>
      <c r="I4282" t="e">
        <f t="shared" si="68"/>
        <v>#VALUE!</v>
      </c>
    </row>
    <row r="4283" spans="1:9">
      <c r="A4283" s="1">
        <v>42465.365277777775</v>
      </c>
      <c r="B4283" s="19">
        <v>42796</v>
      </c>
      <c r="C4283" s="21">
        <v>4.2361111111111113E-2</v>
      </c>
      <c r="D4283" s="20" t="s">
        <v>3051</v>
      </c>
      <c r="E4283" t="s">
        <v>2</v>
      </c>
      <c r="F4283" t="s">
        <v>5</v>
      </c>
      <c r="G4283" t="s">
        <v>443</v>
      </c>
      <c r="H4283">
        <v>27</v>
      </c>
      <c r="I4283">
        <f t="shared" si="68"/>
        <v>34</v>
      </c>
    </row>
    <row r="4284" spans="1:9">
      <c r="A4284" s="1">
        <v>42465.313194444447</v>
      </c>
      <c r="B4284" s="19">
        <v>42796</v>
      </c>
      <c r="C4284" s="21">
        <v>0.92986111111111114</v>
      </c>
      <c r="D4284" s="20" t="s">
        <v>3049</v>
      </c>
      <c r="E4284" t="s">
        <v>77</v>
      </c>
      <c r="G4284" t="s">
        <v>79</v>
      </c>
      <c r="H4284">
        <v>5</v>
      </c>
      <c r="I4284">
        <f t="shared" si="68"/>
        <v>7</v>
      </c>
    </row>
    <row r="4285" spans="1:9">
      <c r="A4285" s="1">
        <v>42465.279166666667</v>
      </c>
      <c r="B4285" s="19">
        <v>42796</v>
      </c>
      <c r="C4285" s="21">
        <v>0.91666666666666663</v>
      </c>
      <c r="D4285" s="20" t="s">
        <v>3049</v>
      </c>
      <c r="E4285" t="s">
        <v>0</v>
      </c>
      <c r="G4285" t="s">
        <v>9</v>
      </c>
      <c r="H4285">
        <v>13</v>
      </c>
      <c r="I4285">
        <f t="shared" si="68"/>
        <v>17</v>
      </c>
    </row>
    <row r="4286" spans="1:9">
      <c r="A4286" s="1">
        <v>42465.201388888891</v>
      </c>
      <c r="B4286" s="19">
        <v>42796</v>
      </c>
      <c r="C4286" s="21">
        <v>0.91666666666666663</v>
      </c>
      <c r="D4286" s="20" t="s">
        <v>3049</v>
      </c>
      <c r="E4286" t="s">
        <v>18</v>
      </c>
      <c r="F4286" t="s">
        <v>100</v>
      </c>
      <c r="H4286" t="e">
        <v>#VALUE!</v>
      </c>
      <c r="I4286" t="e">
        <f t="shared" si="68"/>
        <v>#VALUE!</v>
      </c>
    </row>
    <row r="4287" spans="1:9">
      <c r="A4287" s="1">
        <v>42465.106249999997</v>
      </c>
      <c r="B4287" s="19">
        <v>42796</v>
      </c>
      <c r="C4287" s="21">
        <v>0.90277777777777779</v>
      </c>
      <c r="D4287" s="20" t="s">
        <v>3048</v>
      </c>
      <c r="E4287" t="s">
        <v>0</v>
      </c>
      <c r="F4287" t="s">
        <v>10</v>
      </c>
      <c r="G4287" t="s">
        <v>436</v>
      </c>
      <c r="H4287">
        <v>13</v>
      </c>
      <c r="I4287">
        <f t="shared" si="68"/>
        <v>17</v>
      </c>
    </row>
    <row r="4288" spans="1:9">
      <c r="A4288" s="1">
        <v>42465.101388888892</v>
      </c>
      <c r="B4288" s="19">
        <v>42796</v>
      </c>
      <c r="C4288" s="21">
        <v>0.58958333333333335</v>
      </c>
      <c r="D4288" s="20" t="s">
        <v>3040</v>
      </c>
      <c r="E4288" t="s">
        <v>0</v>
      </c>
      <c r="G4288" t="s">
        <v>277</v>
      </c>
      <c r="H4288">
        <v>13</v>
      </c>
      <c r="I4288">
        <f t="shared" si="68"/>
        <v>17</v>
      </c>
    </row>
    <row r="4289" spans="1:9">
      <c r="A4289" s="1">
        <v>42465.056250000001</v>
      </c>
      <c r="B4289" s="19">
        <v>42797</v>
      </c>
      <c r="C4289" s="21">
        <v>0.65138888888888891</v>
      </c>
      <c r="D4289" s="20" t="s">
        <v>3042</v>
      </c>
      <c r="E4289" t="s">
        <v>2</v>
      </c>
      <c r="H4289">
        <v>7</v>
      </c>
      <c r="I4289">
        <f t="shared" si="68"/>
        <v>9</v>
      </c>
    </row>
    <row r="4290" spans="1:9">
      <c r="A4290" s="1">
        <v>42465.052083333336</v>
      </c>
      <c r="B4290" s="19">
        <v>42797</v>
      </c>
      <c r="C4290" s="21">
        <v>0.6479166666666667</v>
      </c>
      <c r="D4290" s="20" t="s">
        <v>3042</v>
      </c>
      <c r="E4290" t="s">
        <v>6</v>
      </c>
      <c r="H4290">
        <v>7</v>
      </c>
      <c r="I4290">
        <f t="shared" si="68"/>
        <v>9</v>
      </c>
    </row>
    <row r="4291" spans="1:9">
      <c r="A4291" s="1">
        <v>42465.02847222222</v>
      </c>
      <c r="B4291" s="19">
        <v>42797</v>
      </c>
      <c r="C4291" s="21">
        <v>0.64166666666666672</v>
      </c>
      <c r="D4291" s="20" t="s">
        <v>3042</v>
      </c>
      <c r="E4291" t="s">
        <v>6</v>
      </c>
      <c r="H4291">
        <v>7</v>
      </c>
      <c r="I4291">
        <f t="shared" ref="I4291:I4354" si="69">ROUNDUP((H4291*1.24), 0)</f>
        <v>9</v>
      </c>
    </row>
    <row r="4292" spans="1:9">
      <c r="A4292" s="1">
        <v>42464.920138888891</v>
      </c>
      <c r="B4292" s="19">
        <v>42797</v>
      </c>
      <c r="C4292" s="21">
        <v>0.62361111111111112</v>
      </c>
      <c r="D4292" s="20" t="s">
        <v>3040</v>
      </c>
      <c r="E4292" t="s">
        <v>2</v>
      </c>
      <c r="H4292">
        <v>7</v>
      </c>
      <c r="I4292">
        <f t="shared" si="69"/>
        <v>9</v>
      </c>
    </row>
    <row r="4293" spans="1:9">
      <c r="A4293" s="1">
        <v>42464.627083333333</v>
      </c>
      <c r="B4293" s="19">
        <v>42797</v>
      </c>
      <c r="C4293" s="21">
        <v>0.60138888888888886</v>
      </c>
      <c r="D4293" s="20" t="s">
        <v>3040</v>
      </c>
      <c r="E4293" t="s">
        <v>6</v>
      </c>
      <c r="H4293">
        <v>7</v>
      </c>
      <c r="I4293">
        <f t="shared" si="69"/>
        <v>9</v>
      </c>
    </row>
    <row r="4294" spans="1:9">
      <c r="A4294" s="1">
        <v>42464.627083333333</v>
      </c>
      <c r="B4294" s="19">
        <v>42797</v>
      </c>
      <c r="C4294" s="21">
        <v>0.52916666666666667</v>
      </c>
      <c r="D4294" s="20" t="s">
        <v>3038</v>
      </c>
      <c r="E4294" t="s">
        <v>6</v>
      </c>
      <c r="F4294" t="s">
        <v>21</v>
      </c>
      <c r="G4294" t="s">
        <v>307</v>
      </c>
      <c r="H4294" t="e">
        <v>#VALUE!</v>
      </c>
      <c r="I4294" t="e">
        <f t="shared" si="69"/>
        <v>#VALUE!</v>
      </c>
    </row>
    <row r="4295" spans="1:9">
      <c r="A4295" s="1">
        <v>42464.175000000003</v>
      </c>
      <c r="B4295" s="19">
        <v>42797</v>
      </c>
      <c r="C4295" s="21">
        <v>0.33124999999999999</v>
      </c>
      <c r="D4295" s="20" t="s">
        <v>3033</v>
      </c>
      <c r="E4295" t="s">
        <v>2</v>
      </c>
      <c r="F4295" t="s">
        <v>56</v>
      </c>
      <c r="G4295" t="s">
        <v>429</v>
      </c>
      <c r="H4295" t="e">
        <v>#VALUE!</v>
      </c>
      <c r="I4295" t="e">
        <f t="shared" si="69"/>
        <v>#VALUE!</v>
      </c>
    </row>
    <row r="4296" spans="1:9">
      <c r="A4296" s="1">
        <v>42464.019444444442</v>
      </c>
      <c r="B4296" s="19">
        <v>42797</v>
      </c>
      <c r="C4296" s="21">
        <v>0.25833333333333336</v>
      </c>
      <c r="D4296" s="20" t="s">
        <v>3031</v>
      </c>
      <c r="E4296" t="s">
        <v>6</v>
      </c>
      <c r="F4296" t="s">
        <v>12</v>
      </c>
      <c r="G4296" t="s">
        <v>430</v>
      </c>
      <c r="H4296" t="e">
        <v>#VALUE!</v>
      </c>
      <c r="I4296" t="e">
        <f t="shared" si="69"/>
        <v>#VALUE!</v>
      </c>
    </row>
    <row r="4297" spans="1:9">
      <c r="A4297" s="1">
        <v>42464.95416666667</v>
      </c>
      <c r="B4297" s="19">
        <v>42797</v>
      </c>
      <c r="C4297" s="21">
        <v>4.583333333333333E-2</v>
      </c>
      <c r="D4297" s="20" t="s">
        <v>3051</v>
      </c>
      <c r="E4297" t="s">
        <v>2</v>
      </c>
      <c r="F4297" t="s">
        <v>5</v>
      </c>
      <c r="G4297" t="s">
        <v>432</v>
      </c>
      <c r="H4297">
        <v>75</v>
      </c>
      <c r="I4297">
        <f t="shared" si="69"/>
        <v>93</v>
      </c>
    </row>
    <row r="4298" spans="1:9">
      <c r="A4298" s="1">
        <v>42464.175000000003</v>
      </c>
      <c r="B4298" s="19">
        <v>42797</v>
      </c>
      <c r="C4298" s="21">
        <v>2.9166666666666667E-2</v>
      </c>
      <c r="D4298" s="20" t="s">
        <v>3050</v>
      </c>
      <c r="E4298" t="s">
        <v>6</v>
      </c>
      <c r="F4298" t="s">
        <v>12</v>
      </c>
      <c r="G4298" t="s">
        <v>433</v>
      </c>
      <c r="H4298">
        <v>25</v>
      </c>
      <c r="I4298">
        <f t="shared" si="69"/>
        <v>31</v>
      </c>
    </row>
    <row r="4299" spans="1:9">
      <c r="A4299" s="1">
        <v>42464.166666666664</v>
      </c>
      <c r="B4299" s="19">
        <v>42797</v>
      </c>
      <c r="C4299" s="21">
        <v>0.59236111111111112</v>
      </c>
      <c r="D4299" s="20" t="s">
        <v>3040</v>
      </c>
      <c r="E4299" t="s">
        <v>18</v>
      </c>
      <c r="H4299">
        <v>7</v>
      </c>
      <c r="I4299">
        <f t="shared" si="69"/>
        <v>9</v>
      </c>
    </row>
    <row r="4300" spans="1:9">
      <c r="A4300" s="1">
        <v>42464.159722222219</v>
      </c>
      <c r="B4300" s="19">
        <v>42797</v>
      </c>
      <c r="C4300" s="21">
        <v>0.58402777777777781</v>
      </c>
      <c r="D4300" s="20" t="s">
        <v>3040</v>
      </c>
      <c r="E4300" t="s">
        <v>0</v>
      </c>
      <c r="H4300">
        <v>7</v>
      </c>
      <c r="I4300">
        <f t="shared" si="69"/>
        <v>9</v>
      </c>
    </row>
    <row r="4301" spans="1:9">
      <c r="A4301" s="1">
        <v>42464.15625</v>
      </c>
      <c r="B4301" s="19">
        <v>42797</v>
      </c>
      <c r="C4301" s="21">
        <v>0.58333333333333337</v>
      </c>
      <c r="D4301" s="20" t="s">
        <v>3040</v>
      </c>
      <c r="E4301" t="s">
        <v>0</v>
      </c>
      <c r="H4301">
        <v>7</v>
      </c>
      <c r="I4301">
        <f t="shared" si="69"/>
        <v>9</v>
      </c>
    </row>
    <row r="4302" spans="1:9">
      <c r="A4302" s="1">
        <v>42464.154861111114</v>
      </c>
      <c r="B4302" s="19">
        <v>42797</v>
      </c>
      <c r="C4302" s="21">
        <v>0.25555555555555554</v>
      </c>
      <c r="D4302" s="20" t="s">
        <v>3031</v>
      </c>
      <c r="E4302" t="s">
        <v>0</v>
      </c>
      <c r="G4302" t="s">
        <v>277</v>
      </c>
      <c r="H4302" t="e">
        <v>#VALUE!</v>
      </c>
      <c r="I4302" t="e">
        <f t="shared" si="69"/>
        <v>#VALUE!</v>
      </c>
    </row>
    <row r="4303" spans="1:9">
      <c r="A4303" s="1">
        <v>42464.140277777777</v>
      </c>
      <c r="B4303" s="19">
        <v>42797</v>
      </c>
      <c r="C4303" s="21">
        <v>0.14305555555555555</v>
      </c>
      <c r="D4303" s="20" t="s">
        <v>3053</v>
      </c>
      <c r="E4303" t="s">
        <v>33</v>
      </c>
      <c r="G4303" t="s">
        <v>431</v>
      </c>
      <c r="H4303">
        <v>7</v>
      </c>
      <c r="I4303">
        <f t="shared" si="69"/>
        <v>9</v>
      </c>
    </row>
    <row r="4304" spans="1:9">
      <c r="A4304" s="1">
        <v>42464.03125</v>
      </c>
      <c r="B4304" s="19">
        <v>42807</v>
      </c>
      <c r="C4304" s="21">
        <v>0.62986111111111109</v>
      </c>
      <c r="D4304" s="20" t="s">
        <v>3042</v>
      </c>
      <c r="E4304" t="s">
        <v>6</v>
      </c>
      <c r="F4304" t="s">
        <v>15</v>
      </c>
      <c r="G4304" t="s">
        <v>426</v>
      </c>
      <c r="H4304">
        <v>8</v>
      </c>
      <c r="I4304">
        <f t="shared" si="69"/>
        <v>10</v>
      </c>
    </row>
    <row r="4305" spans="1:9">
      <c r="A4305" s="1">
        <v>42464.008333333331</v>
      </c>
      <c r="B4305" s="19">
        <v>42807</v>
      </c>
      <c r="C4305" s="21">
        <v>0.27361111111111114</v>
      </c>
      <c r="D4305" s="20" t="s">
        <v>3031</v>
      </c>
      <c r="E4305" t="s">
        <v>6</v>
      </c>
      <c r="F4305" t="s">
        <v>12</v>
      </c>
      <c r="H4305">
        <v>75</v>
      </c>
      <c r="I4305">
        <f t="shared" si="69"/>
        <v>93</v>
      </c>
    </row>
    <row r="4306" spans="1:9">
      <c r="A4306" s="1">
        <v>42463.994444444441</v>
      </c>
      <c r="B4306" s="19">
        <v>42807</v>
      </c>
      <c r="C4306" s="21">
        <v>0.91805555555555551</v>
      </c>
      <c r="D4306" s="20" t="s">
        <v>3049</v>
      </c>
      <c r="E4306" t="s">
        <v>0</v>
      </c>
      <c r="G4306" t="s">
        <v>425</v>
      </c>
      <c r="H4306">
        <v>13</v>
      </c>
      <c r="I4306">
        <f t="shared" si="69"/>
        <v>17</v>
      </c>
    </row>
    <row r="4307" spans="1:9">
      <c r="A4307" s="1">
        <v>42463.95416666667</v>
      </c>
      <c r="B4307" s="19">
        <v>42807</v>
      </c>
      <c r="C4307" s="21">
        <v>0.46944444444444444</v>
      </c>
      <c r="D4307" s="20" t="s">
        <v>3037</v>
      </c>
      <c r="E4307" t="s">
        <v>0</v>
      </c>
      <c r="G4307" t="s">
        <v>427</v>
      </c>
      <c r="H4307">
        <v>31</v>
      </c>
      <c r="I4307">
        <f t="shared" si="69"/>
        <v>39</v>
      </c>
    </row>
    <row r="4308" spans="1:9">
      <c r="A4308" s="1">
        <v>42463.9375</v>
      </c>
      <c r="B4308" s="19">
        <v>42807</v>
      </c>
      <c r="C4308" s="21">
        <v>0.36736111111111114</v>
      </c>
      <c r="D4308" s="20" t="s">
        <v>3034</v>
      </c>
      <c r="E4308" t="s">
        <v>0</v>
      </c>
      <c r="G4308" t="s">
        <v>428</v>
      </c>
      <c r="H4308">
        <v>4</v>
      </c>
      <c r="I4308">
        <f t="shared" si="69"/>
        <v>5</v>
      </c>
    </row>
    <row r="4309" spans="1:9">
      <c r="A4309" s="1">
        <v>42463.936111111114</v>
      </c>
      <c r="B4309" s="19">
        <v>42807</v>
      </c>
      <c r="C4309" s="21">
        <v>0.27430555555555558</v>
      </c>
      <c r="D4309" s="20" t="s">
        <v>3031</v>
      </c>
      <c r="E4309" t="s">
        <v>18</v>
      </c>
      <c r="F4309" t="s">
        <v>71</v>
      </c>
      <c r="H4309" t="e">
        <v>#VALUE!</v>
      </c>
      <c r="I4309" t="e">
        <f t="shared" si="69"/>
        <v>#VALUE!</v>
      </c>
    </row>
    <row r="4310" spans="1:9">
      <c r="A4310" s="1">
        <v>42463.928472222222</v>
      </c>
      <c r="B4310" s="19">
        <v>42807</v>
      </c>
      <c r="C4310" s="21">
        <v>0.27361111111111114</v>
      </c>
      <c r="D4310" s="20" t="s">
        <v>3031</v>
      </c>
      <c r="E4310" t="s">
        <v>0</v>
      </c>
      <c r="G4310" t="s">
        <v>9</v>
      </c>
      <c r="H4310">
        <v>50</v>
      </c>
      <c r="I4310">
        <f t="shared" si="69"/>
        <v>62</v>
      </c>
    </row>
    <row r="4311" spans="1:9">
      <c r="A4311" s="1">
        <v>42463.925694444442</v>
      </c>
      <c r="B4311" s="19">
        <v>42808</v>
      </c>
      <c r="C4311" s="21">
        <v>0.97083333333333333</v>
      </c>
      <c r="D4311" s="20" t="s">
        <v>3063</v>
      </c>
      <c r="E4311" t="s">
        <v>6</v>
      </c>
      <c r="G4311" t="s">
        <v>420</v>
      </c>
      <c r="H4311">
        <v>14</v>
      </c>
      <c r="I4311">
        <f t="shared" si="69"/>
        <v>18</v>
      </c>
    </row>
    <row r="4312" spans="1:9">
      <c r="A4312" s="1">
        <v>42463.918749999997</v>
      </c>
      <c r="B4312" s="19">
        <v>42808</v>
      </c>
      <c r="C4312" s="21">
        <v>0.84166666666666667</v>
      </c>
      <c r="D4312" s="20" t="s">
        <v>3047</v>
      </c>
      <c r="E4312" t="s">
        <v>2</v>
      </c>
      <c r="F4312" t="s">
        <v>5</v>
      </c>
      <c r="G4312" t="s">
        <v>421</v>
      </c>
      <c r="H4312" t="e">
        <v>#VALUE!</v>
      </c>
      <c r="I4312" t="e">
        <f t="shared" si="69"/>
        <v>#VALUE!</v>
      </c>
    </row>
    <row r="4313" spans="1:9">
      <c r="A4313" s="1">
        <v>42463.986805555556</v>
      </c>
      <c r="B4313" s="19">
        <v>42808</v>
      </c>
      <c r="C4313" s="21">
        <v>0.83472222222222225</v>
      </c>
      <c r="D4313" s="20" t="s">
        <v>3047</v>
      </c>
      <c r="E4313" t="s">
        <v>6</v>
      </c>
      <c r="G4313" t="s">
        <v>422</v>
      </c>
      <c r="H4313">
        <v>13</v>
      </c>
      <c r="I4313">
        <f t="shared" si="69"/>
        <v>17</v>
      </c>
    </row>
    <row r="4314" spans="1:9">
      <c r="A4314" s="1">
        <v>42462.041666666664</v>
      </c>
      <c r="B4314" s="19">
        <v>42808</v>
      </c>
      <c r="C4314" s="21">
        <v>0.71736111111111112</v>
      </c>
      <c r="D4314" s="20" t="s">
        <v>3044</v>
      </c>
      <c r="E4314" t="s">
        <v>6</v>
      </c>
      <c r="F4314" t="s">
        <v>21</v>
      </c>
      <c r="G4314" t="s">
        <v>423</v>
      </c>
      <c r="H4314" t="e">
        <v>#VALUE!</v>
      </c>
      <c r="I4314" t="e">
        <f t="shared" si="69"/>
        <v>#VALUE!</v>
      </c>
    </row>
    <row r="4315" spans="1:9">
      <c r="A4315" s="1">
        <v>42461.970833333333</v>
      </c>
      <c r="B4315" s="19">
        <v>42808</v>
      </c>
      <c r="C4315" s="21">
        <v>0.5444444444444444</v>
      </c>
      <c r="D4315" s="20" t="s">
        <v>3039</v>
      </c>
      <c r="E4315" t="s">
        <v>2</v>
      </c>
      <c r="F4315" t="s">
        <v>48</v>
      </c>
      <c r="G4315" t="s">
        <v>424</v>
      </c>
      <c r="H4315">
        <v>22</v>
      </c>
      <c r="I4315">
        <f t="shared" si="69"/>
        <v>28</v>
      </c>
    </row>
    <row r="4316" spans="1:9">
      <c r="A4316" s="1">
        <v>42461.913888888892</v>
      </c>
      <c r="B4316" s="19">
        <v>42808</v>
      </c>
      <c r="C4316" s="21">
        <v>0.18333333333333332</v>
      </c>
      <c r="D4316" s="20" t="s">
        <v>3054</v>
      </c>
      <c r="E4316" t="s">
        <v>6</v>
      </c>
      <c r="F4316" t="s">
        <v>76</v>
      </c>
      <c r="G4316" t="s">
        <v>65</v>
      </c>
      <c r="H4316">
        <v>7</v>
      </c>
      <c r="I4316">
        <f t="shared" si="69"/>
        <v>9</v>
      </c>
    </row>
    <row r="4317" spans="1:9">
      <c r="A4317" s="1">
        <v>42461.833333333336</v>
      </c>
      <c r="B4317" s="19">
        <v>42808</v>
      </c>
      <c r="C4317" s="21">
        <v>0.9243055555555556</v>
      </c>
      <c r="D4317" s="20" t="s">
        <v>3049</v>
      </c>
      <c r="E4317" t="s">
        <v>0</v>
      </c>
      <c r="G4317" t="s">
        <v>32</v>
      </c>
      <c r="H4317">
        <v>13</v>
      </c>
      <c r="I4317">
        <f t="shared" si="69"/>
        <v>17</v>
      </c>
    </row>
    <row r="4318" spans="1:9">
      <c r="A4318" s="1">
        <v>42461.824999999997</v>
      </c>
      <c r="B4318" s="19">
        <v>42808</v>
      </c>
      <c r="C4318" s="21">
        <v>0.25</v>
      </c>
      <c r="D4318" s="20" t="s">
        <v>3031</v>
      </c>
      <c r="E4318" t="s">
        <v>18</v>
      </c>
      <c r="F4318" t="s">
        <v>71</v>
      </c>
      <c r="H4318" t="e">
        <v>#VALUE!</v>
      </c>
      <c r="I4318" t="e">
        <f t="shared" si="69"/>
        <v>#VALUE!</v>
      </c>
    </row>
    <row r="4319" spans="1:9">
      <c r="A4319" s="1">
        <v>42461.800694444442</v>
      </c>
      <c r="B4319" s="19">
        <v>42808</v>
      </c>
      <c r="C4319" s="21">
        <v>0.24930555555555556</v>
      </c>
      <c r="D4319" s="20" t="s">
        <v>3055</v>
      </c>
      <c r="E4319" t="s">
        <v>0</v>
      </c>
      <c r="G4319" t="s">
        <v>9</v>
      </c>
      <c r="H4319">
        <v>13</v>
      </c>
      <c r="I4319">
        <f t="shared" si="69"/>
        <v>17</v>
      </c>
    </row>
    <row r="4320" spans="1:9">
      <c r="A4320" s="1">
        <v>42461.709722222222</v>
      </c>
      <c r="B4320" s="19">
        <v>42809</v>
      </c>
      <c r="C4320" s="21">
        <v>0.93541666666666667</v>
      </c>
      <c r="D4320" s="20" t="s">
        <v>3049</v>
      </c>
      <c r="E4320" t="s">
        <v>6</v>
      </c>
      <c r="F4320" t="s">
        <v>76</v>
      </c>
      <c r="G4320" t="s">
        <v>65</v>
      </c>
      <c r="H4320">
        <v>3</v>
      </c>
      <c r="I4320">
        <f t="shared" si="69"/>
        <v>4</v>
      </c>
    </row>
    <row r="4321" spans="1:9">
      <c r="A4321" s="1">
        <v>42461.636111111111</v>
      </c>
      <c r="B4321" s="19">
        <v>42809</v>
      </c>
      <c r="C4321" s="21">
        <v>0.30625000000000002</v>
      </c>
      <c r="D4321" s="20" t="s">
        <v>3033</v>
      </c>
      <c r="E4321" t="s">
        <v>6</v>
      </c>
      <c r="F4321" t="s">
        <v>15</v>
      </c>
      <c r="G4321" t="s">
        <v>103</v>
      </c>
      <c r="H4321">
        <v>7</v>
      </c>
      <c r="I4321">
        <f t="shared" si="69"/>
        <v>9</v>
      </c>
    </row>
    <row r="4322" spans="1:9">
      <c r="A4322" s="1">
        <v>42461.520138888889</v>
      </c>
      <c r="B4322" s="19">
        <v>42809</v>
      </c>
      <c r="C4322" s="21">
        <v>0.13819444444444445</v>
      </c>
      <c r="D4322" s="20" t="s">
        <v>3053</v>
      </c>
      <c r="E4322" t="s">
        <v>6</v>
      </c>
      <c r="F4322" t="s">
        <v>12</v>
      </c>
      <c r="G4322" t="s">
        <v>416</v>
      </c>
      <c r="H4322">
        <v>4</v>
      </c>
      <c r="I4322">
        <f t="shared" si="69"/>
        <v>5</v>
      </c>
    </row>
    <row r="4323" spans="1:9">
      <c r="A4323" s="1">
        <v>42461.519444444442</v>
      </c>
      <c r="B4323" s="19">
        <v>42809</v>
      </c>
      <c r="C4323" s="21">
        <v>1.7361111111111112E-2</v>
      </c>
      <c r="D4323" s="20" t="s">
        <v>3050</v>
      </c>
      <c r="E4323" t="s">
        <v>6</v>
      </c>
      <c r="F4323" t="s">
        <v>15</v>
      </c>
      <c r="G4323" t="s">
        <v>417</v>
      </c>
      <c r="H4323">
        <v>9</v>
      </c>
      <c r="I4323">
        <f t="shared" si="69"/>
        <v>12</v>
      </c>
    </row>
    <row r="4324" spans="1:9">
      <c r="A4324" s="1">
        <v>42461.518055555556</v>
      </c>
      <c r="B4324" s="19">
        <v>42809</v>
      </c>
      <c r="C4324" s="21">
        <v>1.1111111111111112E-2</v>
      </c>
      <c r="D4324" s="20" t="s">
        <v>3050</v>
      </c>
      <c r="E4324" t="s">
        <v>6</v>
      </c>
      <c r="F4324" t="s">
        <v>46</v>
      </c>
      <c r="G4324" t="s">
        <v>418</v>
      </c>
      <c r="H4324">
        <v>7</v>
      </c>
      <c r="I4324">
        <f t="shared" si="69"/>
        <v>9</v>
      </c>
    </row>
    <row r="4325" spans="1:9">
      <c r="A4325" s="1">
        <v>42461.495138888888</v>
      </c>
      <c r="B4325" s="19">
        <v>42809</v>
      </c>
      <c r="C4325" s="21">
        <v>0.95972222222222225</v>
      </c>
      <c r="D4325" s="20" t="s">
        <v>3063</v>
      </c>
      <c r="E4325" t="s">
        <v>18</v>
      </c>
      <c r="F4325" t="s">
        <v>71</v>
      </c>
      <c r="G4325" t="s">
        <v>414</v>
      </c>
      <c r="H4325" t="e">
        <v>#VALUE!</v>
      </c>
      <c r="I4325" t="e">
        <f t="shared" si="69"/>
        <v>#VALUE!</v>
      </c>
    </row>
    <row r="4326" spans="1:9">
      <c r="A4326" s="1">
        <v>42461.461805555555</v>
      </c>
      <c r="B4326" s="19">
        <v>42809</v>
      </c>
      <c r="C4326" s="21">
        <v>0.91805555555555551</v>
      </c>
      <c r="D4326" s="20" t="s">
        <v>3049</v>
      </c>
      <c r="E4326" t="s">
        <v>0</v>
      </c>
      <c r="G4326" t="s">
        <v>415</v>
      </c>
      <c r="H4326">
        <v>13</v>
      </c>
      <c r="I4326">
        <f t="shared" si="69"/>
        <v>17</v>
      </c>
    </row>
    <row r="4327" spans="1:9">
      <c r="A4327" s="1">
        <v>42461.442361111112</v>
      </c>
      <c r="B4327" s="19">
        <v>42809</v>
      </c>
      <c r="C4327" s="21">
        <v>0.90972222222222221</v>
      </c>
      <c r="D4327" s="20" t="s">
        <v>3048</v>
      </c>
      <c r="E4327" t="s">
        <v>0</v>
      </c>
      <c r="F4327" t="s">
        <v>10</v>
      </c>
      <c r="G4327" t="s">
        <v>145</v>
      </c>
      <c r="H4327">
        <v>13</v>
      </c>
      <c r="I4327">
        <f t="shared" si="69"/>
        <v>17</v>
      </c>
    </row>
    <row r="4328" spans="1:9">
      <c r="A4328" s="1">
        <v>42461.44027777778</v>
      </c>
      <c r="B4328" s="19">
        <v>42809</v>
      </c>
      <c r="C4328" s="21">
        <v>0.25138888888888888</v>
      </c>
      <c r="D4328" s="20" t="s">
        <v>3031</v>
      </c>
      <c r="E4328" t="s">
        <v>0</v>
      </c>
      <c r="G4328" t="s">
        <v>9</v>
      </c>
      <c r="H4328">
        <v>13</v>
      </c>
      <c r="I4328">
        <f t="shared" si="69"/>
        <v>17</v>
      </c>
    </row>
    <row r="4329" spans="1:9">
      <c r="A4329" s="1">
        <v>42461.173611111109</v>
      </c>
      <c r="B4329" s="19">
        <v>42809</v>
      </c>
      <c r="C4329" s="21">
        <v>0.25138888888888888</v>
      </c>
      <c r="D4329" s="20" t="s">
        <v>3031</v>
      </c>
      <c r="E4329" t="s">
        <v>18</v>
      </c>
      <c r="F4329" t="s">
        <v>71</v>
      </c>
      <c r="H4329" t="e">
        <v>#VALUE!</v>
      </c>
      <c r="I4329" t="e">
        <f t="shared" si="69"/>
        <v>#VALUE!</v>
      </c>
    </row>
    <row r="4330" spans="1:9">
      <c r="A4330" s="1">
        <v>42461.856944444444</v>
      </c>
      <c r="B4330" s="19">
        <v>42809</v>
      </c>
      <c r="C4330" s="21">
        <v>6.2500000000000003E-3</v>
      </c>
      <c r="D4330" s="20" t="s">
        <v>3050</v>
      </c>
      <c r="E4330" t="s">
        <v>18</v>
      </c>
      <c r="F4330" t="s">
        <v>100</v>
      </c>
      <c r="G4330" t="s">
        <v>419</v>
      </c>
      <c r="H4330">
        <v>25</v>
      </c>
      <c r="I4330">
        <f t="shared" si="69"/>
        <v>31</v>
      </c>
    </row>
    <row r="4331" spans="1:9">
      <c r="A4331" s="1">
        <v>42461.682638888888</v>
      </c>
      <c r="B4331" s="19">
        <v>42810</v>
      </c>
      <c r="C4331" s="21">
        <v>0.99791666666666667</v>
      </c>
      <c r="D4331" s="20" t="s">
        <v>3063</v>
      </c>
      <c r="E4331" t="s">
        <v>2</v>
      </c>
      <c r="F4331" t="s">
        <v>3</v>
      </c>
      <c r="H4331">
        <v>19</v>
      </c>
      <c r="I4331">
        <f t="shared" si="69"/>
        <v>24</v>
      </c>
    </row>
    <row r="4332" spans="1:9">
      <c r="A4332" s="1">
        <v>42461.574305555558</v>
      </c>
      <c r="B4332" s="19">
        <v>42810</v>
      </c>
      <c r="C4332" s="21">
        <v>0.98472222222222228</v>
      </c>
      <c r="D4332" s="20" t="s">
        <v>3063</v>
      </c>
      <c r="E4332" t="s">
        <v>6</v>
      </c>
      <c r="F4332" t="s">
        <v>89</v>
      </c>
      <c r="G4332" t="s">
        <v>410</v>
      </c>
      <c r="H4332">
        <v>25</v>
      </c>
      <c r="I4332">
        <f t="shared" si="69"/>
        <v>31</v>
      </c>
    </row>
    <row r="4333" spans="1:9">
      <c r="A4333" s="1">
        <v>42461.564583333333</v>
      </c>
      <c r="B4333" s="19">
        <v>42810</v>
      </c>
      <c r="C4333" s="21">
        <v>0.52847222222222223</v>
      </c>
      <c r="D4333" s="20" t="s">
        <v>3038</v>
      </c>
      <c r="E4333" t="s">
        <v>2</v>
      </c>
      <c r="F4333" t="s">
        <v>3</v>
      </c>
      <c r="H4333">
        <v>4</v>
      </c>
      <c r="I4333">
        <f t="shared" si="69"/>
        <v>5</v>
      </c>
    </row>
    <row r="4334" spans="1:9">
      <c r="A4334" s="1">
        <v>42461.52847222222</v>
      </c>
      <c r="B4334" s="19">
        <v>42810</v>
      </c>
      <c r="C4334" s="21">
        <v>0.4826388888888889</v>
      </c>
      <c r="D4334" s="20" t="s">
        <v>3037</v>
      </c>
      <c r="E4334" t="s">
        <v>2</v>
      </c>
      <c r="F4334" t="s">
        <v>48</v>
      </c>
      <c r="H4334">
        <v>4</v>
      </c>
      <c r="I4334">
        <f t="shared" si="69"/>
        <v>5</v>
      </c>
    </row>
    <row r="4335" spans="1:9">
      <c r="A4335" s="1">
        <v>42461.524305555555</v>
      </c>
      <c r="B4335" s="19">
        <v>42810</v>
      </c>
      <c r="C4335" s="21">
        <v>0.44930555555555557</v>
      </c>
      <c r="D4335" s="20" t="s">
        <v>3036</v>
      </c>
      <c r="E4335" t="s">
        <v>2</v>
      </c>
      <c r="F4335" t="s">
        <v>48</v>
      </c>
      <c r="G4335" t="s">
        <v>412</v>
      </c>
      <c r="H4335">
        <v>7</v>
      </c>
      <c r="I4335">
        <f t="shared" si="69"/>
        <v>9</v>
      </c>
    </row>
    <row r="4336" spans="1:9">
      <c r="A4336" s="1">
        <v>42461.441666666666</v>
      </c>
      <c r="B4336" s="19">
        <v>42810</v>
      </c>
      <c r="C4336" s="21">
        <v>0.95972222222222225</v>
      </c>
      <c r="D4336" s="20" t="s">
        <v>3063</v>
      </c>
      <c r="E4336" t="s">
        <v>0</v>
      </c>
      <c r="F4336" t="s">
        <v>1</v>
      </c>
      <c r="H4336">
        <v>13</v>
      </c>
      <c r="I4336">
        <f t="shared" si="69"/>
        <v>17</v>
      </c>
    </row>
    <row r="4337" spans="1:9">
      <c r="A4337" s="1">
        <v>42461.255555555559</v>
      </c>
      <c r="B4337" s="19">
        <v>42810</v>
      </c>
      <c r="C4337" s="21">
        <v>0.94166666666666665</v>
      </c>
      <c r="D4337" s="20" t="s">
        <v>3049</v>
      </c>
      <c r="E4337" t="s">
        <v>149</v>
      </c>
      <c r="G4337" t="s">
        <v>411</v>
      </c>
      <c r="H4337">
        <v>31</v>
      </c>
      <c r="I4337">
        <f t="shared" si="69"/>
        <v>39</v>
      </c>
    </row>
    <row r="4338" spans="1:9">
      <c r="A4338" s="1">
        <v>42461.1875</v>
      </c>
      <c r="B4338" s="19">
        <v>42810</v>
      </c>
      <c r="C4338" s="21">
        <v>0.91874999999999996</v>
      </c>
      <c r="D4338" s="20" t="s">
        <v>3049</v>
      </c>
      <c r="E4338" t="s">
        <v>0</v>
      </c>
      <c r="G4338" t="s">
        <v>32</v>
      </c>
      <c r="H4338">
        <v>13</v>
      </c>
      <c r="I4338">
        <f t="shared" si="69"/>
        <v>17</v>
      </c>
    </row>
    <row r="4339" spans="1:9">
      <c r="A4339" s="1">
        <v>42461.180555555555</v>
      </c>
      <c r="B4339" s="19">
        <v>42810</v>
      </c>
      <c r="C4339" s="21">
        <v>0.25277777777777777</v>
      </c>
      <c r="D4339" s="20" t="s">
        <v>3031</v>
      </c>
      <c r="E4339" t="s">
        <v>0</v>
      </c>
      <c r="G4339" t="s">
        <v>9</v>
      </c>
      <c r="H4339">
        <v>13</v>
      </c>
      <c r="I4339">
        <f t="shared" si="69"/>
        <v>17</v>
      </c>
    </row>
    <row r="4340" spans="1:9">
      <c r="A4340" s="1">
        <v>42461.165277777778</v>
      </c>
      <c r="B4340" s="19">
        <v>42810</v>
      </c>
      <c r="C4340" s="21">
        <v>0.25277777777777777</v>
      </c>
      <c r="D4340" s="20" t="s">
        <v>3031</v>
      </c>
      <c r="E4340" t="s">
        <v>18</v>
      </c>
      <c r="F4340" t="s">
        <v>71</v>
      </c>
      <c r="H4340" t="e">
        <v>#VALUE!</v>
      </c>
      <c r="I4340" t="e">
        <f t="shared" si="69"/>
        <v>#VALUE!</v>
      </c>
    </row>
    <row r="4341" spans="1:9">
      <c r="A4341" s="1">
        <v>42461.148611111108</v>
      </c>
      <c r="B4341" s="19">
        <v>42810</v>
      </c>
      <c r="C4341" s="21">
        <v>8.7499999999999994E-2</v>
      </c>
      <c r="D4341" s="20" t="s">
        <v>3052</v>
      </c>
      <c r="E4341" t="s">
        <v>18</v>
      </c>
      <c r="F4341" t="s">
        <v>71</v>
      </c>
      <c r="G4341" t="s">
        <v>413</v>
      </c>
      <c r="H4341" t="e">
        <v>#VALUE!</v>
      </c>
      <c r="I4341" t="e">
        <f t="shared" si="69"/>
        <v>#VALUE!</v>
      </c>
    </row>
    <row r="4342" spans="1:9">
      <c r="A4342" s="1">
        <v>42461.136111111111</v>
      </c>
      <c r="B4342" s="19">
        <v>42810</v>
      </c>
      <c r="C4342" s="21">
        <v>4.9305555555555554E-2</v>
      </c>
      <c r="D4342" s="20" t="s">
        <v>3051</v>
      </c>
      <c r="E4342" t="s">
        <v>0</v>
      </c>
      <c r="F4342" t="s">
        <v>1</v>
      </c>
      <c r="H4342">
        <v>19</v>
      </c>
      <c r="I4342">
        <f t="shared" si="69"/>
        <v>24</v>
      </c>
    </row>
    <row r="4343" spans="1:9">
      <c r="A4343" s="1">
        <v>42461.122916666667</v>
      </c>
      <c r="B4343" s="19">
        <v>42810</v>
      </c>
      <c r="C4343" s="21">
        <v>4.7222222222222221E-2</v>
      </c>
      <c r="D4343" s="20" t="s">
        <v>3051</v>
      </c>
      <c r="E4343" t="s">
        <v>149</v>
      </c>
      <c r="G4343" t="s">
        <v>411</v>
      </c>
      <c r="H4343">
        <v>7</v>
      </c>
      <c r="I4343">
        <f t="shared" si="69"/>
        <v>9</v>
      </c>
    </row>
    <row r="4344" spans="1:9">
      <c r="A4344" s="1">
        <v>42461.098611111112</v>
      </c>
      <c r="B4344" s="19">
        <v>42811</v>
      </c>
      <c r="C4344" s="21">
        <v>0.9458333333333333</v>
      </c>
      <c r="D4344" s="20" t="s">
        <v>3049</v>
      </c>
      <c r="E4344" t="s">
        <v>6</v>
      </c>
      <c r="F4344" t="s">
        <v>46</v>
      </c>
      <c r="G4344" t="s">
        <v>65</v>
      </c>
      <c r="H4344">
        <v>5</v>
      </c>
      <c r="I4344">
        <f t="shared" si="69"/>
        <v>7</v>
      </c>
    </row>
    <row r="4345" spans="1:9">
      <c r="A4345" s="1">
        <v>42460.967361111114</v>
      </c>
      <c r="B4345" s="19">
        <v>42811</v>
      </c>
      <c r="C4345" s="21">
        <v>0.87569444444444444</v>
      </c>
      <c r="D4345" s="20" t="s">
        <v>3048</v>
      </c>
      <c r="E4345" t="s">
        <v>2</v>
      </c>
      <c r="F4345" t="s">
        <v>56</v>
      </c>
      <c r="G4345" t="s">
        <v>57</v>
      </c>
      <c r="H4345">
        <v>19</v>
      </c>
      <c r="I4345">
        <f t="shared" si="69"/>
        <v>24</v>
      </c>
    </row>
    <row r="4346" spans="1:9">
      <c r="A4346" s="1">
        <v>42460.954861111109</v>
      </c>
      <c r="B4346" s="19">
        <v>42811</v>
      </c>
      <c r="C4346" s="21">
        <v>0.52777777777777779</v>
      </c>
      <c r="D4346" s="20" t="s">
        <v>3038</v>
      </c>
      <c r="E4346" t="s">
        <v>6</v>
      </c>
      <c r="F4346" t="s">
        <v>76</v>
      </c>
      <c r="G4346" t="s">
        <v>407</v>
      </c>
      <c r="H4346">
        <v>7</v>
      </c>
      <c r="I4346">
        <f t="shared" si="69"/>
        <v>9</v>
      </c>
    </row>
    <row r="4347" spans="1:9">
      <c r="A4347" s="1">
        <v>42460.907638888886</v>
      </c>
      <c r="B4347" s="19">
        <v>42811</v>
      </c>
      <c r="C4347" s="21">
        <v>0.51180555555555551</v>
      </c>
      <c r="D4347" s="20" t="s">
        <v>3038</v>
      </c>
      <c r="E4347" t="s">
        <v>6</v>
      </c>
      <c r="F4347" t="s">
        <v>61</v>
      </c>
      <c r="H4347" t="e">
        <v>#VALUE!</v>
      </c>
      <c r="I4347" t="e">
        <f t="shared" si="69"/>
        <v>#VALUE!</v>
      </c>
    </row>
    <row r="4348" spans="1:9">
      <c r="A4348" s="1">
        <v>42460.722222222219</v>
      </c>
      <c r="B4348" s="19">
        <v>42811</v>
      </c>
      <c r="C4348" s="21">
        <v>0.42083333333333334</v>
      </c>
      <c r="D4348" s="20" t="s">
        <v>3036</v>
      </c>
      <c r="E4348" t="s">
        <v>6</v>
      </c>
      <c r="F4348" t="s">
        <v>15</v>
      </c>
      <c r="G4348" t="s">
        <v>408</v>
      </c>
      <c r="H4348">
        <v>56</v>
      </c>
      <c r="I4348">
        <f t="shared" si="69"/>
        <v>70</v>
      </c>
    </row>
    <row r="4349" spans="1:9">
      <c r="A4349" s="1">
        <v>42460.714583333334</v>
      </c>
      <c r="B4349" s="19">
        <v>42811</v>
      </c>
      <c r="C4349" s="21">
        <v>0.37708333333333333</v>
      </c>
      <c r="D4349" s="20" t="s">
        <v>3035</v>
      </c>
      <c r="E4349" t="s">
        <v>2</v>
      </c>
      <c r="F4349" t="s">
        <v>48</v>
      </c>
      <c r="H4349">
        <v>7</v>
      </c>
      <c r="I4349">
        <f t="shared" si="69"/>
        <v>9</v>
      </c>
    </row>
    <row r="4350" spans="1:9">
      <c r="A4350" s="1">
        <v>42460.673611111109</v>
      </c>
      <c r="B4350" s="19">
        <v>42811</v>
      </c>
      <c r="C4350" s="21">
        <v>0.9194444444444444</v>
      </c>
      <c r="D4350" s="20" t="s">
        <v>3049</v>
      </c>
      <c r="E4350" t="s">
        <v>0</v>
      </c>
      <c r="G4350" t="s">
        <v>32</v>
      </c>
      <c r="H4350">
        <v>13</v>
      </c>
      <c r="I4350">
        <f t="shared" si="69"/>
        <v>17</v>
      </c>
    </row>
    <row r="4351" spans="1:9">
      <c r="A4351" s="1">
        <v>42460.651388888888</v>
      </c>
      <c r="B4351" s="19">
        <v>42811</v>
      </c>
      <c r="C4351" s="21">
        <v>0.25069444444444444</v>
      </c>
      <c r="D4351" s="20" t="s">
        <v>3031</v>
      </c>
      <c r="E4351" t="s">
        <v>0</v>
      </c>
      <c r="G4351" t="s">
        <v>9</v>
      </c>
      <c r="H4351">
        <v>13</v>
      </c>
      <c r="I4351">
        <f t="shared" si="69"/>
        <v>17</v>
      </c>
    </row>
    <row r="4352" spans="1:9">
      <c r="A4352" s="1">
        <v>42460.612500000003</v>
      </c>
      <c r="B4352" s="19">
        <v>42811</v>
      </c>
      <c r="C4352" s="21">
        <v>8.5416666666666669E-2</v>
      </c>
      <c r="D4352" s="20" t="s">
        <v>3052</v>
      </c>
      <c r="E4352" t="s">
        <v>18</v>
      </c>
      <c r="F4352" t="s">
        <v>71</v>
      </c>
      <c r="G4352" t="s">
        <v>409</v>
      </c>
      <c r="H4352" t="e">
        <v>#VALUE!</v>
      </c>
      <c r="I4352" t="e">
        <f t="shared" si="69"/>
        <v>#VALUE!</v>
      </c>
    </row>
    <row r="4353" spans="1:9">
      <c r="A4353" s="1">
        <v>42460.543749999997</v>
      </c>
      <c r="B4353" s="19">
        <v>42812</v>
      </c>
      <c r="C4353" s="21">
        <v>0.2298611111111111</v>
      </c>
      <c r="D4353" s="20" t="s">
        <v>3055</v>
      </c>
      <c r="E4353" t="s">
        <v>6</v>
      </c>
      <c r="F4353" t="s">
        <v>12</v>
      </c>
      <c r="G4353" t="s">
        <v>45</v>
      </c>
      <c r="H4353">
        <v>5</v>
      </c>
      <c r="I4353">
        <f t="shared" si="69"/>
        <v>7</v>
      </c>
    </row>
    <row r="4354" spans="1:9">
      <c r="A4354" s="1">
        <v>42460.543749999997</v>
      </c>
      <c r="B4354" s="19">
        <v>42812</v>
      </c>
      <c r="C4354" s="21">
        <v>0.20972222222222223</v>
      </c>
      <c r="D4354" s="20" t="s">
        <v>3055</v>
      </c>
      <c r="E4354" t="s">
        <v>6</v>
      </c>
      <c r="F4354" t="s">
        <v>12</v>
      </c>
      <c r="G4354" t="s">
        <v>406</v>
      </c>
      <c r="H4354">
        <v>4</v>
      </c>
      <c r="I4354">
        <f t="shared" si="69"/>
        <v>5</v>
      </c>
    </row>
    <row r="4355" spans="1:9">
      <c r="A4355" s="1">
        <v>42460.527777777781</v>
      </c>
      <c r="B4355" s="19">
        <v>42814</v>
      </c>
      <c r="C4355" s="21">
        <v>0.8208333333333333</v>
      </c>
      <c r="D4355" s="20" t="s">
        <v>3046</v>
      </c>
      <c r="E4355" t="s">
        <v>6</v>
      </c>
      <c r="F4355" t="s">
        <v>76</v>
      </c>
      <c r="G4355" t="s">
        <v>65</v>
      </c>
      <c r="H4355">
        <v>3</v>
      </c>
      <c r="I4355">
        <f t="shared" ref="I4355:I4418" si="70">ROUNDUP((H4355*1.24), 0)</f>
        <v>4</v>
      </c>
    </row>
    <row r="4356" spans="1:9">
      <c r="A4356" s="1">
        <v>42460.434027777781</v>
      </c>
      <c r="B4356" s="19">
        <v>42814</v>
      </c>
      <c r="C4356" s="21">
        <v>0.61805555555555558</v>
      </c>
      <c r="D4356" s="20" t="s">
        <v>3040</v>
      </c>
      <c r="E4356" t="s">
        <v>6</v>
      </c>
      <c r="F4356" t="s">
        <v>12</v>
      </c>
      <c r="G4356" t="s">
        <v>45</v>
      </c>
      <c r="H4356">
        <v>3</v>
      </c>
      <c r="I4356">
        <f t="shared" si="70"/>
        <v>4</v>
      </c>
    </row>
    <row r="4357" spans="1:9">
      <c r="A4357" s="1">
        <v>42460.320138888892</v>
      </c>
      <c r="B4357" s="19">
        <v>42814</v>
      </c>
      <c r="C4357" s="21">
        <v>0.34791666666666665</v>
      </c>
      <c r="D4357" s="20" t="s">
        <v>3034</v>
      </c>
      <c r="E4357" t="s">
        <v>2</v>
      </c>
      <c r="F4357" t="s">
        <v>3</v>
      </c>
      <c r="G4357" t="s">
        <v>401</v>
      </c>
      <c r="H4357">
        <v>13</v>
      </c>
      <c r="I4357">
        <f t="shared" si="70"/>
        <v>17</v>
      </c>
    </row>
    <row r="4358" spans="1:9">
      <c r="A4358" s="1">
        <v>42460.320138888892</v>
      </c>
      <c r="B4358" s="19">
        <v>42814</v>
      </c>
      <c r="C4358" s="21">
        <v>0.34097222222222223</v>
      </c>
      <c r="D4358" s="20" t="s">
        <v>3034</v>
      </c>
      <c r="E4358" t="s">
        <v>6</v>
      </c>
      <c r="F4358" t="s">
        <v>21</v>
      </c>
      <c r="G4358" t="s">
        <v>402</v>
      </c>
      <c r="H4358">
        <v>7</v>
      </c>
      <c r="I4358">
        <f t="shared" si="70"/>
        <v>9</v>
      </c>
    </row>
    <row r="4359" spans="1:9">
      <c r="A4359" s="1">
        <v>42460.013194444444</v>
      </c>
      <c r="B4359" s="19">
        <v>42814</v>
      </c>
      <c r="C4359" s="21">
        <v>0.31180555555555556</v>
      </c>
      <c r="D4359" s="20" t="s">
        <v>3033</v>
      </c>
      <c r="E4359" t="s">
        <v>6</v>
      </c>
      <c r="F4359" t="s">
        <v>15</v>
      </c>
      <c r="G4359" t="s">
        <v>402</v>
      </c>
      <c r="H4359">
        <v>12</v>
      </c>
      <c r="I4359">
        <f t="shared" si="70"/>
        <v>15</v>
      </c>
    </row>
    <row r="4360" spans="1:9">
      <c r="A4360" s="1">
        <v>42460.840277777781</v>
      </c>
      <c r="B4360" s="19">
        <v>42814</v>
      </c>
      <c r="C4360" s="21">
        <v>0.29305555555555557</v>
      </c>
      <c r="D4360" s="20" t="s">
        <v>3033</v>
      </c>
      <c r="E4360" t="s">
        <v>2</v>
      </c>
      <c r="F4360" t="s">
        <v>5</v>
      </c>
      <c r="H4360">
        <v>7</v>
      </c>
      <c r="I4360">
        <f t="shared" si="70"/>
        <v>9</v>
      </c>
    </row>
    <row r="4361" spans="1:9">
      <c r="A4361" s="1">
        <v>42460.792361111111</v>
      </c>
      <c r="B4361" s="19">
        <v>42814</v>
      </c>
      <c r="C4361" s="21">
        <v>0.2673611111111111</v>
      </c>
      <c r="D4361" s="20" t="s">
        <v>3031</v>
      </c>
      <c r="E4361" t="s">
        <v>6</v>
      </c>
      <c r="F4361" t="s">
        <v>12</v>
      </c>
      <c r="G4361" t="s">
        <v>403</v>
      </c>
      <c r="H4361">
        <v>46</v>
      </c>
      <c r="I4361">
        <f t="shared" si="70"/>
        <v>58</v>
      </c>
    </row>
    <row r="4362" spans="1:9">
      <c r="A4362" s="1">
        <v>42460.765277777777</v>
      </c>
      <c r="B4362" s="19">
        <v>42814</v>
      </c>
      <c r="C4362" s="21">
        <v>0.94027777777777777</v>
      </c>
      <c r="D4362" s="20" t="s">
        <v>3049</v>
      </c>
      <c r="E4362" t="s">
        <v>77</v>
      </c>
      <c r="F4362" t="s">
        <v>78</v>
      </c>
      <c r="H4362">
        <v>7</v>
      </c>
      <c r="I4362">
        <f t="shared" si="70"/>
        <v>9</v>
      </c>
    </row>
    <row r="4363" spans="1:9">
      <c r="A4363" s="1">
        <v>42460.522222222222</v>
      </c>
      <c r="B4363" s="19">
        <v>42814</v>
      </c>
      <c r="C4363" s="21">
        <v>0.91736111111111107</v>
      </c>
      <c r="D4363" s="20" t="s">
        <v>3049</v>
      </c>
      <c r="E4363" t="s">
        <v>0</v>
      </c>
      <c r="G4363" t="s">
        <v>9</v>
      </c>
      <c r="H4363">
        <v>13</v>
      </c>
      <c r="I4363">
        <f t="shared" si="70"/>
        <v>17</v>
      </c>
    </row>
    <row r="4364" spans="1:9">
      <c r="A4364" s="1">
        <v>42460.448611111111</v>
      </c>
      <c r="B4364" s="19">
        <v>42814</v>
      </c>
      <c r="C4364" s="21">
        <v>0.58611111111111114</v>
      </c>
      <c r="D4364" s="20" t="s">
        <v>3040</v>
      </c>
      <c r="E4364" t="s">
        <v>0</v>
      </c>
      <c r="G4364" t="s">
        <v>32</v>
      </c>
      <c r="H4364">
        <v>13</v>
      </c>
      <c r="I4364">
        <f t="shared" si="70"/>
        <v>17</v>
      </c>
    </row>
    <row r="4365" spans="1:9">
      <c r="A4365" s="1">
        <v>42460.177083333336</v>
      </c>
      <c r="B4365" s="19">
        <v>42814</v>
      </c>
      <c r="C4365" s="21">
        <v>0.5625</v>
      </c>
      <c r="D4365" s="20" t="s">
        <v>3039</v>
      </c>
      <c r="E4365" t="s">
        <v>0</v>
      </c>
      <c r="G4365" t="s">
        <v>400</v>
      </c>
      <c r="H4365">
        <v>2</v>
      </c>
      <c r="I4365">
        <f t="shared" si="70"/>
        <v>3</v>
      </c>
    </row>
    <row r="4366" spans="1:9">
      <c r="A4366" s="1">
        <v>42459.908333333333</v>
      </c>
      <c r="B4366" s="19">
        <v>42814</v>
      </c>
      <c r="C4366" s="21">
        <v>0.25347222222222221</v>
      </c>
      <c r="D4366" s="20" t="s">
        <v>3031</v>
      </c>
      <c r="E4366" t="s">
        <v>0</v>
      </c>
      <c r="G4366" t="s">
        <v>404</v>
      </c>
      <c r="H4366">
        <v>50</v>
      </c>
      <c r="I4366">
        <f t="shared" si="70"/>
        <v>62</v>
      </c>
    </row>
    <row r="4367" spans="1:9">
      <c r="A4367" s="1">
        <v>42459.788888888892</v>
      </c>
      <c r="B4367" s="19">
        <v>42814</v>
      </c>
      <c r="C4367" s="21">
        <v>0.25347222222222221</v>
      </c>
      <c r="D4367" s="20" t="s">
        <v>3031</v>
      </c>
      <c r="E4367" t="s">
        <v>18</v>
      </c>
      <c r="F4367" t="s">
        <v>100</v>
      </c>
      <c r="G4367" t="s">
        <v>405</v>
      </c>
      <c r="H4367" t="e">
        <v>#VALUE!</v>
      </c>
      <c r="I4367" t="e">
        <f t="shared" si="70"/>
        <v>#VALUE!</v>
      </c>
    </row>
    <row r="4368" spans="1:9">
      <c r="A4368" s="1">
        <v>42459.710416666669</v>
      </c>
      <c r="B4368" s="19">
        <v>42815</v>
      </c>
      <c r="C4368" s="21">
        <v>0.72291666666666665</v>
      </c>
      <c r="D4368" s="20" t="s">
        <v>3044</v>
      </c>
      <c r="E4368" t="s">
        <v>6</v>
      </c>
      <c r="F4368" t="s">
        <v>12</v>
      </c>
      <c r="G4368" t="s">
        <v>394</v>
      </c>
      <c r="H4368">
        <v>5</v>
      </c>
      <c r="I4368">
        <f t="shared" si="70"/>
        <v>7</v>
      </c>
    </row>
    <row r="4369" spans="1:9">
      <c r="A4369" s="1">
        <v>42459.666666666664</v>
      </c>
      <c r="B4369" s="19">
        <v>42815</v>
      </c>
      <c r="C4369" s="21">
        <v>0.56527777777777777</v>
      </c>
      <c r="D4369" s="20" t="s">
        <v>3039</v>
      </c>
      <c r="E4369" t="s">
        <v>6</v>
      </c>
      <c r="F4369" t="s">
        <v>12</v>
      </c>
      <c r="G4369" t="s">
        <v>396</v>
      </c>
      <c r="H4369">
        <v>7</v>
      </c>
      <c r="I4369">
        <f t="shared" si="70"/>
        <v>9</v>
      </c>
    </row>
    <row r="4370" spans="1:9">
      <c r="A4370" s="1">
        <v>42459.629861111112</v>
      </c>
      <c r="B4370" s="19">
        <v>42815</v>
      </c>
      <c r="C4370" s="21">
        <v>0.91666666666666663</v>
      </c>
      <c r="D4370" s="20" t="s">
        <v>3049</v>
      </c>
      <c r="E4370" t="s">
        <v>0</v>
      </c>
      <c r="G4370" t="s">
        <v>9</v>
      </c>
      <c r="H4370">
        <v>13</v>
      </c>
      <c r="I4370">
        <f t="shared" si="70"/>
        <v>17</v>
      </c>
    </row>
    <row r="4371" spans="1:9">
      <c r="A4371" s="1">
        <v>42459.540277777778</v>
      </c>
      <c r="B4371" s="19">
        <v>42815</v>
      </c>
      <c r="C4371" s="21">
        <v>0.58819444444444446</v>
      </c>
      <c r="D4371" s="20" t="s">
        <v>3040</v>
      </c>
      <c r="E4371" t="s">
        <v>0</v>
      </c>
      <c r="G4371" t="s">
        <v>32</v>
      </c>
      <c r="H4371">
        <v>13</v>
      </c>
      <c r="I4371">
        <f t="shared" si="70"/>
        <v>17</v>
      </c>
    </row>
    <row r="4372" spans="1:9">
      <c r="A4372" s="1">
        <v>42459.540277777778</v>
      </c>
      <c r="B4372" s="19">
        <v>42815</v>
      </c>
      <c r="C4372" s="21">
        <v>0.56666666666666665</v>
      </c>
      <c r="D4372" s="20" t="s">
        <v>3039</v>
      </c>
      <c r="E4372" t="s">
        <v>0</v>
      </c>
      <c r="G4372" t="s">
        <v>395</v>
      </c>
      <c r="H4372">
        <v>4</v>
      </c>
      <c r="I4372">
        <f t="shared" si="70"/>
        <v>5</v>
      </c>
    </row>
    <row r="4373" spans="1:9">
      <c r="A4373" s="1">
        <v>42459.495833333334</v>
      </c>
      <c r="B4373" s="19">
        <v>42815</v>
      </c>
      <c r="C4373" s="21">
        <v>0.55555555555555558</v>
      </c>
      <c r="D4373" s="20" t="s">
        <v>3039</v>
      </c>
      <c r="E4373" t="s">
        <v>0</v>
      </c>
      <c r="G4373" t="s">
        <v>397</v>
      </c>
      <c r="H4373">
        <v>4</v>
      </c>
      <c r="I4373">
        <f t="shared" si="70"/>
        <v>5</v>
      </c>
    </row>
    <row r="4374" spans="1:9">
      <c r="A4374" s="1">
        <v>42459.431944444441</v>
      </c>
      <c r="B4374" s="19">
        <v>42815</v>
      </c>
      <c r="C4374" s="21">
        <v>0.39583333333333331</v>
      </c>
      <c r="D4374" s="20" t="s">
        <v>3035</v>
      </c>
      <c r="E4374" t="s">
        <v>149</v>
      </c>
      <c r="G4374" t="s">
        <v>398</v>
      </c>
      <c r="H4374">
        <v>38</v>
      </c>
      <c r="I4374">
        <f t="shared" si="70"/>
        <v>48</v>
      </c>
    </row>
    <row r="4375" spans="1:9">
      <c r="A4375" s="1">
        <v>42459.427083333336</v>
      </c>
      <c r="B4375" s="19">
        <v>42815</v>
      </c>
      <c r="C4375" s="21">
        <v>0.25138888888888888</v>
      </c>
      <c r="D4375" s="20" t="s">
        <v>3031</v>
      </c>
      <c r="E4375" t="s">
        <v>18</v>
      </c>
      <c r="F4375" t="s">
        <v>100</v>
      </c>
      <c r="G4375" t="s">
        <v>399</v>
      </c>
      <c r="H4375" t="e">
        <v>#VALUE!</v>
      </c>
      <c r="I4375" t="e">
        <f t="shared" si="70"/>
        <v>#VALUE!</v>
      </c>
    </row>
    <row r="4376" spans="1:9">
      <c r="A4376" s="1">
        <v>42459.40902777778</v>
      </c>
      <c r="B4376" s="19">
        <v>42816</v>
      </c>
      <c r="C4376" s="21">
        <v>0.95347222222222228</v>
      </c>
      <c r="D4376" s="20" t="s">
        <v>3049</v>
      </c>
      <c r="E4376" t="s">
        <v>6</v>
      </c>
      <c r="F4376" t="s">
        <v>26</v>
      </c>
      <c r="G4376" t="s">
        <v>382</v>
      </c>
      <c r="H4376">
        <v>9</v>
      </c>
      <c r="I4376">
        <f t="shared" si="70"/>
        <v>12</v>
      </c>
    </row>
    <row r="4377" spans="1:9">
      <c r="A4377" s="1">
        <v>42459.375694444447</v>
      </c>
      <c r="B4377" s="19">
        <v>42816</v>
      </c>
      <c r="C4377" s="21">
        <v>0.93958333333333333</v>
      </c>
      <c r="D4377" s="20" t="s">
        <v>3049</v>
      </c>
      <c r="E4377" t="s">
        <v>6</v>
      </c>
      <c r="F4377" t="s">
        <v>21</v>
      </c>
      <c r="G4377" t="s">
        <v>383</v>
      </c>
      <c r="H4377" t="e">
        <v>#VALUE!</v>
      </c>
      <c r="I4377" t="e">
        <f t="shared" si="70"/>
        <v>#VALUE!</v>
      </c>
    </row>
    <row r="4378" spans="1:9">
      <c r="A4378" s="1">
        <v>42459.375694444447</v>
      </c>
      <c r="B4378" s="19">
        <v>42816</v>
      </c>
      <c r="C4378" s="21">
        <v>0.87777777777777777</v>
      </c>
      <c r="D4378" s="20" t="s">
        <v>3048</v>
      </c>
      <c r="E4378" t="s">
        <v>6</v>
      </c>
      <c r="F4378" t="s">
        <v>76</v>
      </c>
      <c r="G4378" t="s">
        <v>384</v>
      </c>
      <c r="H4378">
        <v>9</v>
      </c>
      <c r="I4378">
        <f t="shared" si="70"/>
        <v>12</v>
      </c>
    </row>
    <row r="4379" spans="1:9">
      <c r="A4379" s="1">
        <v>42459.343055555553</v>
      </c>
      <c r="B4379" s="19">
        <v>42816</v>
      </c>
      <c r="C4379" s="21">
        <v>0.82222222222222219</v>
      </c>
      <c r="D4379" s="20" t="s">
        <v>3046</v>
      </c>
      <c r="E4379" t="s">
        <v>6</v>
      </c>
      <c r="F4379" t="s">
        <v>26</v>
      </c>
      <c r="G4379" t="s">
        <v>54</v>
      </c>
      <c r="H4379">
        <v>7</v>
      </c>
      <c r="I4379">
        <f t="shared" si="70"/>
        <v>9</v>
      </c>
    </row>
    <row r="4380" spans="1:9">
      <c r="A4380" s="1">
        <v>42459.335416666669</v>
      </c>
      <c r="B4380" s="19">
        <v>42816</v>
      </c>
      <c r="C4380" s="21">
        <v>0.75069444444444444</v>
      </c>
      <c r="D4380" s="20" t="s">
        <v>3045</v>
      </c>
      <c r="E4380" t="s">
        <v>2</v>
      </c>
      <c r="F4380" t="s">
        <v>3</v>
      </c>
      <c r="G4380" t="s">
        <v>385</v>
      </c>
      <c r="H4380">
        <v>25</v>
      </c>
      <c r="I4380">
        <f t="shared" si="70"/>
        <v>31</v>
      </c>
    </row>
    <row r="4381" spans="1:9">
      <c r="A4381" s="1">
        <v>42459.32916666667</v>
      </c>
      <c r="B4381" s="19">
        <v>42816</v>
      </c>
      <c r="C4381" s="21">
        <v>0.69305555555555554</v>
      </c>
      <c r="D4381" s="20" t="s">
        <v>3043</v>
      </c>
      <c r="E4381" t="s">
        <v>6</v>
      </c>
      <c r="F4381" t="s">
        <v>46</v>
      </c>
      <c r="G4381" t="s">
        <v>65</v>
      </c>
      <c r="H4381">
        <v>3</v>
      </c>
      <c r="I4381">
        <f t="shared" si="70"/>
        <v>4</v>
      </c>
    </row>
    <row r="4382" spans="1:9">
      <c r="A4382" s="1">
        <v>42459.107638888891</v>
      </c>
      <c r="B4382" s="19">
        <v>42816</v>
      </c>
      <c r="C4382" s="21">
        <v>0.4909722222222222</v>
      </c>
      <c r="D4382" s="20" t="s">
        <v>3037</v>
      </c>
      <c r="E4382" t="s">
        <v>6</v>
      </c>
      <c r="F4382" t="s">
        <v>21</v>
      </c>
      <c r="G4382" t="s">
        <v>389</v>
      </c>
      <c r="H4382">
        <v>8</v>
      </c>
      <c r="I4382">
        <f t="shared" si="70"/>
        <v>10</v>
      </c>
    </row>
    <row r="4383" spans="1:9">
      <c r="A4383" s="1">
        <v>42459.04583333333</v>
      </c>
      <c r="B4383" s="19">
        <v>42816</v>
      </c>
      <c r="C4383" s="21">
        <v>0.38124999999999998</v>
      </c>
      <c r="D4383" s="20" t="s">
        <v>3035</v>
      </c>
      <c r="E4383" t="s">
        <v>2</v>
      </c>
      <c r="F4383" t="s">
        <v>48</v>
      </c>
      <c r="G4383" t="s">
        <v>390</v>
      </c>
      <c r="H4383">
        <v>7</v>
      </c>
      <c r="I4383">
        <f t="shared" si="70"/>
        <v>9</v>
      </c>
    </row>
    <row r="4384" spans="1:9">
      <c r="A4384" s="1">
        <v>42459.013888888891</v>
      </c>
      <c r="B4384" s="19">
        <v>42816</v>
      </c>
      <c r="C4384" s="21">
        <v>0.24374999999999999</v>
      </c>
      <c r="D4384" s="20" t="s">
        <v>3055</v>
      </c>
      <c r="E4384" t="s">
        <v>6</v>
      </c>
      <c r="F4384" t="s">
        <v>46</v>
      </c>
      <c r="H4384">
        <v>8</v>
      </c>
      <c r="I4384">
        <f t="shared" si="70"/>
        <v>10</v>
      </c>
    </row>
    <row r="4385" spans="1:9">
      <c r="A4385" s="1">
        <v>42459.958333333336</v>
      </c>
      <c r="B4385" s="19">
        <v>42816</v>
      </c>
      <c r="C4385" s="21">
        <v>0.15</v>
      </c>
      <c r="D4385" s="20" t="s">
        <v>3053</v>
      </c>
      <c r="E4385" t="s">
        <v>6</v>
      </c>
      <c r="F4385" t="s">
        <v>46</v>
      </c>
      <c r="H4385">
        <v>4</v>
      </c>
      <c r="I4385">
        <f t="shared" si="70"/>
        <v>5</v>
      </c>
    </row>
    <row r="4386" spans="1:9">
      <c r="A4386" s="1">
        <v>42459.916666666664</v>
      </c>
      <c r="B4386" s="19">
        <v>42816</v>
      </c>
      <c r="C4386" s="21">
        <v>0.12152777777777778</v>
      </c>
      <c r="D4386" s="20" t="s">
        <v>3052</v>
      </c>
      <c r="E4386" t="s">
        <v>6</v>
      </c>
      <c r="F4386" t="s">
        <v>21</v>
      </c>
      <c r="G4386" t="s">
        <v>392</v>
      </c>
      <c r="H4386">
        <v>7</v>
      </c>
      <c r="I4386">
        <f t="shared" si="70"/>
        <v>9</v>
      </c>
    </row>
    <row r="4387" spans="1:9">
      <c r="A4387" s="1">
        <v>42459.905555555553</v>
      </c>
      <c r="B4387" s="19">
        <v>42816</v>
      </c>
      <c r="C4387" s="21">
        <v>0.92083333333333328</v>
      </c>
      <c r="D4387" s="20" t="s">
        <v>3049</v>
      </c>
      <c r="E4387" t="s">
        <v>0</v>
      </c>
      <c r="G4387" t="s">
        <v>9</v>
      </c>
      <c r="H4387">
        <v>13</v>
      </c>
      <c r="I4387">
        <f t="shared" si="70"/>
        <v>17</v>
      </c>
    </row>
    <row r="4388" spans="1:9">
      <c r="A4388" s="1">
        <v>42459.880555555559</v>
      </c>
      <c r="B4388" s="19">
        <v>42816</v>
      </c>
      <c r="C4388" s="21">
        <v>0.62430555555555556</v>
      </c>
      <c r="D4388" s="20" t="s">
        <v>3040</v>
      </c>
      <c r="E4388" t="s">
        <v>77</v>
      </c>
      <c r="G4388" t="s">
        <v>386</v>
      </c>
      <c r="H4388">
        <v>13</v>
      </c>
      <c r="I4388">
        <f t="shared" si="70"/>
        <v>17</v>
      </c>
    </row>
    <row r="4389" spans="1:9">
      <c r="A4389" s="1">
        <v>42459.854861111111</v>
      </c>
      <c r="B4389" s="19">
        <v>42816</v>
      </c>
      <c r="C4389" s="21">
        <v>0.59375</v>
      </c>
      <c r="D4389" s="20" t="s">
        <v>3040</v>
      </c>
      <c r="E4389" t="s">
        <v>18</v>
      </c>
      <c r="F4389" t="s">
        <v>100</v>
      </c>
      <c r="G4389" t="s">
        <v>387</v>
      </c>
      <c r="H4389" t="e">
        <v>#VALUE!</v>
      </c>
      <c r="I4389" t="e">
        <f t="shared" si="70"/>
        <v>#VALUE!</v>
      </c>
    </row>
    <row r="4390" spans="1:9">
      <c r="A4390" s="1">
        <v>42459.845138888886</v>
      </c>
      <c r="B4390" s="19">
        <v>42816</v>
      </c>
      <c r="C4390" s="21">
        <v>0.58194444444444449</v>
      </c>
      <c r="D4390" s="20" t="s">
        <v>3039</v>
      </c>
      <c r="E4390" t="s">
        <v>0</v>
      </c>
      <c r="G4390" t="s">
        <v>32</v>
      </c>
      <c r="H4390">
        <v>13</v>
      </c>
      <c r="I4390">
        <f t="shared" si="70"/>
        <v>17</v>
      </c>
    </row>
    <row r="4391" spans="1:9">
      <c r="A4391" s="1">
        <v>42459.59652777778</v>
      </c>
      <c r="B4391" s="19">
        <v>42816</v>
      </c>
      <c r="C4391" s="21">
        <v>0.57361111111111107</v>
      </c>
      <c r="D4391" s="20" t="s">
        <v>3039</v>
      </c>
      <c r="E4391" t="s">
        <v>0</v>
      </c>
      <c r="G4391" t="s">
        <v>388</v>
      </c>
      <c r="H4391">
        <v>7</v>
      </c>
      <c r="I4391">
        <f t="shared" si="70"/>
        <v>9</v>
      </c>
    </row>
    <row r="4392" spans="1:9">
      <c r="A4392" s="1">
        <v>42459.553472222222</v>
      </c>
      <c r="B4392" s="19">
        <v>42816</v>
      </c>
      <c r="C4392" s="21">
        <v>0.57361111111111107</v>
      </c>
      <c r="D4392" s="20" t="s">
        <v>3039</v>
      </c>
      <c r="E4392" t="s">
        <v>0</v>
      </c>
      <c r="F4392" t="s">
        <v>10</v>
      </c>
      <c r="G4392" t="s">
        <v>255</v>
      </c>
      <c r="H4392">
        <v>13</v>
      </c>
      <c r="I4392">
        <f t="shared" si="70"/>
        <v>17</v>
      </c>
    </row>
    <row r="4393" spans="1:9">
      <c r="A4393" s="1">
        <v>42459.49722222222</v>
      </c>
      <c r="B4393" s="19">
        <v>42816</v>
      </c>
      <c r="C4393" s="21">
        <v>0.25277777777777777</v>
      </c>
      <c r="D4393" s="20" t="s">
        <v>3031</v>
      </c>
      <c r="E4393" t="s">
        <v>18</v>
      </c>
      <c r="F4393" t="s">
        <v>100</v>
      </c>
      <c r="G4393" t="s">
        <v>391</v>
      </c>
      <c r="H4393" t="e">
        <v>#VALUE!</v>
      </c>
      <c r="I4393" t="e">
        <f t="shared" si="70"/>
        <v>#VALUE!</v>
      </c>
    </row>
    <row r="4394" spans="1:9">
      <c r="A4394" s="1">
        <v>42459.482638888891</v>
      </c>
      <c r="B4394" s="19">
        <v>42816</v>
      </c>
      <c r="C4394" s="21">
        <v>0.15763888888888888</v>
      </c>
      <c r="D4394" s="20" t="s">
        <v>3053</v>
      </c>
      <c r="E4394" t="s">
        <v>77</v>
      </c>
      <c r="F4394" t="s">
        <v>78</v>
      </c>
      <c r="H4394">
        <v>7</v>
      </c>
      <c r="I4394">
        <f t="shared" si="70"/>
        <v>9</v>
      </c>
    </row>
    <row r="4395" spans="1:9">
      <c r="A4395" s="1">
        <v>42459.46875</v>
      </c>
      <c r="B4395" s="19">
        <v>42816</v>
      </c>
      <c r="C4395" s="21">
        <v>5.2083333333333336E-2</v>
      </c>
      <c r="D4395" s="20" t="s">
        <v>3051</v>
      </c>
      <c r="E4395" t="s">
        <v>149</v>
      </c>
      <c r="F4395" t="s">
        <v>150</v>
      </c>
      <c r="G4395" t="s">
        <v>393</v>
      </c>
      <c r="H4395">
        <v>13</v>
      </c>
      <c r="I4395">
        <f t="shared" si="70"/>
        <v>17</v>
      </c>
    </row>
    <row r="4396" spans="1:9">
      <c r="A4396" s="1">
        <v>42459.445833333331</v>
      </c>
      <c r="B4396" s="19">
        <v>42817</v>
      </c>
      <c r="C4396" s="21">
        <v>0.98333333333333328</v>
      </c>
      <c r="D4396" s="20" t="s">
        <v>3063</v>
      </c>
      <c r="E4396" t="s">
        <v>6</v>
      </c>
      <c r="H4396">
        <v>0</v>
      </c>
      <c r="I4396">
        <f t="shared" si="70"/>
        <v>0</v>
      </c>
    </row>
    <row r="4397" spans="1:9">
      <c r="A4397" s="1">
        <v>42459.380555555559</v>
      </c>
      <c r="B4397" s="19">
        <v>42817</v>
      </c>
      <c r="C4397" s="21">
        <v>0.5444444444444444</v>
      </c>
      <c r="D4397" s="20" t="s">
        <v>3039</v>
      </c>
      <c r="E4397" t="s">
        <v>6</v>
      </c>
      <c r="F4397" t="s">
        <v>76</v>
      </c>
      <c r="G4397" t="s">
        <v>374</v>
      </c>
      <c r="H4397">
        <v>13</v>
      </c>
      <c r="I4397">
        <f t="shared" si="70"/>
        <v>17</v>
      </c>
    </row>
    <row r="4398" spans="1:9">
      <c r="A4398" s="1">
        <v>42459.322916666664</v>
      </c>
      <c r="B4398" s="19">
        <v>42817</v>
      </c>
      <c r="C4398" s="21">
        <v>0.49583333333333335</v>
      </c>
      <c r="D4398" s="20" t="s">
        <v>3037</v>
      </c>
      <c r="E4398" t="s">
        <v>6</v>
      </c>
      <c r="F4398" t="s">
        <v>167</v>
      </c>
      <c r="G4398" t="s">
        <v>65</v>
      </c>
      <c r="H4398">
        <v>5</v>
      </c>
      <c r="I4398">
        <f t="shared" si="70"/>
        <v>7</v>
      </c>
    </row>
    <row r="4399" spans="1:9">
      <c r="A4399" s="1">
        <v>42459.283333333333</v>
      </c>
      <c r="B4399" s="19">
        <v>42817</v>
      </c>
      <c r="C4399" s="21">
        <v>0.42916666666666664</v>
      </c>
      <c r="D4399" s="20" t="s">
        <v>3036</v>
      </c>
      <c r="E4399" t="s">
        <v>2</v>
      </c>
      <c r="F4399" t="s">
        <v>48</v>
      </c>
      <c r="G4399" t="s">
        <v>376</v>
      </c>
      <c r="H4399">
        <v>13</v>
      </c>
      <c r="I4399">
        <f t="shared" si="70"/>
        <v>17</v>
      </c>
    </row>
    <row r="4400" spans="1:9">
      <c r="A4400" s="1">
        <v>42459.275000000001</v>
      </c>
      <c r="B4400" s="19">
        <v>42817</v>
      </c>
      <c r="C4400" s="21">
        <v>0.36458333333333331</v>
      </c>
      <c r="D4400" s="20" t="s">
        <v>3034</v>
      </c>
      <c r="E4400" t="s">
        <v>6</v>
      </c>
      <c r="F4400" t="s">
        <v>12</v>
      </c>
      <c r="G4400" t="s">
        <v>377</v>
      </c>
      <c r="H4400">
        <v>4</v>
      </c>
      <c r="I4400">
        <f t="shared" si="70"/>
        <v>5</v>
      </c>
    </row>
    <row r="4401" spans="1:9">
      <c r="A4401" s="1">
        <v>42459.251388888886</v>
      </c>
      <c r="B4401" s="19">
        <v>42817</v>
      </c>
      <c r="C4401" s="21">
        <v>0.23958333333333334</v>
      </c>
      <c r="D4401" s="20" t="s">
        <v>3055</v>
      </c>
      <c r="E4401" t="s">
        <v>6</v>
      </c>
      <c r="F4401" t="s">
        <v>76</v>
      </c>
      <c r="G4401" t="s">
        <v>65</v>
      </c>
      <c r="H4401">
        <v>7</v>
      </c>
      <c r="I4401">
        <f t="shared" si="70"/>
        <v>9</v>
      </c>
    </row>
    <row r="4402" spans="1:9">
      <c r="A4402" s="1">
        <v>42459.232638888891</v>
      </c>
      <c r="B4402" s="19">
        <v>42817</v>
      </c>
      <c r="C4402" s="21">
        <v>5.347222222222222E-2</v>
      </c>
      <c r="D4402" s="20" t="s">
        <v>3051</v>
      </c>
      <c r="E4402" t="s">
        <v>6</v>
      </c>
      <c r="F4402" t="s">
        <v>26</v>
      </c>
      <c r="G4402" t="s">
        <v>380</v>
      </c>
      <c r="H4402">
        <v>7</v>
      </c>
      <c r="I4402">
        <f t="shared" si="70"/>
        <v>9</v>
      </c>
    </row>
    <row r="4403" spans="1:9">
      <c r="A4403" s="1">
        <v>42459.015277777777</v>
      </c>
      <c r="B4403" s="19">
        <v>42817</v>
      </c>
      <c r="C4403" s="21">
        <v>0.91111111111111109</v>
      </c>
      <c r="D4403" s="20" t="s">
        <v>3048</v>
      </c>
      <c r="E4403" t="s">
        <v>18</v>
      </c>
      <c r="F4403" t="s">
        <v>71</v>
      </c>
      <c r="H4403">
        <v>12</v>
      </c>
      <c r="I4403">
        <f t="shared" si="70"/>
        <v>15</v>
      </c>
    </row>
    <row r="4404" spans="1:9">
      <c r="A4404" s="1">
        <v>42458.995138888888</v>
      </c>
      <c r="B4404" s="19">
        <v>42817</v>
      </c>
      <c r="C4404" s="21">
        <v>0.8354166666666667</v>
      </c>
      <c r="D4404" s="20" t="s">
        <v>3047</v>
      </c>
      <c r="E4404" t="s">
        <v>18</v>
      </c>
      <c r="F4404" t="s">
        <v>71</v>
      </c>
      <c r="H4404">
        <v>4</v>
      </c>
      <c r="I4404">
        <f t="shared" si="70"/>
        <v>5</v>
      </c>
    </row>
    <row r="4405" spans="1:9">
      <c r="A4405" s="1">
        <v>42458.972222222219</v>
      </c>
      <c r="B4405" s="19">
        <v>42817</v>
      </c>
      <c r="C4405" s="21">
        <v>0.79166666666666663</v>
      </c>
      <c r="D4405" s="20" t="s">
        <v>3046</v>
      </c>
      <c r="E4405" t="s">
        <v>18</v>
      </c>
      <c r="F4405" t="s">
        <v>71</v>
      </c>
      <c r="H4405">
        <v>5</v>
      </c>
      <c r="I4405">
        <f t="shared" si="70"/>
        <v>7</v>
      </c>
    </row>
    <row r="4406" spans="1:9">
      <c r="A4406" s="1">
        <v>42458.90902777778</v>
      </c>
      <c r="B4406" s="19">
        <v>42817</v>
      </c>
      <c r="C4406" s="21">
        <v>0.78888888888888886</v>
      </c>
      <c r="D4406" s="20" t="s">
        <v>3045</v>
      </c>
      <c r="E4406" t="s">
        <v>18</v>
      </c>
      <c r="F4406" t="s">
        <v>71</v>
      </c>
      <c r="H4406">
        <v>4</v>
      </c>
      <c r="I4406">
        <f t="shared" si="70"/>
        <v>5</v>
      </c>
    </row>
    <row r="4407" spans="1:9">
      <c r="A4407" s="1">
        <v>42458.883333333331</v>
      </c>
      <c r="B4407" s="19">
        <v>42817</v>
      </c>
      <c r="C4407" s="21">
        <v>0.70972222222222225</v>
      </c>
      <c r="D4407" s="20" t="s">
        <v>3044</v>
      </c>
      <c r="E4407" t="s">
        <v>18</v>
      </c>
      <c r="F4407" t="s">
        <v>71</v>
      </c>
      <c r="H4407">
        <v>7</v>
      </c>
      <c r="I4407">
        <f t="shared" si="70"/>
        <v>9</v>
      </c>
    </row>
    <row r="4408" spans="1:9">
      <c r="A4408" s="1">
        <v>42458.831944444442</v>
      </c>
      <c r="B4408" s="19">
        <v>42817</v>
      </c>
      <c r="C4408" s="21">
        <v>0.6791666666666667</v>
      </c>
      <c r="D4408" s="20" t="s">
        <v>3043</v>
      </c>
      <c r="E4408" t="s">
        <v>18</v>
      </c>
      <c r="F4408" t="s">
        <v>71</v>
      </c>
      <c r="H4408">
        <v>10</v>
      </c>
      <c r="I4408">
        <f t="shared" si="70"/>
        <v>13</v>
      </c>
    </row>
    <row r="4409" spans="1:9">
      <c r="A4409" s="1">
        <v>42458.714583333334</v>
      </c>
      <c r="B4409" s="19">
        <v>42817</v>
      </c>
      <c r="C4409" s="21">
        <v>0.62569444444444444</v>
      </c>
      <c r="D4409" s="20" t="s">
        <v>3042</v>
      </c>
      <c r="E4409" t="s">
        <v>18</v>
      </c>
      <c r="F4409" t="s">
        <v>71</v>
      </c>
      <c r="H4409">
        <v>12</v>
      </c>
      <c r="I4409">
        <f t="shared" si="70"/>
        <v>15</v>
      </c>
    </row>
    <row r="4410" spans="1:9">
      <c r="A4410" s="1">
        <v>42458.667361111111</v>
      </c>
      <c r="B4410" s="19">
        <v>42817</v>
      </c>
      <c r="C4410" s="21">
        <v>0.6020833333333333</v>
      </c>
      <c r="D4410" s="20" t="s">
        <v>3040</v>
      </c>
      <c r="E4410" t="s">
        <v>18</v>
      </c>
      <c r="F4410" t="s">
        <v>71</v>
      </c>
      <c r="G4410" t="s">
        <v>373</v>
      </c>
      <c r="H4410">
        <v>13</v>
      </c>
      <c r="I4410">
        <f t="shared" si="70"/>
        <v>17</v>
      </c>
    </row>
    <row r="4411" spans="1:9">
      <c r="A4411" s="1">
        <v>42458.629861111112</v>
      </c>
      <c r="B4411" s="19">
        <v>42817</v>
      </c>
      <c r="C4411" s="21">
        <v>0.59166666666666667</v>
      </c>
      <c r="D4411" s="20" t="s">
        <v>3040</v>
      </c>
      <c r="E4411" t="s">
        <v>0</v>
      </c>
      <c r="G4411" t="s">
        <v>348</v>
      </c>
      <c r="H4411">
        <v>25</v>
      </c>
      <c r="I4411">
        <f t="shared" si="70"/>
        <v>31</v>
      </c>
    </row>
    <row r="4412" spans="1:9">
      <c r="A4412" s="1">
        <v>42458.396527777775</v>
      </c>
      <c r="B4412" s="19">
        <v>42817</v>
      </c>
      <c r="C4412" s="21">
        <v>0.58611111111111114</v>
      </c>
      <c r="D4412" s="20" t="s">
        <v>3040</v>
      </c>
      <c r="E4412" t="s">
        <v>0</v>
      </c>
      <c r="G4412" t="s">
        <v>32</v>
      </c>
      <c r="H4412">
        <v>13</v>
      </c>
      <c r="I4412">
        <f t="shared" si="70"/>
        <v>17</v>
      </c>
    </row>
    <row r="4413" spans="1:9">
      <c r="A4413" s="1">
        <v>42458.989583333336</v>
      </c>
      <c r="B4413" s="19">
        <v>42817</v>
      </c>
      <c r="C4413" s="21">
        <v>0.54166666666666663</v>
      </c>
      <c r="D4413" s="20" t="s">
        <v>3039</v>
      </c>
      <c r="E4413" t="s">
        <v>0</v>
      </c>
      <c r="G4413" t="s">
        <v>375</v>
      </c>
      <c r="H4413">
        <v>2</v>
      </c>
      <c r="I4413">
        <f t="shared" si="70"/>
        <v>3</v>
      </c>
    </row>
    <row r="4414" spans="1:9">
      <c r="A4414" s="1">
        <v>42458.947222222225</v>
      </c>
      <c r="B4414" s="19">
        <v>42817</v>
      </c>
      <c r="C4414" s="21">
        <v>0.26805555555555555</v>
      </c>
      <c r="D4414" s="20" t="s">
        <v>3031</v>
      </c>
      <c r="E4414" t="s">
        <v>0</v>
      </c>
      <c r="G4414" t="s">
        <v>378</v>
      </c>
      <c r="H4414">
        <v>31</v>
      </c>
      <c r="I4414">
        <f t="shared" si="70"/>
        <v>39</v>
      </c>
    </row>
    <row r="4415" spans="1:9">
      <c r="A4415" s="1">
        <v>42458.877083333333</v>
      </c>
      <c r="B4415" s="19">
        <v>42817</v>
      </c>
      <c r="C4415" s="21">
        <v>0.25069444444444444</v>
      </c>
      <c r="D4415" s="20" t="s">
        <v>3031</v>
      </c>
      <c r="E4415" t="s">
        <v>18</v>
      </c>
      <c r="F4415" t="s">
        <v>100</v>
      </c>
      <c r="G4415" t="s">
        <v>362</v>
      </c>
      <c r="H4415" t="e">
        <v>#VALUE!</v>
      </c>
      <c r="I4415" t="e">
        <f t="shared" si="70"/>
        <v>#VALUE!</v>
      </c>
    </row>
    <row r="4416" spans="1:9">
      <c r="A4416" s="1">
        <v>42458.834722222222</v>
      </c>
      <c r="B4416" s="19">
        <v>42817</v>
      </c>
      <c r="C4416" s="21">
        <v>0.22847222222222222</v>
      </c>
      <c r="D4416" s="20" t="s">
        <v>3055</v>
      </c>
      <c r="E4416" t="s">
        <v>33</v>
      </c>
      <c r="G4416" t="s">
        <v>379</v>
      </c>
      <c r="H4416" t="e">
        <v>#VALUE!</v>
      </c>
      <c r="I4416" t="e">
        <f t="shared" si="70"/>
        <v>#VALUE!</v>
      </c>
    </row>
    <row r="4417" spans="1:9">
      <c r="A4417" s="1">
        <v>42458.793055555558</v>
      </c>
      <c r="B4417" s="19">
        <v>42817</v>
      </c>
      <c r="C4417" s="21">
        <v>2.5000000000000001E-2</v>
      </c>
      <c r="D4417" s="20" t="s">
        <v>3050</v>
      </c>
      <c r="E4417" t="s">
        <v>0</v>
      </c>
      <c r="G4417" t="s">
        <v>381</v>
      </c>
      <c r="H4417">
        <v>44</v>
      </c>
      <c r="I4417">
        <f t="shared" si="70"/>
        <v>55</v>
      </c>
    </row>
    <row r="4418" spans="1:9">
      <c r="A4418" s="1">
        <v>42458.754861111112</v>
      </c>
      <c r="B4418" s="19">
        <v>42821</v>
      </c>
      <c r="C4418" s="21">
        <v>0.76249999999999996</v>
      </c>
      <c r="D4418" s="20" t="s">
        <v>3045</v>
      </c>
      <c r="E4418" t="s">
        <v>6</v>
      </c>
      <c r="F4418" t="s">
        <v>76</v>
      </c>
      <c r="G4418" t="s">
        <v>370</v>
      </c>
      <c r="H4418">
        <v>7</v>
      </c>
      <c r="I4418">
        <f t="shared" si="70"/>
        <v>9</v>
      </c>
    </row>
    <row r="4419" spans="1:9">
      <c r="A4419" s="1">
        <v>42458.729166666664</v>
      </c>
      <c r="B4419" s="19">
        <v>42821</v>
      </c>
      <c r="C4419" s="21">
        <v>0.43055555555555558</v>
      </c>
      <c r="D4419" s="20" t="s">
        <v>3036</v>
      </c>
      <c r="E4419" t="s">
        <v>6</v>
      </c>
      <c r="F4419" t="s">
        <v>12</v>
      </c>
      <c r="G4419" t="s">
        <v>45</v>
      </c>
      <c r="H4419">
        <v>3</v>
      </c>
      <c r="I4419">
        <f t="shared" ref="I4419:I4482" si="71">ROUNDUP((H4419*1.24), 0)</f>
        <v>4</v>
      </c>
    </row>
    <row r="4420" spans="1:9">
      <c r="A4420" s="1">
        <v>42458.714583333334</v>
      </c>
      <c r="B4420" s="19">
        <v>42821</v>
      </c>
      <c r="C4420" s="21">
        <v>0.91736111111111107</v>
      </c>
      <c r="D4420" s="20" t="s">
        <v>3049</v>
      </c>
      <c r="E4420" t="s">
        <v>18</v>
      </c>
      <c r="F4420" t="s">
        <v>100</v>
      </c>
      <c r="G4420" t="s">
        <v>369</v>
      </c>
      <c r="H4420" t="e">
        <v>#VALUE!</v>
      </c>
      <c r="I4420" t="e">
        <f t="shared" si="71"/>
        <v>#VALUE!</v>
      </c>
    </row>
    <row r="4421" spans="1:9">
      <c r="A4421" s="1">
        <v>42458.680555555555</v>
      </c>
      <c r="B4421" s="19">
        <v>42821</v>
      </c>
      <c r="C4421" s="21">
        <v>0.91736111111111107</v>
      </c>
      <c r="D4421" s="20" t="s">
        <v>3049</v>
      </c>
      <c r="E4421" t="s">
        <v>0</v>
      </c>
      <c r="F4421" t="s">
        <v>10</v>
      </c>
      <c r="G4421" t="s">
        <v>145</v>
      </c>
      <c r="H4421">
        <v>13</v>
      </c>
      <c r="I4421">
        <f t="shared" si="71"/>
        <v>17</v>
      </c>
    </row>
    <row r="4422" spans="1:9">
      <c r="A4422" s="1">
        <v>42458.627083333333</v>
      </c>
      <c r="B4422" s="19">
        <v>42821</v>
      </c>
      <c r="C4422" s="21">
        <v>0.90694444444444444</v>
      </c>
      <c r="D4422" s="20" t="s">
        <v>3048</v>
      </c>
      <c r="E4422" t="s">
        <v>0</v>
      </c>
      <c r="F4422" t="s">
        <v>10</v>
      </c>
      <c r="G4422" t="s">
        <v>255</v>
      </c>
      <c r="H4422">
        <v>13</v>
      </c>
      <c r="I4422">
        <f t="shared" si="71"/>
        <v>17</v>
      </c>
    </row>
    <row r="4423" spans="1:9">
      <c r="A4423" s="1">
        <v>42458.620833333334</v>
      </c>
      <c r="B4423" s="19">
        <v>42821</v>
      </c>
      <c r="C4423" s="21">
        <v>0.65</v>
      </c>
      <c r="D4423" s="20" t="s">
        <v>3042</v>
      </c>
      <c r="E4423" t="s">
        <v>149</v>
      </c>
      <c r="G4423" t="s">
        <v>371</v>
      </c>
      <c r="H4423">
        <v>7</v>
      </c>
      <c r="I4423">
        <f t="shared" si="71"/>
        <v>9</v>
      </c>
    </row>
    <row r="4424" spans="1:9">
      <c r="A4424" s="1">
        <v>42458.561111111114</v>
      </c>
      <c r="B4424" s="19">
        <v>42821</v>
      </c>
      <c r="C4424" s="21">
        <v>0.58333333333333337</v>
      </c>
      <c r="D4424" s="20" t="s">
        <v>3040</v>
      </c>
      <c r="E4424" t="s">
        <v>0</v>
      </c>
      <c r="G4424" t="s">
        <v>9</v>
      </c>
      <c r="H4424">
        <v>13</v>
      </c>
      <c r="I4424">
        <f t="shared" si="71"/>
        <v>17</v>
      </c>
    </row>
    <row r="4425" spans="1:9">
      <c r="A4425" s="1">
        <v>42458.359027777777</v>
      </c>
      <c r="B4425" s="19">
        <v>42821</v>
      </c>
      <c r="C4425" s="21">
        <v>0.57777777777777772</v>
      </c>
      <c r="D4425" s="20" t="s">
        <v>3039</v>
      </c>
      <c r="E4425" t="s">
        <v>0</v>
      </c>
      <c r="F4425" t="s">
        <v>10</v>
      </c>
      <c r="G4425" t="s">
        <v>255</v>
      </c>
      <c r="H4425">
        <v>25</v>
      </c>
      <c r="I4425">
        <f t="shared" si="71"/>
        <v>31</v>
      </c>
    </row>
    <row r="4426" spans="1:9">
      <c r="A4426" s="1">
        <v>42458.259027777778</v>
      </c>
      <c r="B4426" s="19">
        <v>42821</v>
      </c>
      <c r="C4426" s="21">
        <v>0.25138888888888888</v>
      </c>
      <c r="D4426" s="20" t="s">
        <v>3031</v>
      </c>
      <c r="E4426" t="s">
        <v>0</v>
      </c>
      <c r="G4426" t="s">
        <v>372</v>
      </c>
      <c r="H4426">
        <v>25</v>
      </c>
      <c r="I4426">
        <f t="shared" si="71"/>
        <v>31</v>
      </c>
    </row>
    <row r="4427" spans="1:9">
      <c r="A4427" s="1">
        <v>42458.063888888886</v>
      </c>
      <c r="B4427" s="19">
        <v>42822</v>
      </c>
      <c r="C4427" s="21">
        <v>0.90138888888888891</v>
      </c>
      <c r="D4427" s="20" t="s">
        <v>3048</v>
      </c>
      <c r="E4427" t="s">
        <v>6</v>
      </c>
      <c r="F4427" t="s">
        <v>46</v>
      </c>
      <c r="G4427" t="s">
        <v>65</v>
      </c>
      <c r="H4427">
        <v>9</v>
      </c>
      <c r="I4427">
        <f t="shared" si="71"/>
        <v>12</v>
      </c>
    </row>
    <row r="4428" spans="1:9">
      <c r="A4428" s="1">
        <v>42458.018750000003</v>
      </c>
      <c r="B4428" s="19">
        <v>42822</v>
      </c>
      <c r="C4428" s="21">
        <v>0.88888888888888884</v>
      </c>
      <c r="D4428" s="20" t="s">
        <v>3048</v>
      </c>
      <c r="E4428" t="s">
        <v>6</v>
      </c>
      <c r="F4428" t="s">
        <v>76</v>
      </c>
      <c r="G4428" t="s">
        <v>359</v>
      </c>
      <c r="H4428">
        <v>7</v>
      </c>
      <c r="I4428">
        <f t="shared" si="71"/>
        <v>9</v>
      </c>
    </row>
    <row r="4429" spans="1:9">
      <c r="A4429" s="1">
        <v>42458.009027777778</v>
      </c>
      <c r="B4429" s="19">
        <v>42822</v>
      </c>
      <c r="C4429" s="21">
        <v>0.86875000000000002</v>
      </c>
      <c r="D4429" s="20" t="s">
        <v>3047</v>
      </c>
      <c r="E4429" t="s">
        <v>6</v>
      </c>
      <c r="F4429" t="s">
        <v>46</v>
      </c>
      <c r="G4429" t="s">
        <v>65</v>
      </c>
      <c r="H4429">
        <v>7</v>
      </c>
      <c r="I4429">
        <f t="shared" si="71"/>
        <v>9</v>
      </c>
    </row>
    <row r="4430" spans="1:9">
      <c r="A4430" s="1">
        <v>42457.897222222222</v>
      </c>
      <c r="B4430" s="19">
        <v>42822</v>
      </c>
      <c r="C4430" s="21">
        <v>0.85277777777777775</v>
      </c>
      <c r="D4430" s="20" t="s">
        <v>3047</v>
      </c>
      <c r="E4430" t="s">
        <v>6</v>
      </c>
      <c r="F4430" t="s">
        <v>21</v>
      </c>
      <c r="G4430" t="s">
        <v>363</v>
      </c>
      <c r="H4430">
        <v>25</v>
      </c>
      <c r="I4430">
        <f t="shared" si="71"/>
        <v>31</v>
      </c>
    </row>
    <row r="4431" spans="1:9">
      <c r="A4431" s="1">
        <v>42457.851388888892</v>
      </c>
      <c r="B4431" s="19">
        <v>42822</v>
      </c>
      <c r="C4431" s="21">
        <v>0.70208333333333328</v>
      </c>
      <c r="D4431" s="20" t="s">
        <v>3043</v>
      </c>
      <c r="E4431" t="s">
        <v>6</v>
      </c>
      <c r="F4431" t="s">
        <v>26</v>
      </c>
      <c r="G4431" t="s">
        <v>364</v>
      </c>
      <c r="H4431" t="e">
        <v>#VALUE!</v>
      </c>
      <c r="I4431" t="e">
        <f t="shared" si="71"/>
        <v>#VALUE!</v>
      </c>
    </row>
    <row r="4432" spans="1:9">
      <c r="A4432" s="1">
        <v>42457.800694444442</v>
      </c>
      <c r="B4432" s="19">
        <v>42822</v>
      </c>
      <c r="C4432" s="21">
        <v>0.65277777777777779</v>
      </c>
      <c r="D4432" s="20" t="s">
        <v>3042</v>
      </c>
      <c r="E4432" t="s">
        <v>6</v>
      </c>
      <c r="F4432" t="s">
        <v>26</v>
      </c>
      <c r="G4432" t="s">
        <v>65</v>
      </c>
      <c r="H4432">
        <v>7</v>
      </c>
      <c r="I4432">
        <f t="shared" si="71"/>
        <v>9</v>
      </c>
    </row>
    <row r="4433" spans="1:9">
      <c r="A4433" s="1">
        <v>42457.712500000001</v>
      </c>
      <c r="B4433" s="19">
        <v>42822</v>
      </c>
      <c r="C4433" s="21">
        <v>0.51458333333333328</v>
      </c>
      <c r="D4433" s="20" t="s">
        <v>3038</v>
      </c>
      <c r="E4433" t="s">
        <v>6</v>
      </c>
      <c r="F4433" t="s">
        <v>26</v>
      </c>
      <c r="G4433" t="s">
        <v>65</v>
      </c>
      <c r="H4433">
        <v>2</v>
      </c>
      <c r="I4433">
        <f t="shared" si="71"/>
        <v>3</v>
      </c>
    </row>
    <row r="4434" spans="1:9">
      <c r="A4434" s="1">
        <v>42457.694444444445</v>
      </c>
      <c r="B4434" s="19">
        <v>42822</v>
      </c>
      <c r="C4434" s="21">
        <v>0.46736111111111112</v>
      </c>
      <c r="D4434" s="20" t="s">
        <v>3037</v>
      </c>
      <c r="E4434" t="s">
        <v>2</v>
      </c>
      <c r="F4434" t="s">
        <v>3</v>
      </c>
      <c r="G4434" t="s">
        <v>365</v>
      </c>
      <c r="H4434">
        <v>15</v>
      </c>
      <c r="I4434">
        <f t="shared" si="71"/>
        <v>19</v>
      </c>
    </row>
    <row r="4435" spans="1:9">
      <c r="A4435" s="1">
        <v>42457.658333333333</v>
      </c>
      <c r="B4435" s="19">
        <v>42822</v>
      </c>
      <c r="C4435" s="21">
        <v>0.46666666666666667</v>
      </c>
      <c r="D4435" s="20" t="s">
        <v>3037</v>
      </c>
      <c r="E4435" t="s">
        <v>6</v>
      </c>
      <c r="F4435" t="s">
        <v>21</v>
      </c>
      <c r="G4435" t="s">
        <v>366</v>
      </c>
      <c r="H4435">
        <v>13</v>
      </c>
      <c r="I4435">
        <f t="shared" si="71"/>
        <v>17</v>
      </c>
    </row>
    <row r="4436" spans="1:9">
      <c r="A4436" s="1">
        <v>42457.623611111114</v>
      </c>
      <c r="B4436" s="19">
        <v>42822</v>
      </c>
      <c r="C4436" s="21">
        <v>0.43402777777777779</v>
      </c>
      <c r="D4436" s="20" t="s">
        <v>3036</v>
      </c>
      <c r="E4436" t="s">
        <v>6</v>
      </c>
      <c r="F4436" t="s">
        <v>15</v>
      </c>
      <c r="G4436" t="s">
        <v>367</v>
      </c>
      <c r="H4436">
        <v>7</v>
      </c>
      <c r="I4436">
        <f t="shared" si="71"/>
        <v>9</v>
      </c>
    </row>
    <row r="4437" spans="1:9">
      <c r="A4437" s="1">
        <v>42457.52847222222</v>
      </c>
      <c r="B4437" s="19">
        <v>42822</v>
      </c>
      <c r="C4437" s="21">
        <v>0.35902777777777778</v>
      </c>
      <c r="D4437" s="20" t="s">
        <v>3034</v>
      </c>
      <c r="E4437" t="s">
        <v>6</v>
      </c>
      <c r="F4437" t="s">
        <v>26</v>
      </c>
      <c r="G4437" t="s">
        <v>65</v>
      </c>
      <c r="H4437">
        <v>5</v>
      </c>
      <c r="I4437">
        <f t="shared" si="71"/>
        <v>7</v>
      </c>
    </row>
    <row r="4438" spans="1:9">
      <c r="A4438" s="1">
        <v>42457.526388888888</v>
      </c>
      <c r="B4438" s="19">
        <v>42822</v>
      </c>
      <c r="C4438" s="21">
        <v>0.9194444444444444</v>
      </c>
      <c r="D4438" s="20" t="s">
        <v>3049</v>
      </c>
      <c r="E4438" t="s">
        <v>18</v>
      </c>
      <c r="F4438" t="s">
        <v>100</v>
      </c>
      <c r="G4438" t="s">
        <v>362</v>
      </c>
      <c r="H4438" t="e">
        <v>#VALUE!</v>
      </c>
      <c r="I4438" t="e">
        <f t="shared" si="71"/>
        <v>#VALUE!</v>
      </c>
    </row>
    <row r="4439" spans="1:9">
      <c r="A4439" s="1">
        <v>42457.526388888888</v>
      </c>
      <c r="B4439" s="19">
        <v>42822</v>
      </c>
      <c r="C4439" s="21">
        <v>0.91666666666666663</v>
      </c>
      <c r="D4439" s="20" t="s">
        <v>3049</v>
      </c>
      <c r="E4439" t="s">
        <v>0</v>
      </c>
      <c r="F4439" t="s">
        <v>10</v>
      </c>
      <c r="G4439" t="s">
        <v>145</v>
      </c>
      <c r="H4439">
        <v>13</v>
      </c>
      <c r="I4439">
        <f t="shared" si="71"/>
        <v>17</v>
      </c>
    </row>
    <row r="4440" spans="1:9">
      <c r="A4440" s="1">
        <v>42457.489583333336</v>
      </c>
      <c r="B4440" s="19">
        <v>42822</v>
      </c>
      <c r="C4440" s="21">
        <v>0.58611111111111114</v>
      </c>
      <c r="D4440" s="20" t="s">
        <v>3040</v>
      </c>
      <c r="E4440" t="s">
        <v>0</v>
      </c>
      <c r="F4440" t="s">
        <v>1</v>
      </c>
      <c r="G4440" t="s">
        <v>193</v>
      </c>
      <c r="H4440">
        <v>13</v>
      </c>
      <c r="I4440">
        <f t="shared" si="71"/>
        <v>17</v>
      </c>
    </row>
    <row r="4441" spans="1:9">
      <c r="A4441" s="1">
        <v>42457.46597222222</v>
      </c>
      <c r="B4441" s="19">
        <v>42822</v>
      </c>
      <c r="C4441" s="21">
        <v>0.5805555555555556</v>
      </c>
      <c r="D4441" s="20" t="s">
        <v>3039</v>
      </c>
      <c r="E4441" t="s">
        <v>18</v>
      </c>
      <c r="F4441" t="s">
        <v>71</v>
      </c>
      <c r="H4441">
        <v>13</v>
      </c>
      <c r="I4441">
        <f t="shared" si="71"/>
        <v>17</v>
      </c>
    </row>
    <row r="4442" spans="1:9">
      <c r="A4442" s="1">
        <v>42457.4</v>
      </c>
      <c r="B4442" s="19">
        <v>42822</v>
      </c>
      <c r="C4442" s="21">
        <v>0.50138888888888888</v>
      </c>
      <c r="D4442" s="20" t="s">
        <v>3038</v>
      </c>
      <c r="E4442" t="s">
        <v>18</v>
      </c>
      <c r="F4442" t="s">
        <v>71</v>
      </c>
      <c r="H4442">
        <v>4</v>
      </c>
      <c r="I4442">
        <f t="shared" si="71"/>
        <v>5</v>
      </c>
    </row>
    <row r="4443" spans="1:9">
      <c r="A4443" s="1">
        <v>42457.4</v>
      </c>
      <c r="B4443" s="19">
        <v>42822</v>
      </c>
      <c r="C4443" s="21">
        <v>0.46250000000000002</v>
      </c>
      <c r="D4443" s="20" t="s">
        <v>3037</v>
      </c>
      <c r="E4443" t="s">
        <v>18</v>
      </c>
      <c r="F4443" t="s">
        <v>71</v>
      </c>
      <c r="H4443">
        <v>5</v>
      </c>
      <c r="I4443">
        <f t="shared" si="71"/>
        <v>7</v>
      </c>
    </row>
    <row r="4444" spans="1:9">
      <c r="A4444" s="1">
        <v>42457.373611111114</v>
      </c>
      <c r="B4444" s="19">
        <v>42822</v>
      </c>
      <c r="C4444" s="21">
        <v>0.42777777777777776</v>
      </c>
      <c r="D4444" s="20" t="s">
        <v>3036</v>
      </c>
      <c r="E4444" t="s">
        <v>18</v>
      </c>
      <c r="F4444" t="s">
        <v>71</v>
      </c>
      <c r="H4444">
        <v>4</v>
      </c>
      <c r="I4444">
        <f t="shared" si="71"/>
        <v>5</v>
      </c>
    </row>
    <row r="4445" spans="1:9">
      <c r="A4445" s="1">
        <v>42457.316666666666</v>
      </c>
      <c r="B4445" s="19">
        <v>42822</v>
      </c>
      <c r="C4445" s="21">
        <v>0.39791666666666664</v>
      </c>
      <c r="D4445" s="20" t="s">
        <v>3035</v>
      </c>
      <c r="E4445" t="s">
        <v>18</v>
      </c>
      <c r="F4445" t="s">
        <v>71</v>
      </c>
      <c r="H4445">
        <v>4</v>
      </c>
      <c r="I4445">
        <f t="shared" si="71"/>
        <v>5</v>
      </c>
    </row>
    <row r="4446" spans="1:9">
      <c r="A4446" s="1">
        <v>42457.315972222219</v>
      </c>
      <c r="B4446" s="19">
        <v>42822</v>
      </c>
      <c r="C4446" s="21">
        <v>0.34513888888888888</v>
      </c>
      <c r="D4446" s="20" t="s">
        <v>3034</v>
      </c>
      <c r="E4446" t="s">
        <v>18</v>
      </c>
      <c r="F4446" t="s">
        <v>71</v>
      </c>
      <c r="H4446">
        <v>3</v>
      </c>
      <c r="I4446">
        <f t="shared" si="71"/>
        <v>4</v>
      </c>
    </row>
    <row r="4447" spans="1:9">
      <c r="A4447" s="1">
        <v>42457.257638888892</v>
      </c>
      <c r="B4447" s="19">
        <v>42822</v>
      </c>
      <c r="C4447" s="21">
        <v>0.34444444444444444</v>
      </c>
      <c r="D4447" s="20" t="s">
        <v>3034</v>
      </c>
      <c r="E4447" t="s">
        <v>0</v>
      </c>
      <c r="G4447" t="s">
        <v>368</v>
      </c>
      <c r="H4447">
        <v>19</v>
      </c>
      <c r="I4447">
        <f t="shared" si="71"/>
        <v>24</v>
      </c>
    </row>
    <row r="4448" spans="1:9">
      <c r="A4448" s="1">
        <v>42457.255555555559</v>
      </c>
      <c r="B4448" s="19">
        <v>42822</v>
      </c>
      <c r="C4448" s="21">
        <v>0.30208333333333331</v>
      </c>
      <c r="D4448" s="20" t="s">
        <v>3033</v>
      </c>
      <c r="E4448" t="s">
        <v>18</v>
      </c>
      <c r="F4448" t="s">
        <v>71</v>
      </c>
      <c r="H4448">
        <v>10</v>
      </c>
      <c r="I4448">
        <f t="shared" si="71"/>
        <v>13</v>
      </c>
    </row>
    <row r="4449" spans="1:9">
      <c r="A4449" s="1">
        <v>42457.979166666664</v>
      </c>
      <c r="B4449" s="19">
        <v>42822</v>
      </c>
      <c r="C4449" s="21">
        <v>0.26874999999999999</v>
      </c>
      <c r="D4449" s="20" t="s">
        <v>3031</v>
      </c>
      <c r="E4449" t="s">
        <v>18</v>
      </c>
      <c r="F4449" t="s">
        <v>71</v>
      </c>
      <c r="G4449" t="s">
        <v>308</v>
      </c>
      <c r="H4449">
        <v>7</v>
      </c>
      <c r="I4449">
        <f t="shared" si="71"/>
        <v>9</v>
      </c>
    </row>
    <row r="4450" spans="1:9">
      <c r="A4450" s="1">
        <v>42457.943055555559</v>
      </c>
      <c r="B4450" s="19">
        <v>42822</v>
      </c>
      <c r="C4450" s="21">
        <v>0.25277777777777777</v>
      </c>
      <c r="D4450" s="20" t="s">
        <v>3031</v>
      </c>
      <c r="E4450" t="s">
        <v>0</v>
      </c>
      <c r="G4450" t="s">
        <v>348</v>
      </c>
      <c r="H4450">
        <v>19</v>
      </c>
      <c r="I4450">
        <f t="shared" si="71"/>
        <v>24</v>
      </c>
    </row>
    <row r="4451" spans="1:9">
      <c r="A4451" s="1">
        <v>42457.885416666664</v>
      </c>
      <c r="B4451" s="19">
        <v>42822</v>
      </c>
      <c r="C4451" s="21">
        <v>0.25277777777777777</v>
      </c>
      <c r="D4451" s="20" t="s">
        <v>3031</v>
      </c>
      <c r="E4451" t="s">
        <v>0</v>
      </c>
      <c r="G4451" t="s">
        <v>32</v>
      </c>
      <c r="H4451">
        <v>13</v>
      </c>
      <c r="I4451">
        <f t="shared" si="71"/>
        <v>17</v>
      </c>
    </row>
    <row r="4452" spans="1:9">
      <c r="A4452" s="1">
        <v>42457.882638888892</v>
      </c>
      <c r="B4452" s="19">
        <v>42823</v>
      </c>
      <c r="C4452" s="21">
        <v>0.94722222222222219</v>
      </c>
      <c r="D4452" s="20" t="s">
        <v>3049</v>
      </c>
      <c r="E4452" t="s">
        <v>2</v>
      </c>
      <c r="F4452" t="s">
        <v>3</v>
      </c>
      <c r="G4452" t="s">
        <v>357</v>
      </c>
      <c r="H4452">
        <v>5</v>
      </c>
      <c r="I4452">
        <f t="shared" si="71"/>
        <v>7</v>
      </c>
    </row>
    <row r="4453" spans="1:9">
      <c r="A4453" s="1">
        <v>42455.23333333333</v>
      </c>
      <c r="B4453" s="19">
        <v>42823</v>
      </c>
      <c r="C4453" s="21">
        <v>0.8979166666666667</v>
      </c>
      <c r="D4453" s="20" t="s">
        <v>3048</v>
      </c>
      <c r="E4453" t="s">
        <v>6</v>
      </c>
      <c r="F4453" t="s">
        <v>76</v>
      </c>
      <c r="G4453" t="s">
        <v>358</v>
      </c>
      <c r="H4453">
        <v>10</v>
      </c>
      <c r="I4453">
        <f t="shared" si="71"/>
        <v>13</v>
      </c>
    </row>
    <row r="4454" spans="1:9">
      <c r="A4454" s="1">
        <v>42455.140972222223</v>
      </c>
      <c r="B4454" s="19">
        <v>42823</v>
      </c>
      <c r="C4454" s="21">
        <v>0.50555555555555554</v>
      </c>
      <c r="D4454" s="20" t="s">
        <v>3038</v>
      </c>
      <c r="E4454" t="s">
        <v>6</v>
      </c>
      <c r="F4454" t="s">
        <v>76</v>
      </c>
      <c r="G4454" t="s">
        <v>359</v>
      </c>
      <c r="H4454">
        <v>9</v>
      </c>
      <c r="I4454">
        <f t="shared" si="71"/>
        <v>12</v>
      </c>
    </row>
    <row r="4455" spans="1:9">
      <c r="A4455" s="1">
        <v>42455.104166666664</v>
      </c>
      <c r="B4455" s="19">
        <v>42823</v>
      </c>
      <c r="C4455" s="21">
        <v>0.48541666666666666</v>
      </c>
      <c r="D4455" s="20" t="s">
        <v>3037</v>
      </c>
      <c r="E4455" t="s">
        <v>6</v>
      </c>
      <c r="F4455" t="s">
        <v>76</v>
      </c>
      <c r="G4455" t="s">
        <v>65</v>
      </c>
      <c r="H4455">
        <v>4</v>
      </c>
      <c r="I4455">
        <f t="shared" si="71"/>
        <v>5</v>
      </c>
    </row>
    <row r="4456" spans="1:9">
      <c r="A4456" s="1">
        <v>42455.054166666669</v>
      </c>
      <c r="B4456" s="19">
        <v>42823</v>
      </c>
      <c r="C4456" s="21">
        <v>0.41944444444444445</v>
      </c>
      <c r="D4456" s="20" t="s">
        <v>3036</v>
      </c>
      <c r="E4456" t="s">
        <v>6</v>
      </c>
      <c r="F4456" t="s">
        <v>76</v>
      </c>
      <c r="G4456" t="s">
        <v>65</v>
      </c>
      <c r="H4456">
        <v>4</v>
      </c>
      <c r="I4456">
        <f t="shared" si="71"/>
        <v>5</v>
      </c>
    </row>
    <row r="4457" spans="1:9">
      <c r="A4457" s="1">
        <v>42455.111111111109</v>
      </c>
      <c r="B4457" s="19">
        <v>42823</v>
      </c>
      <c r="C4457" s="21">
        <v>0.34305555555555556</v>
      </c>
      <c r="D4457" s="20" t="s">
        <v>3034</v>
      </c>
      <c r="E4457" t="s">
        <v>6</v>
      </c>
      <c r="F4457" t="s">
        <v>76</v>
      </c>
      <c r="G4457" t="s">
        <v>65</v>
      </c>
      <c r="H4457">
        <v>5</v>
      </c>
      <c r="I4457">
        <f t="shared" si="71"/>
        <v>7</v>
      </c>
    </row>
    <row r="4458" spans="1:9">
      <c r="A4458" s="1">
        <v>42455.048611111109</v>
      </c>
      <c r="B4458" s="19">
        <v>42823</v>
      </c>
      <c r="C4458" s="21">
        <v>0.32083333333333336</v>
      </c>
      <c r="D4458" s="20" t="s">
        <v>3033</v>
      </c>
      <c r="E4458" t="s">
        <v>6</v>
      </c>
      <c r="F4458" t="s">
        <v>12</v>
      </c>
      <c r="G4458" t="s">
        <v>45</v>
      </c>
      <c r="H4458">
        <v>7</v>
      </c>
      <c r="I4458">
        <f t="shared" si="71"/>
        <v>9</v>
      </c>
    </row>
    <row r="4459" spans="1:9">
      <c r="A4459" s="1">
        <v>42455.025694444441</v>
      </c>
      <c r="B4459" s="19">
        <v>42823</v>
      </c>
      <c r="C4459" s="21">
        <v>0.58472222222222225</v>
      </c>
      <c r="D4459" s="20" t="s">
        <v>3040</v>
      </c>
      <c r="E4459" t="s">
        <v>0</v>
      </c>
      <c r="F4459" t="s">
        <v>1</v>
      </c>
      <c r="G4459" t="s">
        <v>9</v>
      </c>
      <c r="H4459">
        <v>15</v>
      </c>
      <c r="I4459">
        <f t="shared" si="71"/>
        <v>19</v>
      </c>
    </row>
    <row r="4460" spans="1:9">
      <c r="A4460" s="1">
        <v>42454.982638888891</v>
      </c>
      <c r="B4460" s="19">
        <v>42823</v>
      </c>
      <c r="C4460" s="21">
        <v>0.54236111111111107</v>
      </c>
      <c r="D4460" s="20" t="s">
        <v>3039</v>
      </c>
      <c r="E4460" t="s">
        <v>18</v>
      </c>
      <c r="F4460" t="s">
        <v>71</v>
      </c>
      <c r="H4460">
        <v>7</v>
      </c>
      <c r="I4460">
        <f t="shared" si="71"/>
        <v>9</v>
      </c>
    </row>
    <row r="4461" spans="1:9">
      <c r="A4461" s="1">
        <v>42454.906944444447</v>
      </c>
      <c r="B4461" s="19">
        <v>42823</v>
      </c>
      <c r="C4461" s="21">
        <v>0.50555555555555554</v>
      </c>
      <c r="D4461" s="20" t="s">
        <v>3038</v>
      </c>
      <c r="E4461" t="s">
        <v>18</v>
      </c>
      <c r="F4461" t="s">
        <v>71</v>
      </c>
      <c r="H4461">
        <v>4</v>
      </c>
      <c r="I4461">
        <f t="shared" si="71"/>
        <v>5</v>
      </c>
    </row>
    <row r="4462" spans="1:9">
      <c r="A4462" s="1">
        <v>42454.86041666667</v>
      </c>
      <c r="B4462" s="19">
        <v>42823</v>
      </c>
      <c r="C4462" s="21">
        <v>0.46597222222222223</v>
      </c>
      <c r="D4462" s="20" t="s">
        <v>3037</v>
      </c>
      <c r="E4462" t="s">
        <v>18</v>
      </c>
      <c r="F4462" t="s">
        <v>71</v>
      </c>
      <c r="H4462">
        <v>7</v>
      </c>
      <c r="I4462">
        <f t="shared" si="71"/>
        <v>9</v>
      </c>
    </row>
    <row r="4463" spans="1:9">
      <c r="A4463" s="1">
        <v>42454.849305555559</v>
      </c>
      <c r="B4463" s="19">
        <v>42823</v>
      </c>
      <c r="C4463" s="21">
        <v>0.41944444444444445</v>
      </c>
      <c r="D4463" s="20" t="s">
        <v>3036</v>
      </c>
      <c r="E4463" t="s">
        <v>18</v>
      </c>
      <c r="F4463" t="s">
        <v>71</v>
      </c>
      <c r="H4463">
        <v>4</v>
      </c>
      <c r="I4463">
        <f t="shared" si="71"/>
        <v>5</v>
      </c>
    </row>
    <row r="4464" spans="1:9">
      <c r="A4464" s="1">
        <v>42454.691666666666</v>
      </c>
      <c r="B4464" s="19">
        <v>42823</v>
      </c>
      <c r="C4464" s="21">
        <v>0.38958333333333334</v>
      </c>
      <c r="D4464" s="20" t="s">
        <v>3035</v>
      </c>
      <c r="E4464" t="s">
        <v>18</v>
      </c>
      <c r="F4464" t="s">
        <v>71</v>
      </c>
      <c r="H4464">
        <v>5</v>
      </c>
      <c r="I4464">
        <f t="shared" si="71"/>
        <v>7</v>
      </c>
    </row>
    <row r="4465" spans="1:9">
      <c r="A4465" s="1">
        <v>42454.673611111109</v>
      </c>
      <c r="B4465" s="19">
        <v>42823</v>
      </c>
      <c r="C4465" s="21">
        <v>0.36666666666666664</v>
      </c>
      <c r="D4465" s="20" t="s">
        <v>3034</v>
      </c>
      <c r="E4465" t="s">
        <v>18</v>
      </c>
      <c r="F4465" t="s">
        <v>71</v>
      </c>
      <c r="G4465" t="s">
        <v>360</v>
      </c>
      <c r="H4465">
        <v>20</v>
      </c>
      <c r="I4465">
        <f t="shared" si="71"/>
        <v>25</v>
      </c>
    </row>
    <row r="4466" spans="1:9">
      <c r="A4466" s="1">
        <v>42454.655555555553</v>
      </c>
      <c r="B4466" s="19">
        <v>42823</v>
      </c>
      <c r="C4466" s="21">
        <v>0.25624999999999998</v>
      </c>
      <c r="D4466" s="20" t="s">
        <v>3031</v>
      </c>
      <c r="E4466" t="s">
        <v>0</v>
      </c>
      <c r="G4466" t="s">
        <v>361</v>
      </c>
      <c r="H4466">
        <v>19</v>
      </c>
      <c r="I4466">
        <f t="shared" si="71"/>
        <v>24</v>
      </c>
    </row>
    <row r="4467" spans="1:9">
      <c r="A4467" s="1">
        <v>42454.638888888891</v>
      </c>
      <c r="B4467" s="19">
        <v>42823</v>
      </c>
      <c r="C4467" s="21">
        <v>0.25347222222222221</v>
      </c>
      <c r="D4467" s="20" t="s">
        <v>3031</v>
      </c>
      <c r="E4467" t="s">
        <v>0</v>
      </c>
      <c r="G4467" t="s">
        <v>32</v>
      </c>
      <c r="H4467">
        <v>13</v>
      </c>
      <c r="I4467">
        <f t="shared" si="71"/>
        <v>17</v>
      </c>
    </row>
    <row r="4468" spans="1:9">
      <c r="A4468" s="1">
        <v>42454.638194444444</v>
      </c>
      <c r="B4468" s="19">
        <v>42824</v>
      </c>
      <c r="C4468" s="21">
        <v>0.89930555555555558</v>
      </c>
      <c r="D4468" s="20" t="s">
        <v>3048</v>
      </c>
      <c r="E4468" t="s">
        <v>6</v>
      </c>
      <c r="F4468" t="s">
        <v>76</v>
      </c>
      <c r="G4468" t="s">
        <v>65</v>
      </c>
      <c r="H4468">
        <v>7</v>
      </c>
      <c r="I4468">
        <f t="shared" si="71"/>
        <v>9</v>
      </c>
    </row>
    <row r="4469" spans="1:9">
      <c r="A4469" s="1">
        <v>42454.574305555558</v>
      </c>
      <c r="B4469" s="19">
        <v>42824</v>
      </c>
      <c r="C4469" s="21">
        <v>0.88611111111111107</v>
      </c>
      <c r="D4469" s="20" t="s">
        <v>3048</v>
      </c>
      <c r="E4469" t="s">
        <v>6</v>
      </c>
      <c r="F4469" t="s">
        <v>61</v>
      </c>
      <c r="G4469" t="s">
        <v>65</v>
      </c>
      <c r="H4469">
        <v>7</v>
      </c>
      <c r="I4469">
        <f t="shared" si="71"/>
        <v>9</v>
      </c>
    </row>
    <row r="4470" spans="1:9">
      <c r="A4470" s="1">
        <v>42454.51458333333</v>
      </c>
      <c r="B4470" s="19">
        <v>42824</v>
      </c>
      <c r="C4470" s="21">
        <v>0.71666666666666667</v>
      </c>
      <c r="D4470" s="20" t="s">
        <v>3044</v>
      </c>
      <c r="E4470" t="s">
        <v>6</v>
      </c>
      <c r="F4470" t="s">
        <v>76</v>
      </c>
      <c r="G4470" t="s">
        <v>65</v>
      </c>
      <c r="H4470">
        <v>7</v>
      </c>
      <c r="I4470">
        <f t="shared" si="71"/>
        <v>9</v>
      </c>
    </row>
    <row r="4471" spans="1:9">
      <c r="A4471" s="1">
        <v>42454.457638888889</v>
      </c>
      <c r="B4471" s="19">
        <v>42824</v>
      </c>
      <c r="C4471" s="21">
        <v>0.52986111111111112</v>
      </c>
      <c r="D4471" s="20" t="s">
        <v>3038</v>
      </c>
      <c r="E4471" t="s">
        <v>6</v>
      </c>
      <c r="F4471" t="s">
        <v>21</v>
      </c>
      <c r="G4471" t="s">
        <v>351</v>
      </c>
      <c r="H4471">
        <v>8</v>
      </c>
      <c r="I4471">
        <f t="shared" si="71"/>
        <v>10</v>
      </c>
    </row>
    <row r="4472" spans="1:9">
      <c r="A4472" s="1">
        <v>42454.241666666669</v>
      </c>
      <c r="B4472" s="19">
        <v>42824</v>
      </c>
      <c r="C4472" s="21">
        <v>0.38680555555555557</v>
      </c>
      <c r="D4472" s="20" t="s">
        <v>3035</v>
      </c>
      <c r="E4472" t="s">
        <v>6</v>
      </c>
      <c r="F4472" t="s">
        <v>76</v>
      </c>
      <c r="G4472" t="s">
        <v>65</v>
      </c>
      <c r="H4472">
        <v>4</v>
      </c>
      <c r="I4472">
        <f t="shared" si="71"/>
        <v>5</v>
      </c>
    </row>
    <row r="4473" spans="1:9">
      <c r="A4473" s="1">
        <v>42454.234722222223</v>
      </c>
      <c r="B4473" s="19">
        <v>42824</v>
      </c>
      <c r="C4473" s="21">
        <v>0.2986111111111111</v>
      </c>
      <c r="D4473" s="20" t="s">
        <v>3033</v>
      </c>
      <c r="E4473" t="s">
        <v>2</v>
      </c>
      <c r="F4473" t="s">
        <v>5</v>
      </c>
      <c r="H4473">
        <v>22</v>
      </c>
      <c r="I4473">
        <f t="shared" si="71"/>
        <v>28</v>
      </c>
    </row>
    <row r="4474" spans="1:9">
      <c r="A4474" s="1">
        <v>42454.186111111114</v>
      </c>
      <c r="B4474" s="19">
        <v>42824</v>
      </c>
      <c r="C4474" s="21">
        <v>0.26597222222222222</v>
      </c>
      <c r="D4474" s="20" t="s">
        <v>3031</v>
      </c>
      <c r="E4474" t="s">
        <v>6</v>
      </c>
      <c r="F4474" t="s">
        <v>76</v>
      </c>
      <c r="G4474" t="s">
        <v>232</v>
      </c>
      <c r="H4474">
        <v>59</v>
      </c>
      <c r="I4474">
        <f t="shared" si="71"/>
        <v>74</v>
      </c>
    </row>
    <row r="4475" spans="1:9">
      <c r="A4475" s="1">
        <v>42454.056944444441</v>
      </c>
      <c r="B4475" s="19">
        <v>42824</v>
      </c>
      <c r="C4475" s="21">
        <v>0.1076388888888889</v>
      </c>
      <c r="D4475" s="20" t="s">
        <v>3052</v>
      </c>
      <c r="E4475" t="s">
        <v>6</v>
      </c>
      <c r="F4475" t="s">
        <v>21</v>
      </c>
      <c r="G4475" t="s">
        <v>354</v>
      </c>
      <c r="H4475" t="e">
        <v>#VALUE!</v>
      </c>
      <c r="I4475" t="e">
        <f t="shared" si="71"/>
        <v>#VALUE!</v>
      </c>
    </row>
    <row r="4476" spans="1:9">
      <c r="A4476" s="1">
        <v>42454.03402777778</v>
      </c>
      <c r="B4476" s="19">
        <v>42824</v>
      </c>
      <c r="C4476" s="21">
        <v>1.8055555555555554E-2</v>
      </c>
      <c r="D4476" s="20" t="s">
        <v>3050</v>
      </c>
      <c r="E4476" t="s">
        <v>6</v>
      </c>
      <c r="F4476" t="s">
        <v>76</v>
      </c>
      <c r="G4476" t="s">
        <v>356</v>
      </c>
      <c r="H4476">
        <v>4</v>
      </c>
      <c r="I4476">
        <f t="shared" si="71"/>
        <v>5</v>
      </c>
    </row>
    <row r="4477" spans="1:9">
      <c r="A4477" s="1">
        <v>42454.802083333336</v>
      </c>
      <c r="B4477" s="19">
        <v>42824</v>
      </c>
      <c r="C4477" s="21">
        <v>0.91666666666666663</v>
      </c>
      <c r="D4477" s="20" t="s">
        <v>3049</v>
      </c>
      <c r="E4477" t="s">
        <v>0</v>
      </c>
      <c r="F4477" t="s">
        <v>10</v>
      </c>
      <c r="G4477" t="s">
        <v>84</v>
      </c>
      <c r="H4477">
        <v>13</v>
      </c>
      <c r="I4477">
        <f t="shared" si="71"/>
        <v>17</v>
      </c>
    </row>
    <row r="4478" spans="1:9">
      <c r="A4478" s="1">
        <v>42454.79791666667</v>
      </c>
      <c r="B4478" s="19">
        <v>42824</v>
      </c>
      <c r="C4478" s="21">
        <v>0.5854166666666667</v>
      </c>
      <c r="D4478" s="20" t="s">
        <v>3040</v>
      </c>
      <c r="E4478" t="s">
        <v>0</v>
      </c>
      <c r="F4478" t="s">
        <v>10</v>
      </c>
      <c r="H4478">
        <v>25</v>
      </c>
      <c r="I4478">
        <f t="shared" si="71"/>
        <v>31</v>
      </c>
    </row>
    <row r="4479" spans="1:9">
      <c r="A4479" s="1">
        <v>42454.719444444447</v>
      </c>
      <c r="B4479" s="19">
        <v>42824</v>
      </c>
      <c r="C4479" s="21">
        <v>0.58402777777777781</v>
      </c>
      <c r="D4479" s="20" t="s">
        <v>3040</v>
      </c>
      <c r="E4479" t="s">
        <v>0</v>
      </c>
      <c r="G4479" t="s">
        <v>193</v>
      </c>
      <c r="H4479">
        <v>15</v>
      </c>
      <c r="I4479">
        <f t="shared" si="71"/>
        <v>19</v>
      </c>
    </row>
    <row r="4480" spans="1:9">
      <c r="A4480" s="1">
        <v>42454.713194444441</v>
      </c>
      <c r="B4480" s="19">
        <v>42824</v>
      </c>
      <c r="C4480" s="21">
        <v>0.52500000000000002</v>
      </c>
      <c r="D4480" s="20" t="s">
        <v>3038</v>
      </c>
      <c r="E4480" t="s">
        <v>18</v>
      </c>
      <c r="F4480" t="s">
        <v>71</v>
      </c>
      <c r="H4480">
        <v>7</v>
      </c>
      <c r="I4480">
        <f t="shared" si="71"/>
        <v>9</v>
      </c>
    </row>
    <row r="4481" spans="1:9">
      <c r="A4481" s="1">
        <v>42454.546527777777</v>
      </c>
      <c r="B4481" s="19">
        <v>42824</v>
      </c>
      <c r="C4481" s="21">
        <v>0.48333333333333334</v>
      </c>
      <c r="D4481" s="20" t="s">
        <v>3037</v>
      </c>
      <c r="E4481" t="s">
        <v>18</v>
      </c>
      <c r="F4481" t="s">
        <v>100</v>
      </c>
      <c r="G4481" t="s">
        <v>352</v>
      </c>
      <c r="H4481">
        <v>7</v>
      </c>
      <c r="I4481">
        <f t="shared" si="71"/>
        <v>9</v>
      </c>
    </row>
    <row r="4482" spans="1:9">
      <c r="A4482" s="1">
        <v>42454.533333333333</v>
      </c>
      <c r="B4482" s="19">
        <v>42824</v>
      </c>
      <c r="C4482" s="21">
        <v>0.46666666666666667</v>
      </c>
      <c r="D4482" s="20" t="s">
        <v>3037</v>
      </c>
      <c r="E4482" t="s">
        <v>18</v>
      </c>
      <c r="F4482" t="s">
        <v>71</v>
      </c>
      <c r="H4482">
        <v>5</v>
      </c>
      <c r="I4482">
        <f t="shared" si="71"/>
        <v>7</v>
      </c>
    </row>
    <row r="4483" spans="1:9">
      <c r="A4483" s="1">
        <v>42454.527777777781</v>
      </c>
      <c r="B4483" s="19">
        <v>42824</v>
      </c>
      <c r="C4483" s="21">
        <v>0.43611111111111112</v>
      </c>
      <c r="D4483" s="20" t="s">
        <v>3036</v>
      </c>
      <c r="E4483" t="s">
        <v>18</v>
      </c>
      <c r="F4483" t="s">
        <v>71</v>
      </c>
      <c r="H4483">
        <v>5</v>
      </c>
      <c r="I4483">
        <f t="shared" ref="I4483:I4546" si="72">ROUNDUP((H4483*1.24), 0)</f>
        <v>7</v>
      </c>
    </row>
    <row r="4484" spans="1:9">
      <c r="A4484" s="1">
        <v>42454.511805555558</v>
      </c>
      <c r="B4484" s="19">
        <v>42824</v>
      </c>
      <c r="C4484" s="21">
        <v>0.37361111111111112</v>
      </c>
      <c r="D4484" s="20" t="s">
        <v>3034</v>
      </c>
      <c r="E4484" t="s">
        <v>18</v>
      </c>
      <c r="F4484" t="s">
        <v>71</v>
      </c>
      <c r="H4484">
        <v>13</v>
      </c>
      <c r="I4484">
        <f t="shared" si="72"/>
        <v>17</v>
      </c>
    </row>
    <row r="4485" spans="1:9">
      <c r="A4485" s="1">
        <v>42454.466666666667</v>
      </c>
      <c r="B4485" s="19">
        <v>42824</v>
      </c>
      <c r="C4485" s="21">
        <v>0.25277777777777777</v>
      </c>
      <c r="D4485" s="20" t="s">
        <v>3031</v>
      </c>
      <c r="E4485" t="s">
        <v>0</v>
      </c>
      <c r="G4485" t="s">
        <v>32</v>
      </c>
      <c r="H4485">
        <v>13</v>
      </c>
      <c r="I4485">
        <f t="shared" si="72"/>
        <v>17</v>
      </c>
    </row>
    <row r="4486" spans="1:9">
      <c r="A4486" s="1">
        <v>42454.185416666667</v>
      </c>
      <c r="B4486" s="19">
        <v>42824</v>
      </c>
      <c r="C4486" s="21">
        <v>0.25277777777777777</v>
      </c>
      <c r="D4486" s="20" t="s">
        <v>3031</v>
      </c>
      <c r="E4486" t="s">
        <v>0</v>
      </c>
      <c r="G4486" t="s">
        <v>353</v>
      </c>
      <c r="H4486">
        <v>2</v>
      </c>
      <c r="I4486">
        <f t="shared" si="72"/>
        <v>3</v>
      </c>
    </row>
    <row r="4487" spans="1:9">
      <c r="A4487" s="1">
        <v>42454.144444444442</v>
      </c>
      <c r="B4487" s="19">
        <v>42824</v>
      </c>
      <c r="C4487" s="21">
        <v>9.7916666666666666E-2</v>
      </c>
      <c r="D4487" s="20" t="s">
        <v>3052</v>
      </c>
      <c r="E4487" t="s">
        <v>18</v>
      </c>
      <c r="F4487" t="s">
        <v>100</v>
      </c>
      <c r="G4487" t="s">
        <v>355</v>
      </c>
      <c r="H4487" t="e">
        <v>#VALUE!</v>
      </c>
      <c r="I4487" t="e">
        <f t="shared" si="72"/>
        <v>#VALUE!</v>
      </c>
    </row>
    <row r="4488" spans="1:9">
      <c r="A4488" s="1">
        <v>42454.118055555555</v>
      </c>
      <c r="B4488" s="19">
        <v>42825</v>
      </c>
      <c r="C4488" s="21">
        <v>0.90138888888888891</v>
      </c>
      <c r="D4488" s="20" t="s">
        <v>3048</v>
      </c>
      <c r="E4488" t="s">
        <v>6</v>
      </c>
      <c r="F4488" t="s">
        <v>7</v>
      </c>
      <c r="G4488" t="s">
        <v>346</v>
      </c>
      <c r="H4488">
        <v>7</v>
      </c>
      <c r="I4488">
        <f t="shared" si="72"/>
        <v>9</v>
      </c>
    </row>
    <row r="4489" spans="1:9">
      <c r="A4489" s="1">
        <v>42454.104861111111</v>
      </c>
      <c r="B4489" s="19">
        <v>42825</v>
      </c>
      <c r="C4489" s="21">
        <v>0.67847222222222225</v>
      </c>
      <c r="D4489" s="20" t="s">
        <v>3043</v>
      </c>
      <c r="E4489" t="s">
        <v>6</v>
      </c>
      <c r="F4489" t="s">
        <v>12</v>
      </c>
      <c r="G4489" t="s">
        <v>65</v>
      </c>
      <c r="H4489">
        <v>13</v>
      </c>
      <c r="I4489">
        <f t="shared" si="72"/>
        <v>17</v>
      </c>
    </row>
    <row r="4490" spans="1:9">
      <c r="A4490" s="1">
        <v>42454.047222222223</v>
      </c>
      <c r="B4490" s="19">
        <v>42825</v>
      </c>
      <c r="C4490" s="21">
        <v>0.56111111111111112</v>
      </c>
      <c r="D4490" s="20" t="s">
        <v>3039</v>
      </c>
      <c r="E4490" t="s">
        <v>6</v>
      </c>
      <c r="F4490" t="s">
        <v>76</v>
      </c>
      <c r="H4490">
        <v>3</v>
      </c>
      <c r="I4490">
        <f t="shared" si="72"/>
        <v>4</v>
      </c>
    </row>
    <row r="4491" spans="1:9">
      <c r="A4491" s="1">
        <v>42453.999305555553</v>
      </c>
      <c r="B4491" s="19">
        <v>42825</v>
      </c>
      <c r="C4491" s="21">
        <v>0.49722222222222223</v>
      </c>
      <c r="D4491" s="20" t="s">
        <v>3037</v>
      </c>
      <c r="E4491" t="s">
        <v>2</v>
      </c>
      <c r="F4491" t="s">
        <v>5</v>
      </c>
      <c r="H4491" t="e">
        <v>#VALUE!</v>
      </c>
      <c r="I4491" t="e">
        <f t="shared" si="72"/>
        <v>#VALUE!</v>
      </c>
    </row>
    <row r="4492" spans="1:9">
      <c r="A4492" s="1">
        <v>42453.986805555556</v>
      </c>
      <c r="B4492" s="19">
        <v>42825</v>
      </c>
      <c r="C4492" s="21">
        <v>0.49236111111111114</v>
      </c>
      <c r="D4492" s="20" t="s">
        <v>3037</v>
      </c>
      <c r="E4492" t="s">
        <v>2</v>
      </c>
      <c r="F4492" t="s">
        <v>48</v>
      </c>
      <c r="H4492">
        <v>9</v>
      </c>
      <c r="I4492">
        <f t="shared" si="72"/>
        <v>12</v>
      </c>
    </row>
    <row r="4493" spans="1:9">
      <c r="A4493" s="1">
        <v>42453.956944444442</v>
      </c>
      <c r="B4493" s="19">
        <v>42825</v>
      </c>
      <c r="C4493" s="21">
        <v>0.48333333333333334</v>
      </c>
      <c r="D4493" s="20" t="s">
        <v>3037</v>
      </c>
      <c r="E4493" t="s">
        <v>6</v>
      </c>
      <c r="F4493" t="s">
        <v>21</v>
      </c>
      <c r="G4493" t="s">
        <v>347</v>
      </c>
      <c r="H4493">
        <v>25</v>
      </c>
      <c r="I4493">
        <f t="shared" si="72"/>
        <v>31</v>
      </c>
    </row>
    <row r="4494" spans="1:9">
      <c r="A4494" s="1">
        <v>42453.879861111112</v>
      </c>
      <c r="B4494" s="19">
        <v>42825</v>
      </c>
      <c r="C4494" s="21">
        <v>0.44374999999999998</v>
      </c>
      <c r="D4494" s="20" t="s">
        <v>3036</v>
      </c>
      <c r="E4494" t="s">
        <v>6</v>
      </c>
      <c r="F4494" t="s">
        <v>76</v>
      </c>
      <c r="G4494" t="s">
        <v>65</v>
      </c>
      <c r="H4494">
        <v>4</v>
      </c>
      <c r="I4494">
        <f t="shared" si="72"/>
        <v>5</v>
      </c>
    </row>
    <row r="4495" spans="1:9">
      <c r="A4495" s="1">
        <v>42453.873611111114</v>
      </c>
      <c r="B4495" s="19">
        <v>42825</v>
      </c>
      <c r="C4495" s="21">
        <v>0.41597222222222224</v>
      </c>
      <c r="D4495" s="20" t="s">
        <v>3035</v>
      </c>
      <c r="E4495" t="s">
        <v>2</v>
      </c>
      <c r="F4495" t="s">
        <v>5</v>
      </c>
      <c r="H4495">
        <v>4</v>
      </c>
      <c r="I4495">
        <f t="shared" si="72"/>
        <v>5</v>
      </c>
    </row>
    <row r="4496" spans="1:9">
      <c r="A4496" s="1">
        <v>42453.859722222223</v>
      </c>
      <c r="B4496" s="19">
        <v>42825</v>
      </c>
      <c r="C4496" s="21">
        <v>0.3888888888888889</v>
      </c>
      <c r="D4496" s="20" t="s">
        <v>3035</v>
      </c>
      <c r="E4496" t="s">
        <v>6</v>
      </c>
      <c r="F4496" t="s">
        <v>46</v>
      </c>
      <c r="H4496">
        <v>7</v>
      </c>
      <c r="I4496">
        <f t="shared" si="72"/>
        <v>9</v>
      </c>
    </row>
    <row r="4497" spans="1:9">
      <c r="A4497" s="1">
        <v>42453.798611111109</v>
      </c>
      <c r="B4497" s="19">
        <v>42825</v>
      </c>
      <c r="C4497" s="21">
        <v>0.17499999999999999</v>
      </c>
      <c r="D4497" s="20" t="s">
        <v>3054</v>
      </c>
      <c r="E4497" t="s">
        <v>6</v>
      </c>
      <c r="F4497" t="s">
        <v>15</v>
      </c>
      <c r="G4497" t="s">
        <v>350</v>
      </c>
      <c r="H4497" t="e">
        <v>#VALUE!</v>
      </c>
      <c r="I4497" t="e">
        <f t="shared" si="72"/>
        <v>#VALUE!</v>
      </c>
    </row>
    <row r="4498" spans="1:9">
      <c r="A4498" s="1">
        <v>42453.79791666667</v>
      </c>
      <c r="B4498" s="19">
        <v>42825</v>
      </c>
      <c r="C4498" s="21">
        <v>0.15555555555555556</v>
      </c>
      <c r="D4498" s="20" t="s">
        <v>3053</v>
      </c>
      <c r="E4498" t="s">
        <v>6</v>
      </c>
      <c r="F4498" t="s">
        <v>76</v>
      </c>
      <c r="G4498" t="s">
        <v>334</v>
      </c>
      <c r="H4498">
        <v>4</v>
      </c>
      <c r="I4498">
        <f t="shared" si="72"/>
        <v>5</v>
      </c>
    </row>
    <row r="4499" spans="1:9">
      <c r="A4499" s="1">
        <v>42453.786805555559</v>
      </c>
      <c r="B4499" s="19">
        <v>42825</v>
      </c>
      <c r="C4499" s="21">
        <v>0.13819444444444445</v>
      </c>
      <c r="D4499" s="20" t="s">
        <v>3053</v>
      </c>
      <c r="E4499" t="s">
        <v>2</v>
      </c>
      <c r="F4499" t="s">
        <v>56</v>
      </c>
      <c r="G4499" t="s">
        <v>57</v>
      </c>
      <c r="H4499">
        <v>31</v>
      </c>
      <c r="I4499">
        <f t="shared" si="72"/>
        <v>39</v>
      </c>
    </row>
    <row r="4500" spans="1:9">
      <c r="A4500" s="1">
        <v>42453.777083333334</v>
      </c>
      <c r="B4500" s="19">
        <v>42825</v>
      </c>
      <c r="C4500" s="21">
        <v>0.92083333333333328</v>
      </c>
      <c r="D4500" s="20" t="s">
        <v>3049</v>
      </c>
      <c r="E4500" t="s">
        <v>0</v>
      </c>
      <c r="F4500" t="s">
        <v>10</v>
      </c>
      <c r="G4500" t="s">
        <v>145</v>
      </c>
      <c r="H4500">
        <v>13</v>
      </c>
      <c r="I4500">
        <f t="shared" si="72"/>
        <v>17</v>
      </c>
    </row>
    <row r="4501" spans="1:9">
      <c r="A4501" s="1">
        <v>42453.774305555555</v>
      </c>
      <c r="B4501" s="19">
        <v>42825</v>
      </c>
      <c r="C4501" s="21">
        <v>0.5854166666666667</v>
      </c>
      <c r="D4501" s="20" t="s">
        <v>3040</v>
      </c>
      <c r="E4501" t="s">
        <v>0</v>
      </c>
      <c r="F4501" t="s">
        <v>10</v>
      </c>
      <c r="H4501">
        <v>25</v>
      </c>
      <c r="I4501">
        <f t="shared" si="72"/>
        <v>31</v>
      </c>
    </row>
    <row r="4502" spans="1:9">
      <c r="A4502" s="1">
        <v>42453.72152777778</v>
      </c>
      <c r="B4502" s="19">
        <v>42825</v>
      </c>
      <c r="C4502" s="21">
        <v>0.58472222222222225</v>
      </c>
      <c r="D4502" s="20" t="s">
        <v>3040</v>
      </c>
      <c r="E4502" t="s">
        <v>0</v>
      </c>
      <c r="F4502" t="s">
        <v>1</v>
      </c>
      <c r="G4502" t="s">
        <v>9</v>
      </c>
      <c r="H4502">
        <v>14</v>
      </c>
      <c r="I4502">
        <f t="shared" si="72"/>
        <v>18</v>
      </c>
    </row>
    <row r="4503" spans="1:9">
      <c r="A4503" s="1">
        <v>42453.695138888892</v>
      </c>
      <c r="B4503" s="19">
        <v>42825</v>
      </c>
      <c r="C4503" s="21">
        <v>0.46111111111111114</v>
      </c>
      <c r="D4503" s="20" t="s">
        <v>3037</v>
      </c>
      <c r="E4503" t="s">
        <v>18</v>
      </c>
      <c r="F4503" t="s">
        <v>71</v>
      </c>
      <c r="H4503">
        <v>3</v>
      </c>
      <c r="I4503">
        <f t="shared" si="72"/>
        <v>4</v>
      </c>
    </row>
    <row r="4504" spans="1:9">
      <c r="A4504" s="1">
        <v>42453.675000000003</v>
      </c>
      <c r="B4504" s="19">
        <v>42825</v>
      </c>
      <c r="C4504" s="21">
        <v>0.44374999999999998</v>
      </c>
      <c r="D4504" s="20" t="s">
        <v>3036</v>
      </c>
      <c r="E4504" t="s">
        <v>18</v>
      </c>
      <c r="F4504" t="s">
        <v>71</v>
      </c>
      <c r="H4504">
        <v>3</v>
      </c>
      <c r="I4504">
        <f t="shared" si="72"/>
        <v>4</v>
      </c>
    </row>
    <row r="4505" spans="1:9">
      <c r="A4505" s="1">
        <v>42453.655555555553</v>
      </c>
      <c r="B4505" s="19">
        <v>42825</v>
      </c>
      <c r="C4505" s="21">
        <v>0.37430555555555556</v>
      </c>
      <c r="D4505" s="20" t="s">
        <v>3034</v>
      </c>
      <c r="E4505" t="s">
        <v>18</v>
      </c>
      <c r="F4505" t="s">
        <v>71</v>
      </c>
      <c r="H4505">
        <v>3</v>
      </c>
      <c r="I4505">
        <f t="shared" si="72"/>
        <v>4</v>
      </c>
    </row>
    <row r="4506" spans="1:9">
      <c r="A4506" s="1">
        <v>42453.62777777778</v>
      </c>
      <c r="B4506" s="19">
        <v>42825</v>
      </c>
      <c r="C4506" s="21">
        <v>0.27500000000000002</v>
      </c>
      <c r="D4506" s="20" t="s">
        <v>3031</v>
      </c>
      <c r="E4506" t="s">
        <v>18</v>
      </c>
      <c r="F4506" t="s">
        <v>71</v>
      </c>
      <c r="G4506" t="s">
        <v>308</v>
      </c>
      <c r="H4506">
        <v>7</v>
      </c>
      <c r="I4506">
        <f t="shared" si="72"/>
        <v>9</v>
      </c>
    </row>
    <row r="4507" spans="1:9">
      <c r="A4507" s="1">
        <v>42453.618055555555</v>
      </c>
      <c r="B4507" s="19">
        <v>42825</v>
      </c>
      <c r="C4507" s="21">
        <v>0.25416666666666665</v>
      </c>
      <c r="D4507" s="20" t="s">
        <v>3031</v>
      </c>
      <c r="E4507" t="s">
        <v>0</v>
      </c>
      <c r="G4507" t="s">
        <v>348</v>
      </c>
      <c r="H4507">
        <v>38</v>
      </c>
      <c r="I4507">
        <f t="shared" si="72"/>
        <v>48</v>
      </c>
    </row>
    <row r="4508" spans="1:9">
      <c r="A4508" s="1">
        <v>42453.607638888891</v>
      </c>
      <c r="B4508" s="19">
        <v>42825</v>
      </c>
      <c r="C4508" s="21">
        <v>0.25347222222222221</v>
      </c>
      <c r="D4508" s="20" t="s">
        <v>3031</v>
      </c>
      <c r="E4508" t="s">
        <v>0</v>
      </c>
      <c r="G4508" t="s">
        <v>277</v>
      </c>
      <c r="H4508">
        <v>13</v>
      </c>
      <c r="I4508">
        <f t="shared" si="72"/>
        <v>17</v>
      </c>
    </row>
    <row r="4509" spans="1:9">
      <c r="A4509" s="1">
        <v>42453.585416666669</v>
      </c>
      <c r="B4509" s="19">
        <v>42825</v>
      </c>
      <c r="C4509" s="21">
        <v>0.22083333333333333</v>
      </c>
      <c r="D4509" s="20" t="s">
        <v>3055</v>
      </c>
      <c r="E4509" t="s">
        <v>0</v>
      </c>
      <c r="G4509" t="s">
        <v>349</v>
      </c>
      <c r="H4509">
        <v>4</v>
      </c>
      <c r="I4509">
        <f t="shared" si="72"/>
        <v>5</v>
      </c>
    </row>
    <row r="4510" spans="1:9">
      <c r="A4510" s="1">
        <v>42453.536111111112</v>
      </c>
      <c r="B4510" s="19">
        <v>42828</v>
      </c>
      <c r="C4510" s="21">
        <v>0.7729166666666667</v>
      </c>
      <c r="D4510" s="20" t="s">
        <v>3045</v>
      </c>
      <c r="E4510" t="s">
        <v>2</v>
      </c>
      <c r="F4510" t="s">
        <v>5</v>
      </c>
      <c r="H4510">
        <v>19</v>
      </c>
      <c r="I4510">
        <f t="shared" si="72"/>
        <v>24</v>
      </c>
    </row>
    <row r="4511" spans="1:9">
      <c r="A4511" s="1">
        <v>42453.230555555558</v>
      </c>
      <c r="B4511" s="19">
        <v>42828</v>
      </c>
      <c r="C4511" s="21">
        <v>0.76597222222222228</v>
      </c>
      <c r="D4511" s="20" t="s">
        <v>3045</v>
      </c>
      <c r="E4511" t="s">
        <v>6</v>
      </c>
      <c r="F4511" t="s">
        <v>26</v>
      </c>
      <c r="G4511" t="s">
        <v>340</v>
      </c>
      <c r="H4511">
        <v>13</v>
      </c>
      <c r="I4511">
        <f t="shared" si="72"/>
        <v>17</v>
      </c>
    </row>
    <row r="4512" spans="1:9">
      <c r="A4512" s="1">
        <v>42453.167361111111</v>
      </c>
      <c r="B4512" s="19">
        <v>42828</v>
      </c>
      <c r="C4512" s="21">
        <v>0.61250000000000004</v>
      </c>
      <c r="D4512" s="20" t="s">
        <v>3040</v>
      </c>
      <c r="E4512" t="s">
        <v>6</v>
      </c>
      <c r="F4512" t="s">
        <v>76</v>
      </c>
      <c r="G4512" t="s">
        <v>334</v>
      </c>
      <c r="H4512">
        <v>2</v>
      </c>
      <c r="I4512">
        <f t="shared" si="72"/>
        <v>3</v>
      </c>
    </row>
    <row r="4513" spans="1:9">
      <c r="A4513" s="1">
        <v>42453.14166666667</v>
      </c>
      <c r="B4513" s="19">
        <v>42828</v>
      </c>
      <c r="C4513" s="21">
        <v>0.3</v>
      </c>
      <c r="D4513" s="20" t="s">
        <v>3033</v>
      </c>
      <c r="E4513" t="s">
        <v>6</v>
      </c>
      <c r="F4513" t="s">
        <v>12</v>
      </c>
      <c r="G4513" t="s">
        <v>65</v>
      </c>
      <c r="H4513">
        <v>19</v>
      </c>
      <c r="I4513">
        <f t="shared" si="72"/>
        <v>24</v>
      </c>
    </row>
    <row r="4514" spans="1:9">
      <c r="A4514" s="1">
        <v>42453.120138888888</v>
      </c>
      <c r="B4514" s="19">
        <v>42828</v>
      </c>
      <c r="C4514" s="21">
        <v>0.28125</v>
      </c>
      <c r="D4514" s="20" t="s">
        <v>3031</v>
      </c>
      <c r="E4514" t="s">
        <v>6</v>
      </c>
      <c r="F4514" t="s">
        <v>167</v>
      </c>
      <c r="G4514" t="s">
        <v>344</v>
      </c>
      <c r="H4514">
        <v>13</v>
      </c>
      <c r="I4514">
        <f t="shared" si="72"/>
        <v>17</v>
      </c>
    </row>
    <row r="4515" spans="1:9">
      <c r="A4515" s="1">
        <v>42453.057638888888</v>
      </c>
      <c r="B4515" s="19">
        <v>42828</v>
      </c>
      <c r="C4515" s="21">
        <v>0.98263888888888884</v>
      </c>
      <c r="D4515" s="20" t="s">
        <v>3063</v>
      </c>
      <c r="E4515" t="s">
        <v>18</v>
      </c>
      <c r="F4515" t="s">
        <v>71</v>
      </c>
      <c r="G4515" t="s">
        <v>308</v>
      </c>
      <c r="H4515">
        <v>13</v>
      </c>
      <c r="I4515">
        <f t="shared" si="72"/>
        <v>17</v>
      </c>
    </row>
    <row r="4516" spans="1:9">
      <c r="A4516" s="1">
        <v>42453.84652777778</v>
      </c>
      <c r="B4516" s="19">
        <v>42828</v>
      </c>
      <c r="C4516" s="21">
        <v>0.91874999999999996</v>
      </c>
      <c r="D4516" s="20" t="s">
        <v>3049</v>
      </c>
      <c r="E4516" t="s">
        <v>0</v>
      </c>
      <c r="G4516" t="s">
        <v>338</v>
      </c>
      <c r="H4516">
        <v>25</v>
      </c>
      <c r="I4516">
        <f t="shared" si="72"/>
        <v>31</v>
      </c>
    </row>
    <row r="4517" spans="1:9">
      <c r="A4517" s="1">
        <v>42453.831250000003</v>
      </c>
      <c r="B4517" s="19">
        <v>42828</v>
      </c>
      <c r="C4517" s="21">
        <v>0.91736111111111107</v>
      </c>
      <c r="D4517" s="20" t="s">
        <v>3049</v>
      </c>
      <c r="E4517" t="s">
        <v>0</v>
      </c>
      <c r="F4517" t="s">
        <v>10</v>
      </c>
      <c r="G4517" t="s">
        <v>339</v>
      </c>
      <c r="H4517">
        <v>13</v>
      </c>
      <c r="I4517">
        <f t="shared" si="72"/>
        <v>17</v>
      </c>
    </row>
    <row r="4518" spans="1:9">
      <c r="A4518" s="1">
        <v>42453.818749999999</v>
      </c>
      <c r="B4518" s="19">
        <v>42828</v>
      </c>
      <c r="C4518" s="21">
        <v>0.90972222222222221</v>
      </c>
      <c r="D4518" s="20" t="s">
        <v>3048</v>
      </c>
      <c r="E4518" t="s">
        <v>0</v>
      </c>
      <c r="F4518" t="s">
        <v>10</v>
      </c>
      <c r="G4518" t="s">
        <v>145</v>
      </c>
      <c r="H4518">
        <v>13</v>
      </c>
      <c r="I4518">
        <f t="shared" si="72"/>
        <v>17</v>
      </c>
    </row>
    <row r="4519" spans="1:9">
      <c r="A4519" s="1">
        <v>42453.705555555556</v>
      </c>
      <c r="B4519" s="19">
        <v>42828</v>
      </c>
      <c r="C4519" s="21">
        <v>0.46250000000000002</v>
      </c>
      <c r="D4519" s="20" t="s">
        <v>3037</v>
      </c>
      <c r="E4519" t="s">
        <v>0</v>
      </c>
      <c r="G4519" t="s">
        <v>341</v>
      </c>
      <c r="H4519">
        <v>13</v>
      </c>
      <c r="I4519">
        <f t="shared" si="72"/>
        <v>17</v>
      </c>
    </row>
    <row r="4520" spans="1:9">
      <c r="A4520" s="1">
        <v>42453.688194444447</v>
      </c>
      <c r="B4520" s="19">
        <v>42828</v>
      </c>
      <c r="C4520" s="21">
        <v>0.37569444444444444</v>
      </c>
      <c r="D4520" s="20" t="s">
        <v>3035</v>
      </c>
      <c r="E4520" t="s">
        <v>0</v>
      </c>
      <c r="F4520" t="s">
        <v>313</v>
      </c>
      <c r="G4520" t="s">
        <v>342</v>
      </c>
      <c r="H4520">
        <v>13</v>
      </c>
      <c r="I4520">
        <f t="shared" si="72"/>
        <v>17</v>
      </c>
    </row>
    <row r="4521" spans="1:9">
      <c r="A4521" s="1">
        <v>42453.513888888891</v>
      </c>
      <c r="B4521" s="19">
        <v>42828</v>
      </c>
      <c r="C4521" s="21">
        <v>0.29166666666666669</v>
      </c>
      <c r="D4521" s="20" t="s">
        <v>3033</v>
      </c>
      <c r="E4521" t="s">
        <v>149</v>
      </c>
      <c r="G4521" t="s">
        <v>343</v>
      </c>
      <c r="H4521">
        <v>25</v>
      </c>
      <c r="I4521">
        <f t="shared" si="72"/>
        <v>31</v>
      </c>
    </row>
    <row r="4522" spans="1:9">
      <c r="A4522" s="1">
        <v>42453.496527777781</v>
      </c>
      <c r="B4522" s="19">
        <v>42828</v>
      </c>
      <c r="C4522" s="21">
        <v>0.26666666666666666</v>
      </c>
      <c r="D4522" s="20" t="s">
        <v>3031</v>
      </c>
      <c r="E4522" t="s">
        <v>0</v>
      </c>
      <c r="G4522" t="s">
        <v>345</v>
      </c>
      <c r="H4522">
        <v>38</v>
      </c>
      <c r="I4522">
        <f t="shared" si="72"/>
        <v>48</v>
      </c>
    </row>
    <row r="4523" spans="1:9">
      <c r="A4523" s="1">
        <v>42453.34652777778</v>
      </c>
      <c r="B4523" s="19">
        <v>42829</v>
      </c>
      <c r="C4523" s="21">
        <v>0.9604166666666667</v>
      </c>
      <c r="D4523" s="20" t="s">
        <v>3063</v>
      </c>
      <c r="E4523" t="s">
        <v>6</v>
      </c>
      <c r="F4523" t="s">
        <v>76</v>
      </c>
      <c r="G4523" t="s">
        <v>65</v>
      </c>
      <c r="H4523">
        <v>7</v>
      </c>
      <c r="I4523">
        <f t="shared" si="72"/>
        <v>9</v>
      </c>
    </row>
    <row r="4524" spans="1:9">
      <c r="A4524" s="1">
        <v>42453.327777777777</v>
      </c>
      <c r="B4524" s="19">
        <v>42829</v>
      </c>
      <c r="C4524" s="21">
        <v>0.93958333333333333</v>
      </c>
      <c r="D4524" s="20" t="s">
        <v>3049</v>
      </c>
      <c r="E4524" t="s">
        <v>6</v>
      </c>
      <c r="F4524" t="s">
        <v>76</v>
      </c>
      <c r="G4524" t="s">
        <v>65</v>
      </c>
      <c r="H4524">
        <v>5</v>
      </c>
      <c r="I4524">
        <f t="shared" si="72"/>
        <v>7</v>
      </c>
    </row>
    <row r="4525" spans="1:9">
      <c r="A4525" s="1">
        <v>42453.327777777777</v>
      </c>
      <c r="B4525" s="19">
        <v>42829</v>
      </c>
      <c r="C4525" s="21">
        <v>0.89375000000000004</v>
      </c>
      <c r="D4525" s="20" t="s">
        <v>3048</v>
      </c>
      <c r="E4525" t="s">
        <v>6</v>
      </c>
      <c r="F4525" t="s">
        <v>76</v>
      </c>
      <c r="G4525" t="s">
        <v>334</v>
      </c>
      <c r="H4525">
        <v>4</v>
      </c>
      <c r="I4525">
        <f t="shared" si="72"/>
        <v>5</v>
      </c>
    </row>
    <row r="4526" spans="1:9">
      <c r="A4526" s="1">
        <v>42453.306250000001</v>
      </c>
      <c r="B4526" s="19">
        <v>42829</v>
      </c>
      <c r="C4526" s="21">
        <v>0.82152777777777775</v>
      </c>
      <c r="D4526" s="20" t="s">
        <v>3046</v>
      </c>
      <c r="E4526" t="s">
        <v>2</v>
      </c>
      <c r="F4526" t="s">
        <v>3</v>
      </c>
      <c r="G4526" t="s">
        <v>335</v>
      </c>
      <c r="H4526">
        <v>4</v>
      </c>
      <c r="I4526">
        <f t="shared" si="72"/>
        <v>5</v>
      </c>
    </row>
    <row r="4527" spans="1:9">
      <c r="A4527" s="1">
        <v>42453.291666666664</v>
      </c>
      <c r="B4527" s="19">
        <v>42829</v>
      </c>
      <c r="C4527" s="21">
        <v>0.6743055555555556</v>
      </c>
      <c r="D4527" s="20" t="s">
        <v>3043</v>
      </c>
      <c r="E4527" t="s">
        <v>2</v>
      </c>
      <c r="F4527" t="s">
        <v>48</v>
      </c>
      <c r="G4527" t="s">
        <v>336</v>
      </c>
      <c r="H4527">
        <v>19</v>
      </c>
      <c r="I4527">
        <f t="shared" si="72"/>
        <v>24</v>
      </c>
    </row>
    <row r="4528" spans="1:9">
      <c r="A4528" s="1">
        <v>42453.286111111112</v>
      </c>
      <c r="B4528" s="19">
        <v>42829</v>
      </c>
      <c r="C4528" s="21">
        <v>0.42916666666666664</v>
      </c>
      <c r="D4528" s="20" t="s">
        <v>3036</v>
      </c>
      <c r="E4528" t="s">
        <v>2</v>
      </c>
      <c r="F4528" t="s">
        <v>48</v>
      </c>
      <c r="H4528">
        <v>34</v>
      </c>
      <c r="I4528">
        <f t="shared" si="72"/>
        <v>43</v>
      </c>
    </row>
    <row r="4529" spans="1:9">
      <c r="A4529" s="1">
        <v>42453.251388888886</v>
      </c>
      <c r="B4529" s="19">
        <v>42829</v>
      </c>
      <c r="C4529" s="21">
        <v>0.91666666666666663</v>
      </c>
      <c r="D4529" s="20" t="s">
        <v>3049</v>
      </c>
      <c r="E4529" t="s">
        <v>0</v>
      </c>
      <c r="G4529" t="s">
        <v>317</v>
      </c>
      <c r="H4529">
        <v>22</v>
      </c>
      <c r="I4529">
        <f t="shared" si="72"/>
        <v>28</v>
      </c>
    </row>
    <row r="4530" spans="1:9">
      <c r="A4530" s="1">
        <v>42453.236111111109</v>
      </c>
      <c r="B4530" s="19">
        <v>42829</v>
      </c>
      <c r="C4530" s="21">
        <v>0.91527777777777775</v>
      </c>
      <c r="D4530" s="20" t="s">
        <v>3048</v>
      </c>
      <c r="E4530" t="s">
        <v>0</v>
      </c>
      <c r="F4530" t="s">
        <v>10</v>
      </c>
      <c r="G4530" t="s">
        <v>255</v>
      </c>
      <c r="H4530">
        <v>13</v>
      </c>
      <c r="I4530">
        <f t="shared" si="72"/>
        <v>17</v>
      </c>
    </row>
    <row r="4531" spans="1:9">
      <c r="A4531" s="1">
        <v>42453.227777777778</v>
      </c>
      <c r="B4531" s="19">
        <v>42829</v>
      </c>
      <c r="C4531" s="21">
        <v>0.90972222222222221</v>
      </c>
      <c r="D4531" s="20" t="s">
        <v>3048</v>
      </c>
      <c r="E4531" t="s">
        <v>0</v>
      </c>
      <c r="F4531" t="s">
        <v>10</v>
      </c>
      <c r="G4531" t="s">
        <v>145</v>
      </c>
      <c r="H4531">
        <v>13</v>
      </c>
      <c r="I4531">
        <f t="shared" si="72"/>
        <v>17</v>
      </c>
    </row>
    <row r="4532" spans="1:9">
      <c r="A4532" s="1">
        <v>42453.21875</v>
      </c>
      <c r="B4532" s="19">
        <v>42829</v>
      </c>
      <c r="C4532" s="21">
        <v>0.62847222222222221</v>
      </c>
      <c r="D4532" s="20" t="s">
        <v>3042</v>
      </c>
      <c r="E4532" t="s">
        <v>18</v>
      </c>
      <c r="F4532" t="s">
        <v>19</v>
      </c>
      <c r="G4532" t="s">
        <v>337</v>
      </c>
      <c r="H4532">
        <v>75</v>
      </c>
      <c r="I4532">
        <f t="shared" si="72"/>
        <v>93</v>
      </c>
    </row>
    <row r="4533" spans="1:9">
      <c r="A4533" s="1">
        <v>42453.125</v>
      </c>
      <c r="B4533" s="19">
        <v>42829</v>
      </c>
      <c r="C4533" s="21">
        <v>0.53611111111111109</v>
      </c>
      <c r="D4533" s="20" t="s">
        <v>3038</v>
      </c>
      <c r="E4533" t="s">
        <v>18</v>
      </c>
      <c r="F4533" t="s">
        <v>19</v>
      </c>
      <c r="H4533">
        <v>75</v>
      </c>
      <c r="I4533">
        <f t="shared" si="72"/>
        <v>93</v>
      </c>
    </row>
    <row r="4534" spans="1:9">
      <c r="A4534" s="1">
        <v>42453.021527777775</v>
      </c>
      <c r="B4534" s="19">
        <v>42829</v>
      </c>
      <c r="C4534" s="21">
        <v>0.25138888888888888</v>
      </c>
      <c r="D4534" s="20" t="s">
        <v>3031</v>
      </c>
      <c r="E4534" t="s">
        <v>0</v>
      </c>
      <c r="G4534" t="s">
        <v>193</v>
      </c>
      <c r="H4534">
        <v>13</v>
      </c>
      <c r="I4534">
        <f t="shared" si="72"/>
        <v>17</v>
      </c>
    </row>
    <row r="4535" spans="1:9">
      <c r="A4535" s="1">
        <v>42452.979861111111</v>
      </c>
      <c r="B4535" s="19">
        <v>42830</v>
      </c>
      <c r="C4535" s="21">
        <v>0.97499999999999998</v>
      </c>
      <c r="D4535" s="20" t="s">
        <v>3063</v>
      </c>
      <c r="E4535" t="s">
        <v>6</v>
      </c>
      <c r="F4535" t="s">
        <v>89</v>
      </c>
      <c r="G4535" t="s">
        <v>326</v>
      </c>
      <c r="H4535">
        <v>25</v>
      </c>
      <c r="I4535">
        <f t="shared" si="72"/>
        <v>31</v>
      </c>
    </row>
    <row r="4536" spans="1:9">
      <c r="A4536" s="1">
        <v>42452.902083333334</v>
      </c>
      <c r="B4536" s="19">
        <v>42830</v>
      </c>
      <c r="C4536" s="21">
        <v>0.7104166666666667</v>
      </c>
      <c r="D4536" s="20" t="s">
        <v>3044</v>
      </c>
      <c r="E4536" t="s">
        <v>6</v>
      </c>
      <c r="F4536" t="s">
        <v>15</v>
      </c>
      <c r="G4536" t="s">
        <v>327</v>
      </c>
      <c r="H4536">
        <v>9</v>
      </c>
      <c r="I4536">
        <f t="shared" si="72"/>
        <v>12</v>
      </c>
    </row>
    <row r="4537" spans="1:9">
      <c r="A4537" s="1">
        <v>42452.883333333331</v>
      </c>
      <c r="B4537" s="19">
        <v>42830</v>
      </c>
      <c r="C4537" s="21">
        <v>0.46527777777777779</v>
      </c>
      <c r="D4537" s="20" t="s">
        <v>3037</v>
      </c>
      <c r="E4537" t="s">
        <v>2</v>
      </c>
      <c r="F4537" t="s">
        <v>5</v>
      </c>
      <c r="G4537" t="s">
        <v>329</v>
      </c>
      <c r="H4537">
        <v>7</v>
      </c>
      <c r="I4537">
        <f t="shared" si="72"/>
        <v>9</v>
      </c>
    </row>
    <row r="4538" spans="1:9">
      <c r="A4538" s="1">
        <v>42452.867361111108</v>
      </c>
      <c r="B4538" s="19">
        <v>42830</v>
      </c>
      <c r="C4538" s="21">
        <v>0.3659722222222222</v>
      </c>
      <c r="D4538" s="20" t="s">
        <v>3034</v>
      </c>
      <c r="E4538" t="s">
        <v>2</v>
      </c>
      <c r="F4538" t="s">
        <v>48</v>
      </c>
      <c r="G4538" t="s">
        <v>330</v>
      </c>
      <c r="H4538">
        <v>7</v>
      </c>
      <c r="I4538">
        <f t="shared" si="72"/>
        <v>9</v>
      </c>
    </row>
    <row r="4539" spans="1:9">
      <c r="A4539" s="1">
        <v>42452.861805555556</v>
      </c>
      <c r="B4539" s="19">
        <v>42830</v>
      </c>
      <c r="C4539" s="21">
        <v>0.36249999999999999</v>
      </c>
      <c r="D4539" s="20" t="s">
        <v>3034</v>
      </c>
      <c r="E4539" t="s">
        <v>6</v>
      </c>
      <c r="F4539" t="s">
        <v>12</v>
      </c>
      <c r="G4539" t="s">
        <v>331</v>
      </c>
      <c r="H4539">
        <v>4</v>
      </c>
      <c r="I4539">
        <f t="shared" si="72"/>
        <v>5</v>
      </c>
    </row>
    <row r="4540" spans="1:9">
      <c r="A4540" s="1">
        <v>42452.856944444444</v>
      </c>
      <c r="B4540" s="19">
        <v>42830</v>
      </c>
      <c r="C4540" s="21">
        <v>0.21597222222222223</v>
      </c>
      <c r="D4540" s="20" t="s">
        <v>3055</v>
      </c>
      <c r="E4540" t="s">
        <v>6</v>
      </c>
      <c r="F4540" t="s">
        <v>12</v>
      </c>
      <c r="G4540" t="s">
        <v>65</v>
      </c>
      <c r="H4540">
        <v>5</v>
      </c>
      <c r="I4540">
        <f t="shared" si="72"/>
        <v>7</v>
      </c>
    </row>
    <row r="4541" spans="1:9">
      <c r="A4541" s="1">
        <v>42452.84652777778</v>
      </c>
      <c r="B4541" s="19">
        <v>42830</v>
      </c>
      <c r="C4541" s="21">
        <v>4.1666666666666664E-2</v>
      </c>
      <c r="D4541" s="20" t="s">
        <v>3051</v>
      </c>
      <c r="E4541" t="s">
        <v>6</v>
      </c>
      <c r="F4541" t="s">
        <v>12</v>
      </c>
      <c r="G4541" t="s">
        <v>45</v>
      </c>
      <c r="H4541">
        <v>5</v>
      </c>
      <c r="I4541">
        <f t="shared" si="72"/>
        <v>7</v>
      </c>
    </row>
    <row r="4542" spans="1:9">
      <c r="A4542" s="1">
        <v>42452.663888888892</v>
      </c>
      <c r="B4542" s="19">
        <v>42830</v>
      </c>
      <c r="C4542" s="21">
        <v>4.1666666666666664E-2</v>
      </c>
      <c r="D4542" s="20" t="s">
        <v>3051</v>
      </c>
      <c r="E4542" t="s">
        <v>6</v>
      </c>
      <c r="F4542" t="s">
        <v>76</v>
      </c>
      <c r="G4542" t="s">
        <v>65</v>
      </c>
      <c r="H4542">
        <v>8</v>
      </c>
      <c r="I4542">
        <f t="shared" si="72"/>
        <v>10</v>
      </c>
    </row>
    <row r="4543" spans="1:9">
      <c r="A4543" s="1">
        <v>42452.652777777781</v>
      </c>
      <c r="B4543" s="19">
        <v>42830</v>
      </c>
      <c r="C4543" s="21">
        <v>0.91805555555555551</v>
      </c>
      <c r="D4543" s="20" t="s">
        <v>3049</v>
      </c>
      <c r="E4543" t="s">
        <v>0</v>
      </c>
      <c r="F4543" t="s">
        <v>10</v>
      </c>
      <c r="G4543" t="s">
        <v>255</v>
      </c>
      <c r="H4543">
        <v>13</v>
      </c>
      <c r="I4543">
        <f t="shared" si="72"/>
        <v>17</v>
      </c>
    </row>
    <row r="4544" spans="1:9">
      <c r="A4544" s="1">
        <v>42452.651388888888</v>
      </c>
      <c r="B4544" s="19">
        <v>42830</v>
      </c>
      <c r="C4544" s="21">
        <v>0.91805555555555551</v>
      </c>
      <c r="D4544" s="20" t="s">
        <v>3049</v>
      </c>
      <c r="E4544" t="s">
        <v>0</v>
      </c>
      <c r="G4544" t="s">
        <v>317</v>
      </c>
      <c r="H4544">
        <v>19</v>
      </c>
      <c r="I4544">
        <f t="shared" si="72"/>
        <v>24</v>
      </c>
    </row>
    <row r="4545" spans="1:9">
      <c r="A4545" s="1">
        <v>42452.586111111108</v>
      </c>
      <c r="B4545" s="19">
        <v>42830</v>
      </c>
      <c r="C4545" s="21">
        <v>0.90972222222222221</v>
      </c>
      <c r="D4545" s="20" t="s">
        <v>3048</v>
      </c>
      <c r="E4545" t="s">
        <v>0</v>
      </c>
      <c r="F4545" t="s">
        <v>10</v>
      </c>
      <c r="G4545" t="s">
        <v>145</v>
      </c>
      <c r="H4545">
        <v>13</v>
      </c>
      <c r="I4545">
        <f t="shared" si="72"/>
        <v>17</v>
      </c>
    </row>
    <row r="4546" spans="1:9">
      <c r="A4546" s="1">
        <v>42452.51458333333</v>
      </c>
      <c r="B4546" s="19">
        <v>42830</v>
      </c>
      <c r="C4546" s="21">
        <v>0.60624999999999996</v>
      </c>
      <c r="D4546" s="20" t="s">
        <v>3040</v>
      </c>
      <c r="E4546" t="s">
        <v>0</v>
      </c>
      <c r="G4546" t="s">
        <v>328</v>
      </c>
      <c r="H4546">
        <v>34</v>
      </c>
      <c r="I4546">
        <f t="shared" si="72"/>
        <v>43</v>
      </c>
    </row>
    <row r="4547" spans="1:9">
      <c r="A4547" s="1">
        <v>42452.333333333336</v>
      </c>
      <c r="B4547" s="19">
        <v>42830</v>
      </c>
      <c r="C4547" s="21">
        <v>0.35347222222222224</v>
      </c>
      <c r="D4547" s="20" t="s">
        <v>3034</v>
      </c>
      <c r="E4547" t="s">
        <v>0</v>
      </c>
      <c r="F4547" t="s">
        <v>75</v>
      </c>
      <c r="H4547">
        <v>7</v>
      </c>
      <c r="I4547">
        <f t="shared" ref="I4547:I4610" si="73">ROUNDUP((H4547*1.24), 0)</f>
        <v>9</v>
      </c>
    </row>
    <row r="4548" spans="1:9">
      <c r="A4548" s="1">
        <v>42452.284722222219</v>
      </c>
      <c r="B4548" s="19">
        <v>42830</v>
      </c>
      <c r="C4548" s="21">
        <v>0.2902777777777778</v>
      </c>
      <c r="D4548" s="20" t="s">
        <v>3031</v>
      </c>
      <c r="E4548" t="s">
        <v>0</v>
      </c>
      <c r="G4548" t="s">
        <v>332</v>
      </c>
      <c r="H4548">
        <v>7</v>
      </c>
      <c r="I4548">
        <f t="shared" si="73"/>
        <v>9</v>
      </c>
    </row>
    <row r="4549" spans="1:9">
      <c r="A4549" s="1">
        <v>42452.729166666664</v>
      </c>
      <c r="B4549" s="19">
        <v>42830</v>
      </c>
      <c r="C4549" s="21">
        <v>0.25208333333333333</v>
      </c>
      <c r="D4549" s="20" t="s">
        <v>3031</v>
      </c>
      <c r="E4549" t="s">
        <v>0</v>
      </c>
      <c r="F4549" t="s">
        <v>1</v>
      </c>
      <c r="G4549" t="s">
        <v>9</v>
      </c>
      <c r="H4549">
        <v>15</v>
      </c>
      <c r="I4549">
        <f t="shared" si="73"/>
        <v>19</v>
      </c>
    </row>
    <row r="4550" spans="1:9">
      <c r="A4550" s="1">
        <v>42452.726388888892</v>
      </c>
      <c r="B4550" s="19">
        <v>42830</v>
      </c>
      <c r="C4550" s="21">
        <v>0.1423611111111111</v>
      </c>
      <c r="D4550" s="20" t="s">
        <v>3053</v>
      </c>
      <c r="E4550" t="s">
        <v>149</v>
      </c>
      <c r="F4550" t="s">
        <v>150</v>
      </c>
      <c r="G4550" t="s">
        <v>333</v>
      </c>
      <c r="H4550">
        <v>13</v>
      </c>
      <c r="I4550">
        <f t="shared" si="73"/>
        <v>17</v>
      </c>
    </row>
    <row r="4551" spans="1:9">
      <c r="A4551" s="1">
        <v>42452.725694444445</v>
      </c>
      <c r="B4551" s="19">
        <v>42830</v>
      </c>
      <c r="C4551" s="21">
        <v>0.10277777777777777</v>
      </c>
      <c r="D4551" s="20" t="s">
        <v>3052</v>
      </c>
      <c r="E4551" t="s">
        <v>33</v>
      </c>
      <c r="F4551" t="s">
        <v>155</v>
      </c>
      <c r="G4551" t="s">
        <v>3061</v>
      </c>
      <c r="H4551">
        <v>7</v>
      </c>
      <c r="I4551">
        <f t="shared" si="73"/>
        <v>9</v>
      </c>
    </row>
    <row r="4552" spans="1:9">
      <c r="A4552" s="1">
        <v>42452.611805555556</v>
      </c>
      <c r="B4552" s="19">
        <v>42831</v>
      </c>
      <c r="C4552" s="21">
        <v>0.625</v>
      </c>
      <c r="D4552" s="20" t="s">
        <v>3042</v>
      </c>
      <c r="E4552" t="s">
        <v>2</v>
      </c>
      <c r="F4552" t="s">
        <v>5</v>
      </c>
      <c r="G4552" t="s">
        <v>319</v>
      </c>
      <c r="H4552" t="e">
        <v>#VALUE!</v>
      </c>
      <c r="I4552" t="e">
        <f t="shared" si="73"/>
        <v>#VALUE!</v>
      </c>
    </row>
    <row r="4553" spans="1:9">
      <c r="A4553" s="1">
        <v>42452.459027777775</v>
      </c>
      <c r="B4553" s="19">
        <v>42831</v>
      </c>
      <c r="C4553" s="21">
        <v>0.5854166666666667</v>
      </c>
      <c r="D4553" s="20" t="s">
        <v>3040</v>
      </c>
      <c r="E4553" t="s">
        <v>2</v>
      </c>
      <c r="F4553" t="s">
        <v>48</v>
      </c>
      <c r="G4553" t="s">
        <v>321</v>
      </c>
      <c r="H4553">
        <v>19</v>
      </c>
      <c r="I4553">
        <f t="shared" si="73"/>
        <v>24</v>
      </c>
    </row>
    <row r="4554" spans="1:9">
      <c r="A4554" s="1">
        <v>42452.448611111111</v>
      </c>
      <c r="B4554" s="19">
        <v>42831</v>
      </c>
      <c r="C4554" s="21">
        <v>0.52638888888888891</v>
      </c>
      <c r="D4554" s="20" t="s">
        <v>3038</v>
      </c>
      <c r="E4554" t="s">
        <v>2</v>
      </c>
      <c r="F4554" t="s">
        <v>5</v>
      </c>
      <c r="G4554" t="s">
        <v>322</v>
      </c>
      <c r="H4554" t="e">
        <v>#VALUE!</v>
      </c>
      <c r="I4554" t="e">
        <f t="shared" si="73"/>
        <v>#VALUE!</v>
      </c>
    </row>
    <row r="4555" spans="1:9">
      <c r="A4555" s="1">
        <v>42452.421527777777</v>
      </c>
      <c r="B4555" s="19">
        <v>42831</v>
      </c>
      <c r="C4555" s="21">
        <v>0.52638888888888891</v>
      </c>
      <c r="D4555" s="20" t="s">
        <v>3038</v>
      </c>
      <c r="E4555" t="s">
        <v>2</v>
      </c>
      <c r="F4555" t="s">
        <v>5</v>
      </c>
      <c r="G4555" t="s">
        <v>322</v>
      </c>
      <c r="H4555" t="e">
        <v>#VALUE!</v>
      </c>
      <c r="I4555" t="e">
        <f t="shared" si="73"/>
        <v>#VALUE!</v>
      </c>
    </row>
    <row r="4556" spans="1:9">
      <c r="A4556" s="1">
        <v>42452.397222222222</v>
      </c>
      <c r="B4556" s="19">
        <v>42831</v>
      </c>
      <c r="C4556" s="21">
        <v>0.51180555555555551</v>
      </c>
      <c r="D4556" s="20" t="s">
        <v>3038</v>
      </c>
      <c r="E4556" t="s">
        <v>2</v>
      </c>
      <c r="F4556" t="s">
        <v>48</v>
      </c>
      <c r="G4556" t="s">
        <v>322</v>
      </c>
      <c r="H4556">
        <v>25</v>
      </c>
      <c r="I4556">
        <f t="shared" si="73"/>
        <v>31</v>
      </c>
    </row>
    <row r="4557" spans="1:9">
      <c r="A4557" s="1">
        <v>42452.381944444445</v>
      </c>
      <c r="B4557" s="19">
        <v>42831</v>
      </c>
      <c r="C4557" s="21">
        <v>0.51180555555555551</v>
      </c>
      <c r="D4557" s="20" t="s">
        <v>3038</v>
      </c>
      <c r="E4557" t="s">
        <v>2</v>
      </c>
      <c r="F4557" t="s">
        <v>48</v>
      </c>
      <c r="G4557" t="s">
        <v>322</v>
      </c>
      <c r="H4557">
        <v>25</v>
      </c>
      <c r="I4557">
        <f t="shared" si="73"/>
        <v>31</v>
      </c>
    </row>
    <row r="4558" spans="1:9">
      <c r="A4558" s="1">
        <v>42452.302777777775</v>
      </c>
      <c r="B4558" s="19">
        <v>42831</v>
      </c>
      <c r="C4558" s="21">
        <v>0.51041666666666663</v>
      </c>
      <c r="D4558" s="20" t="s">
        <v>3038</v>
      </c>
      <c r="E4558" t="s">
        <v>6</v>
      </c>
      <c r="F4558" t="s">
        <v>12</v>
      </c>
      <c r="H4558" t="e">
        <v>#VALUE!</v>
      </c>
      <c r="I4558" t="e">
        <f t="shared" si="73"/>
        <v>#VALUE!</v>
      </c>
    </row>
    <row r="4559" spans="1:9">
      <c r="A4559" s="1">
        <v>42452.254861111112</v>
      </c>
      <c r="B4559" s="19">
        <v>42831</v>
      </c>
      <c r="C4559" s="21">
        <v>0.51041666666666663</v>
      </c>
      <c r="D4559" s="20" t="s">
        <v>3038</v>
      </c>
      <c r="E4559" t="s">
        <v>6</v>
      </c>
      <c r="F4559" t="s">
        <v>12</v>
      </c>
      <c r="H4559" t="e">
        <v>#VALUE!</v>
      </c>
      <c r="I4559" t="e">
        <f t="shared" si="73"/>
        <v>#VALUE!</v>
      </c>
    </row>
    <row r="4560" spans="1:9">
      <c r="A4560" s="1">
        <v>42451.908333333333</v>
      </c>
      <c r="B4560" s="19">
        <v>42831</v>
      </c>
      <c r="C4560" s="21">
        <v>0.39305555555555555</v>
      </c>
      <c r="D4560" s="20" t="s">
        <v>3035</v>
      </c>
      <c r="E4560" t="s">
        <v>6</v>
      </c>
      <c r="G4560" t="s">
        <v>323</v>
      </c>
      <c r="H4560">
        <v>10</v>
      </c>
      <c r="I4560">
        <f t="shared" si="73"/>
        <v>13</v>
      </c>
    </row>
    <row r="4561" spans="1:9">
      <c r="A4561" s="1">
        <v>42451.876388888886</v>
      </c>
      <c r="B4561" s="19">
        <v>42831</v>
      </c>
      <c r="C4561" s="21">
        <v>0.39305555555555555</v>
      </c>
      <c r="D4561" s="20" t="s">
        <v>3035</v>
      </c>
      <c r="E4561" t="s">
        <v>6</v>
      </c>
      <c r="G4561" t="s">
        <v>323</v>
      </c>
      <c r="H4561">
        <v>10</v>
      </c>
      <c r="I4561">
        <f t="shared" si="73"/>
        <v>13</v>
      </c>
    </row>
    <row r="4562" spans="1:9">
      <c r="A4562" s="1">
        <v>42451.851388888892</v>
      </c>
      <c r="B4562" s="19">
        <v>42831</v>
      </c>
      <c r="C4562" s="21">
        <v>0.32083333333333336</v>
      </c>
      <c r="D4562" s="20" t="s">
        <v>3033</v>
      </c>
      <c r="E4562" t="s">
        <v>2</v>
      </c>
      <c r="F4562" t="s">
        <v>5</v>
      </c>
      <c r="H4562">
        <v>7</v>
      </c>
      <c r="I4562">
        <f t="shared" si="73"/>
        <v>9</v>
      </c>
    </row>
    <row r="4563" spans="1:9">
      <c r="A4563" s="1">
        <v>42451.851388888892</v>
      </c>
      <c r="B4563" s="19">
        <v>42831</v>
      </c>
      <c r="C4563" s="21">
        <v>0.32083333333333336</v>
      </c>
      <c r="D4563" s="20" t="s">
        <v>3033</v>
      </c>
      <c r="E4563" t="s">
        <v>2</v>
      </c>
      <c r="F4563" t="s">
        <v>5</v>
      </c>
      <c r="H4563">
        <v>7</v>
      </c>
      <c r="I4563">
        <f t="shared" si="73"/>
        <v>9</v>
      </c>
    </row>
    <row r="4564" spans="1:9">
      <c r="A4564" s="1">
        <v>42451.774305555555</v>
      </c>
      <c r="B4564" s="19">
        <v>42831</v>
      </c>
      <c r="C4564" s="21">
        <v>0.30694444444444446</v>
      </c>
      <c r="D4564" s="20" t="s">
        <v>3033</v>
      </c>
      <c r="E4564" t="s">
        <v>6</v>
      </c>
      <c r="F4564" t="s">
        <v>12</v>
      </c>
      <c r="H4564">
        <v>25</v>
      </c>
      <c r="I4564">
        <f t="shared" si="73"/>
        <v>31</v>
      </c>
    </row>
    <row r="4565" spans="1:9">
      <c r="A4565" s="1">
        <v>42451.724305555559</v>
      </c>
      <c r="B4565" s="19">
        <v>42831</v>
      </c>
      <c r="C4565" s="21">
        <v>0.30694444444444446</v>
      </c>
      <c r="D4565" s="20" t="s">
        <v>3033</v>
      </c>
      <c r="E4565" t="s">
        <v>6</v>
      </c>
      <c r="F4565" t="s">
        <v>12</v>
      </c>
      <c r="H4565">
        <v>25</v>
      </c>
      <c r="I4565">
        <f t="shared" si="73"/>
        <v>31</v>
      </c>
    </row>
    <row r="4566" spans="1:9">
      <c r="A4566" s="1">
        <v>42451.682638888888</v>
      </c>
      <c r="B4566" s="19">
        <v>42831</v>
      </c>
      <c r="C4566" s="21">
        <v>0.27500000000000002</v>
      </c>
      <c r="D4566" s="20" t="s">
        <v>3031</v>
      </c>
      <c r="E4566" t="s">
        <v>6</v>
      </c>
      <c r="F4566" t="s">
        <v>76</v>
      </c>
      <c r="G4566" t="s">
        <v>120</v>
      </c>
      <c r="H4566">
        <v>7</v>
      </c>
      <c r="I4566">
        <f t="shared" si="73"/>
        <v>9</v>
      </c>
    </row>
    <row r="4567" spans="1:9">
      <c r="A4567" s="1">
        <v>42451.620138888888</v>
      </c>
      <c r="B4567" s="19">
        <v>42831</v>
      </c>
      <c r="C4567" s="21">
        <v>0.27500000000000002</v>
      </c>
      <c r="D4567" s="20" t="s">
        <v>3031</v>
      </c>
      <c r="E4567" t="s">
        <v>6</v>
      </c>
      <c r="F4567" t="s">
        <v>76</v>
      </c>
      <c r="G4567" t="s">
        <v>120</v>
      </c>
      <c r="H4567">
        <v>7</v>
      </c>
      <c r="I4567">
        <f t="shared" si="73"/>
        <v>9</v>
      </c>
    </row>
    <row r="4568" spans="1:9">
      <c r="A4568" s="1">
        <v>42451.620138888888</v>
      </c>
      <c r="B4568" s="19">
        <v>42831</v>
      </c>
      <c r="C4568" s="21">
        <v>0.26250000000000001</v>
      </c>
      <c r="D4568" s="20" t="s">
        <v>3031</v>
      </c>
      <c r="E4568" t="s">
        <v>6</v>
      </c>
      <c r="F4568" t="s">
        <v>15</v>
      </c>
      <c r="G4568" t="s">
        <v>325</v>
      </c>
      <c r="H4568">
        <v>372</v>
      </c>
      <c r="I4568">
        <f t="shared" si="73"/>
        <v>462</v>
      </c>
    </row>
    <row r="4569" spans="1:9">
      <c r="A4569" s="1">
        <v>42451.620138888888</v>
      </c>
      <c r="B4569" s="19">
        <v>42831</v>
      </c>
      <c r="C4569" s="21">
        <v>0.26250000000000001</v>
      </c>
      <c r="D4569" s="20" t="s">
        <v>3031</v>
      </c>
      <c r="E4569" t="s">
        <v>6</v>
      </c>
      <c r="F4569" t="s">
        <v>15</v>
      </c>
      <c r="G4569" t="s">
        <v>325</v>
      </c>
      <c r="H4569">
        <v>372</v>
      </c>
      <c r="I4569">
        <f t="shared" si="73"/>
        <v>462</v>
      </c>
    </row>
    <row r="4570" spans="1:9">
      <c r="A4570" s="1">
        <v>42451.619444444441</v>
      </c>
      <c r="B4570" s="19">
        <v>42831</v>
      </c>
      <c r="C4570" s="21">
        <v>0.92152777777777772</v>
      </c>
      <c r="D4570" s="20" t="s">
        <v>3049</v>
      </c>
      <c r="E4570" t="s">
        <v>0</v>
      </c>
      <c r="F4570" t="s">
        <v>10</v>
      </c>
      <c r="G4570" t="s">
        <v>255</v>
      </c>
      <c r="H4570">
        <v>13</v>
      </c>
      <c r="I4570">
        <f t="shared" si="73"/>
        <v>17</v>
      </c>
    </row>
    <row r="4571" spans="1:9">
      <c r="A4571" s="1">
        <v>42451.619444444441</v>
      </c>
      <c r="B4571" s="19">
        <v>42831</v>
      </c>
      <c r="C4571" s="21">
        <v>0.92083333333333328</v>
      </c>
      <c r="D4571" s="20" t="s">
        <v>3049</v>
      </c>
      <c r="E4571" t="s">
        <v>0</v>
      </c>
      <c r="G4571" t="s">
        <v>317</v>
      </c>
      <c r="H4571">
        <v>19</v>
      </c>
      <c r="I4571">
        <f t="shared" si="73"/>
        <v>24</v>
      </c>
    </row>
    <row r="4572" spans="1:9">
      <c r="A4572" s="1">
        <v>42451.619444444441</v>
      </c>
      <c r="B4572" s="19">
        <v>42831</v>
      </c>
      <c r="C4572" s="21">
        <v>0.91249999999999998</v>
      </c>
      <c r="D4572" s="20" t="s">
        <v>3048</v>
      </c>
      <c r="E4572" t="s">
        <v>0</v>
      </c>
      <c r="F4572" t="s">
        <v>10</v>
      </c>
      <c r="G4572" t="s">
        <v>145</v>
      </c>
      <c r="H4572">
        <v>13</v>
      </c>
      <c r="I4572">
        <f t="shared" si="73"/>
        <v>17</v>
      </c>
    </row>
    <row r="4573" spans="1:9">
      <c r="A4573" s="1">
        <v>42451.443055555559</v>
      </c>
      <c r="B4573" s="19">
        <v>42831</v>
      </c>
      <c r="C4573" s="21">
        <v>0.72222222222222221</v>
      </c>
      <c r="D4573" s="20" t="s">
        <v>3044</v>
      </c>
      <c r="E4573" t="s">
        <v>18</v>
      </c>
      <c r="F4573" t="s">
        <v>100</v>
      </c>
      <c r="G4573" t="s">
        <v>318</v>
      </c>
      <c r="H4573">
        <v>9</v>
      </c>
      <c r="I4573">
        <f t="shared" si="73"/>
        <v>12</v>
      </c>
    </row>
    <row r="4574" spans="1:9">
      <c r="A4574" s="1">
        <v>42451.397916666669</v>
      </c>
      <c r="B4574" s="19">
        <v>42831</v>
      </c>
      <c r="C4574" s="21">
        <v>0.59027777777777779</v>
      </c>
      <c r="D4574" s="20" t="s">
        <v>3040</v>
      </c>
      <c r="E4574" t="s">
        <v>0</v>
      </c>
      <c r="F4574" t="s">
        <v>1</v>
      </c>
      <c r="G4574" t="s">
        <v>320</v>
      </c>
      <c r="H4574">
        <v>22</v>
      </c>
      <c r="I4574">
        <f t="shared" si="73"/>
        <v>28</v>
      </c>
    </row>
    <row r="4575" spans="1:9">
      <c r="A4575" s="1">
        <v>42451.395138888889</v>
      </c>
      <c r="B4575" s="19">
        <v>42831</v>
      </c>
      <c r="C4575" s="21">
        <v>0.5083333333333333</v>
      </c>
      <c r="D4575" s="20" t="s">
        <v>3038</v>
      </c>
      <c r="E4575" t="s">
        <v>77</v>
      </c>
      <c r="H4575">
        <v>4</v>
      </c>
      <c r="I4575">
        <f t="shared" si="73"/>
        <v>5</v>
      </c>
    </row>
    <row r="4576" spans="1:9">
      <c r="A4576" s="1">
        <v>42451.18472222222</v>
      </c>
      <c r="B4576" s="19">
        <v>42831</v>
      </c>
      <c r="C4576" s="21">
        <v>0.5083333333333333</v>
      </c>
      <c r="D4576" s="20" t="s">
        <v>3038</v>
      </c>
      <c r="E4576" t="s">
        <v>77</v>
      </c>
      <c r="H4576">
        <v>4</v>
      </c>
      <c r="I4576">
        <f t="shared" si="73"/>
        <v>5</v>
      </c>
    </row>
    <row r="4577" spans="1:9">
      <c r="A4577" s="1">
        <v>42451.181944444441</v>
      </c>
      <c r="B4577" s="19">
        <v>42831</v>
      </c>
      <c r="C4577" s="21">
        <v>0.39791666666666664</v>
      </c>
      <c r="D4577" s="20" t="s">
        <v>3035</v>
      </c>
      <c r="E4577" t="s">
        <v>0</v>
      </c>
      <c r="F4577" t="s">
        <v>75</v>
      </c>
      <c r="H4577">
        <v>7</v>
      </c>
      <c r="I4577">
        <f t="shared" si="73"/>
        <v>9</v>
      </c>
    </row>
    <row r="4578" spans="1:9">
      <c r="A4578" s="1">
        <v>42451.14166666667</v>
      </c>
      <c r="B4578" s="19">
        <v>42831</v>
      </c>
      <c r="C4578" s="21">
        <v>0.39791666666666664</v>
      </c>
      <c r="D4578" s="20" t="s">
        <v>3035</v>
      </c>
      <c r="E4578" t="s">
        <v>0</v>
      </c>
      <c r="F4578" t="s">
        <v>75</v>
      </c>
      <c r="H4578">
        <v>7</v>
      </c>
      <c r="I4578">
        <f t="shared" si="73"/>
        <v>9</v>
      </c>
    </row>
    <row r="4579" spans="1:9">
      <c r="A4579" s="1">
        <v>42451.115972222222</v>
      </c>
      <c r="B4579" s="19">
        <v>42831</v>
      </c>
      <c r="C4579" s="21">
        <v>0.33402777777777776</v>
      </c>
      <c r="D4579" s="20" t="s">
        <v>3034</v>
      </c>
      <c r="E4579" t="s">
        <v>33</v>
      </c>
      <c r="F4579" t="s">
        <v>44</v>
      </c>
      <c r="G4579" t="s">
        <v>324</v>
      </c>
      <c r="H4579">
        <v>20</v>
      </c>
      <c r="I4579">
        <f t="shared" si="73"/>
        <v>25</v>
      </c>
    </row>
    <row r="4580" spans="1:9">
      <c r="A4580" s="1">
        <v>42451.042361111111</v>
      </c>
      <c r="B4580" s="19">
        <v>42831</v>
      </c>
      <c r="C4580" s="21">
        <v>0.33402777777777776</v>
      </c>
      <c r="D4580" s="20" t="s">
        <v>3034</v>
      </c>
      <c r="E4580" t="s">
        <v>33</v>
      </c>
      <c r="F4580" t="s">
        <v>44</v>
      </c>
      <c r="G4580" t="s">
        <v>324</v>
      </c>
      <c r="H4580">
        <v>20</v>
      </c>
      <c r="I4580">
        <f t="shared" si="73"/>
        <v>25</v>
      </c>
    </row>
    <row r="4581" spans="1:9">
      <c r="A4581" s="1">
        <v>42451.84375</v>
      </c>
      <c r="B4581" s="19">
        <v>42831</v>
      </c>
      <c r="C4581" s="21">
        <v>0.32916666666666666</v>
      </c>
      <c r="D4581" s="20" t="s">
        <v>3033</v>
      </c>
      <c r="E4581" t="s">
        <v>0</v>
      </c>
      <c r="F4581" t="s">
        <v>1</v>
      </c>
      <c r="H4581">
        <v>7</v>
      </c>
      <c r="I4581">
        <f t="shared" si="73"/>
        <v>9</v>
      </c>
    </row>
    <row r="4582" spans="1:9">
      <c r="A4582" s="1">
        <v>42451.776388888888</v>
      </c>
      <c r="B4582" s="19">
        <v>42831</v>
      </c>
      <c r="C4582" s="21">
        <v>0.32916666666666666</v>
      </c>
      <c r="D4582" s="20" t="s">
        <v>3033</v>
      </c>
      <c r="E4582" t="s">
        <v>0</v>
      </c>
      <c r="F4582" t="s">
        <v>1</v>
      </c>
      <c r="H4582">
        <v>7</v>
      </c>
      <c r="I4582">
        <f t="shared" si="73"/>
        <v>9</v>
      </c>
    </row>
    <row r="4583" spans="1:9">
      <c r="A4583" s="1">
        <v>42451.645833333336</v>
      </c>
      <c r="B4583" s="19">
        <v>42831</v>
      </c>
      <c r="C4583" s="21">
        <v>0.29166666666666669</v>
      </c>
      <c r="D4583" s="20" t="s">
        <v>3033</v>
      </c>
      <c r="E4583" t="s">
        <v>33</v>
      </c>
      <c r="F4583" t="s">
        <v>44</v>
      </c>
      <c r="G4583" t="s">
        <v>324</v>
      </c>
      <c r="H4583">
        <v>25</v>
      </c>
      <c r="I4583">
        <f t="shared" si="73"/>
        <v>31</v>
      </c>
    </row>
    <row r="4584" spans="1:9">
      <c r="A4584" s="1">
        <v>42451.272916666669</v>
      </c>
      <c r="B4584" s="19">
        <v>42831</v>
      </c>
      <c r="C4584" s="21">
        <v>0.29166666666666669</v>
      </c>
      <c r="D4584" s="20" t="s">
        <v>3033</v>
      </c>
      <c r="E4584" t="s">
        <v>33</v>
      </c>
      <c r="F4584" t="s">
        <v>44</v>
      </c>
      <c r="G4584" t="s">
        <v>324</v>
      </c>
      <c r="H4584">
        <v>25</v>
      </c>
      <c r="I4584">
        <f t="shared" si="73"/>
        <v>31</v>
      </c>
    </row>
    <row r="4585" spans="1:9">
      <c r="A4585" s="1">
        <v>42450.974305555559</v>
      </c>
      <c r="B4585" s="19">
        <v>42831</v>
      </c>
      <c r="C4585" s="21">
        <v>0.25</v>
      </c>
      <c r="D4585" s="20" t="s">
        <v>3031</v>
      </c>
      <c r="E4585" t="s">
        <v>0</v>
      </c>
      <c r="F4585" t="s">
        <v>1</v>
      </c>
      <c r="G4585" t="s">
        <v>9</v>
      </c>
      <c r="H4585">
        <v>17</v>
      </c>
      <c r="I4585">
        <f t="shared" si="73"/>
        <v>22</v>
      </c>
    </row>
    <row r="4586" spans="1:9">
      <c r="A4586" s="1">
        <v>42450.665972222225</v>
      </c>
      <c r="B4586" s="19">
        <v>42831</v>
      </c>
      <c r="C4586" s="21">
        <v>0.25</v>
      </c>
      <c r="D4586" s="20" t="s">
        <v>3031</v>
      </c>
      <c r="E4586" t="s">
        <v>0</v>
      </c>
      <c r="F4586" t="s">
        <v>1</v>
      </c>
      <c r="G4586" t="s">
        <v>9</v>
      </c>
      <c r="H4586">
        <v>17</v>
      </c>
      <c r="I4586">
        <f t="shared" si="73"/>
        <v>22</v>
      </c>
    </row>
    <row r="4587" spans="1:9">
      <c r="A4587" s="1">
        <v>42450.665972222225</v>
      </c>
      <c r="B4587" s="19">
        <v>42832</v>
      </c>
      <c r="C4587" s="21">
        <v>0.77013888888888893</v>
      </c>
      <c r="D4587" s="20" t="s">
        <v>3045</v>
      </c>
      <c r="E4587" t="s">
        <v>2</v>
      </c>
      <c r="F4587" t="s">
        <v>56</v>
      </c>
      <c r="G4587" t="s">
        <v>57</v>
      </c>
      <c r="H4587">
        <v>31</v>
      </c>
      <c r="I4587">
        <f t="shared" si="73"/>
        <v>39</v>
      </c>
    </row>
    <row r="4588" spans="1:9">
      <c r="A4588" s="1">
        <v>42450.586805555555</v>
      </c>
      <c r="B4588" s="19">
        <v>42832</v>
      </c>
      <c r="C4588" s="21">
        <v>0.56111111111111112</v>
      </c>
      <c r="D4588" s="20" t="s">
        <v>3039</v>
      </c>
      <c r="E4588" t="s">
        <v>6</v>
      </c>
      <c r="F4588" t="s">
        <v>12</v>
      </c>
      <c r="G4588" t="s">
        <v>195</v>
      </c>
      <c r="H4588">
        <v>4</v>
      </c>
      <c r="I4588">
        <f t="shared" si="73"/>
        <v>5</v>
      </c>
    </row>
    <row r="4589" spans="1:9">
      <c r="A4589" s="1">
        <v>42450.577777777777</v>
      </c>
      <c r="B4589" s="19">
        <v>42832</v>
      </c>
      <c r="C4589" s="21">
        <v>0.3840277777777778</v>
      </c>
      <c r="D4589" s="20" t="s">
        <v>3035</v>
      </c>
      <c r="E4589" t="s">
        <v>2</v>
      </c>
      <c r="F4589" t="s">
        <v>48</v>
      </c>
      <c r="H4589">
        <v>34</v>
      </c>
      <c r="I4589">
        <f t="shared" si="73"/>
        <v>43</v>
      </c>
    </row>
    <row r="4590" spans="1:9">
      <c r="A4590" s="1">
        <v>42450.26458333333</v>
      </c>
      <c r="B4590" s="19">
        <v>42832</v>
      </c>
      <c r="C4590" s="21">
        <v>0.90069444444444446</v>
      </c>
      <c r="D4590" s="20" t="s">
        <v>3048</v>
      </c>
      <c r="E4590" t="s">
        <v>0</v>
      </c>
      <c r="F4590" t="s">
        <v>10</v>
      </c>
      <c r="G4590" t="s">
        <v>312</v>
      </c>
      <c r="H4590">
        <v>25</v>
      </c>
      <c r="I4590">
        <f t="shared" si="73"/>
        <v>31</v>
      </c>
    </row>
    <row r="4591" spans="1:9">
      <c r="A4591" s="1">
        <v>42450.717361111114</v>
      </c>
      <c r="B4591" s="19">
        <v>42832</v>
      </c>
      <c r="C4591" s="21">
        <v>0.57916666666666672</v>
      </c>
      <c r="D4591" s="20" t="s">
        <v>3039</v>
      </c>
      <c r="E4591" t="s">
        <v>0</v>
      </c>
      <c r="F4591" t="s">
        <v>313</v>
      </c>
      <c r="H4591">
        <v>8</v>
      </c>
      <c r="I4591">
        <f t="shared" si="73"/>
        <v>10</v>
      </c>
    </row>
    <row r="4592" spans="1:9">
      <c r="A4592" s="1">
        <v>42450.709722222222</v>
      </c>
      <c r="B4592" s="19">
        <v>42832</v>
      </c>
      <c r="C4592" s="21">
        <v>0.4201388888888889</v>
      </c>
      <c r="D4592" s="20" t="s">
        <v>3036</v>
      </c>
      <c r="E4592" t="s">
        <v>18</v>
      </c>
      <c r="F4592" t="s">
        <v>100</v>
      </c>
      <c r="G4592" t="s">
        <v>314</v>
      </c>
      <c r="H4592" t="e">
        <v>#VALUE!</v>
      </c>
      <c r="I4592" t="e">
        <f t="shared" si="73"/>
        <v>#VALUE!</v>
      </c>
    </row>
    <row r="4593" spans="1:9">
      <c r="A4593" s="1">
        <v>42450.693749999999</v>
      </c>
      <c r="B4593" s="19">
        <v>42832</v>
      </c>
      <c r="C4593" s="21">
        <v>0.29305555555555557</v>
      </c>
      <c r="D4593" s="20" t="s">
        <v>3033</v>
      </c>
      <c r="E4593" t="s">
        <v>18</v>
      </c>
      <c r="F4593" t="s">
        <v>100</v>
      </c>
      <c r="G4593" t="s">
        <v>315</v>
      </c>
      <c r="H4593" t="e">
        <v>#VALUE!</v>
      </c>
      <c r="I4593" t="e">
        <f t="shared" si="73"/>
        <v>#VALUE!</v>
      </c>
    </row>
    <row r="4594" spans="1:9">
      <c r="A4594" s="1">
        <v>42450.681944444441</v>
      </c>
      <c r="B4594" s="19">
        <v>42832</v>
      </c>
      <c r="C4594" s="21">
        <v>0.28263888888888888</v>
      </c>
      <c r="D4594" s="20" t="s">
        <v>3031</v>
      </c>
      <c r="E4594" t="s">
        <v>18</v>
      </c>
      <c r="F4594" t="s">
        <v>19</v>
      </c>
      <c r="G4594" t="s">
        <v>316</v>
      </c>
      <c r="H4594">
        <v>62</v>
      </c>
      <c r="I4594">
        <f t="shared" si="73"/>
        <v>77</v>
      </c>
    </row>
    <row r="4595" spans="1:9">
      <c r="A4595" s="1">
        <v>42450.630555555559</v>
      </c>
      <c r="B4595" s="19">
        <v>42832</v>
      </c>
      <c r="C4595" s="21">
        <v>0.25208333333333333</v>
      </c>
      <c r="D4595" s="20" t="s">
        <v>3031</v>
      </c>
      <c r="E4595" t="s">
        <v>0</v>
      </c>
      <c r="F4595" t="s">
        <v>1</v>
      </c>
      <c r="G4595" t="s">
        <v>9</v>
      </c>
      <c r="H4595">
        <v>17</v>
      </c>
      <c r="I4595">
        <f t="shared" si="73"/>
        <v>22</v>
      </c>
    </row>
    <row r="4596" spans="1:9">
      <c r="A4596" s="1">
        <v>42450.618750000001</v>
      </c>
      <c r="B4596" s="19">
        <v>42836</v>
      </c>
      <c r="C4596" s="21">
        <v>0.92152777777777772</v>
      </c>
      <c r="D4596" s="20" t="s">
        <v>3049</v>
      </c>
      <c r="E4596" t="s">
        <v>6</v>
      </c>
      <c r="G4596" t="s">
        <v>297</v>
      </c>
      <c r="H4596" t="e">
        <v>#VALUE!</v>
      </c>
      <c r="I4596" t="e">
        <f t="shared" si="73"/>
        <v>#VALUE!</v>
      </c>
    </row>
    <row r="4597" spans="1:9">
      <c r="A4597" s="1">
        <v>42450.449305555558</v>
      </c>
      <c r="B4597" s="19">
        <v>42836</v>
      </c>
      <c r="C4597" s="21">
        <v>0.90902777777777777</v>
      </c>
      <c r="D4597" s="20" t="s">
        <v>3048</v>
      </c>
      <c r="E4597" t="s">
        <v>2</v>
      </c>
      <c r="F4597" t="s">
        <v>5</v>
      </c>
      <c r="H4597">
        <v>25</v>
      </c>
      <c r="I4597">
        <f t="shared" si="73"/>
        <v>31</v>
      </c>
    </row>
    <row r="4598" spans="1:9">
      <c r="A4598" s="1">
        <v>42450.434027777781</v>
      </c>
      <c r="B4598" s="19">
        <v>42836</v>
      </c>
      <c r="C4598" s="21">
        <v>0.87569444444444444</v>
      </c>
      <c r="D4598" s="20" t="s">
        <v>3048</v>
      </c>
      <c r="E4598" t="s">
        <v>6</v>
      </c>
      <c r="F4598" t="s">
        <v>76</v>
      </c>
      <c r="G4598" t="s">
        <v>298</v>
      </c>
      <c r="H4598">
        <v>17</v>
      </c>
      <c r="I4598">
        <f t="shared" si="73"/>
        <v>22</v>
      </c>
    </row>
    <row r="4599" spans="1:9">
      <c r="A4599" s="1">
        <v>42450.341666666667</v>
      </c>
      <c r="B4599" s="19">
        <v>42836</v>
      </c>
      <c r="C4599" s="21">
        <v>0.86875000000000002</v>
      </c>
      <c r="D4599" s="20" t="s">
        <v>3047</v>
      </c>
      <c r="E4599" t="s">
        <v>6</v>
      </c>
      <c r="F4599" t="s">
        <v>15</v>
      </c>
      <c r="G4599" t="s">
        <v>299</v>
      </c>
      <c r="H4599">
        <v>38</v>
      </c>
      <c r="I4599">
        <f t="shared" si="73"/>
        <v>48</v>
      </c>
    </row>
    <row r="4600" spans="1:9">
      <c r="A4600" s="1">
        <v>42450.334027777775</v>
      </c>
      <c r="B4600" s="19">
        <v>42836</v>
      </c>
      <c r="C4600" s="21">
        <v>0.8618055555555556</v>
      </c>
      <c r="D4600" s="20" t="s">
        <v>3047</v>
      </c>
      <c r="E4600" t="s">
        <v>6</v>
      </c>
      <c r="F4600" t="s">
        <v>15</v>
      </c>
      <c r="G4600" t="s">
        <v>300</v>
      </c>
      <c r="H4600">
        <v>13</v>
      </c>
      <c r="I4600">
        <f t="shared" si="73"/>
        <v>17</v>
      </c>
    </row>
    <row r="4601" spans="1:9">
      <c r="A4601" s="1">
        <v>42448.20416666667</v>
      </c>
      <c r="B4601" s="19">
        <v>42836</v>
      </c>
      <c r="C4601" s="21">
        <v>0.8618055555555556</v>
      </c>
      <c r="D4601" s="20" t="s">
        <v>3047</v>
      </c>
      <c r="E4601" t="s">
        <v>2</v>
      </c>
      <c r="F4601" t="s">
        <v>5</v>
      </c>
      <c r="G4601" t="s">
        <v>301</v>
      </c>
      <c r="H4601">
        <v>31</v>
      </c>
      <c r="I4601">
        <f t="shared" si="73"/>
        <v>39</v>
      </c>
    </row>
    <row r="4602" spans="1:9">
      <c r="A4602" s="1">
        <v>42448.170138888891</v>
      </c>
      <c r="B4602" s="19">
        <v>42836</v>
      </c>
      <c r="C4602" s="21">
        <v>0.82638888888888884</v>
      </c>
      <c r="D4602" s="20" t="s">
        <v>3046</v>
      </c>
      <c r="E4602" t="s">
        <v>6</v>
      </c>
      <c r="F4602" t="s">
        <v>7</v>
      </c>
      <c r="G4602" t="s">
        <v>302</v>
      </c>
      <c r="H4602">
        <v>7</v>
      </c>
      <c r="I4602">
        <f t="shared" si="73"/>
        <v>9</v>
      </c>
    </row>
    <row r="4603" spans="1:9">
      <c r="A4603" s="1">
        <v>42448.143055555556</v>
      </c>
      <c r="B4603" s="19">
        <v>42836</v>
      </c>
      <c r="C4603" s="21">
        <v>0.82013888888888886</v>
      </c>
      <c r="D4603" s="20" t="s">
        <v>3046</v>
      </c>
      <c r="E4603" t="s">
        <v>6</v>
      </c>
      <c r="F4603" t="s">
        <v>167</v>
      </c>
      <c r="G4603" t="s">
        <v>303</v>
      </c>
      <c r="H4603">
        <v>2</v>
      </c>
      <c r="I4603">
        <f t="shared" si="73"/>
        <v>3</v>
      </c>
    </row>
    <row r="4604" spans="1:9">
      <c r="A4604" s="1">
        <v>42448.095138888886</v>
      </c>
      <c r="B4604" s="19">
        <v>42836</v>
      </c>
      <c r="C4604" s="21">
        <v>0.78194444444444444</v>
      </c>
      <c r="D4604" s="20" t="s">
        <v>3045</v>
      </c>
      <c r="E4604" t="s">
        <v>6</v>
      </c>
      <c r="F4604" t="s">
        <v>273</v>
      </c>
      <c r="G4604" t="s">
        <v>304</v>
      </c>
      <c r="H4604">
        <v>19</v>
      </c>
      <c r="I4604">
        <f t="shared" si="73"/>
        <v>24</v>
      </c>
    </row>
    <row r="4605" spans="1:9">
      <c r="A4605" s="1">
        <v>42448.053472222222</v>
      </c>
      <c r="B4605" s="19">
        <v>42836</v>
      </c>
      <c r="C4605" s="21">
        <v>0.69444444444444442</v>
      </c>
      <c r="D4605" s="20" t="s">
        <v>3043</v>
      </c>
      <c r="E4605" t="s">
        <v>2</v>
      </c>
      <c r="F4605" t="s">
        <v>5</v>
      </c>
      <c r="H4605">
        <v>7</v>
      </c>
      <c r="I4605">
        <f t="shared" si="73"/>
        <v>9</v>
      </c>
    </row>
    <row r="4606" spans="1:9">
      <c r="A4606" s="1">
        <v>42448.029861111114</v>
      </c>
      <c r="B4606" s="19">
        <v>42836</v>
      </c>
      <c r="C4606" s="21">
        <v>0.68263888888888891</v>
      </c>
      <c r="D4606" s="20" t="s">
        <v>3043</v>
      </c>
      <c r="E4606" t="s">
        <v>6</v>
      </c>
      <c r="F4606" t="s">
        <v>12</v>
      </c>
      <c r="H4606">
        <v>7</v>
      </c>
      <c r="I4606">
        <f t="shared" si="73"/>
        <v>9</v>
      </c>
    </row>
    <row r="4607" spans="1:9">
      <c r="A4607" s="1">
        <v>42448.029166666667</v>
      </c>
      <c r="B4607" s="19">
        <v>42836</v>
      </c>
      <c r="C4607" s="21">
        <v>0.63888888888888884</v>
      </c>
      <c r="D4607" s="20" t="s">
        <v>3042</v>
      </c>
      <c r="E4607" t="s">
        <v>2</v>
      </c>
      <c r="F4607" t="s">
        <v>48</v>
      </c>
      <c r="G4607" t="s">
        <v>175</v>
      </c>
      <c r="H4607">
        <v>18</v>
      </c>
      <c r="I4607">
        <f t="shared" si="73"/>
        <v>23</v>
      </c>
    </row>
    <row r="4608" spans="1:9">
      <c r="A4608" s="1">
        <v>42448.021527777775</v>
      </c>
      <c r="B4608" s="19">
        <v>42836</v>
      </c>
      <c r="C4608" s="21">
        <v>0.62013888888888891</v>
      </c>
      <c r="D4608" s="20" t="s">
        <v>3040</v>
      </c>
      <c r="E4608" t="s">
        <v>6</v>
      </c>
      <c r="F4608" t="s">
        <v>21</v>
      </c>
      <c r="G4608" t="s">
        <v>307</v>
      </c>
      <c r="H4608">
        <v>17</v>
      </c>
      <c r="I4608">
        <f t="shared" si="73"/>
        <v>22</v>
      </c>
    </row>
    <row r="4609" spans="1:9">
      <c r="A4609" s="1">
        <v>42448.033333333333</v>
      </c>
      <c r="B4609" s="19">
        <v>42836</v>
      </c>
      <c r="C4609" s="21">
        <v>0.6020833333333333</v>
      </c>
      <c r="D4609" s="20" t="s">
        <v>3040</v>
      </c>
      <c r="E4609" t="s">
        <v>6</v>
      </c>
      <c r="F4609" t="s">
        <v>76</v>
      </c>
      <c r="H4609">
        <v>13</v>
      </c>
      <c r="I4609">
        <f t="shared" si="73"/>
        <v>17</v>
      </c>
    </row>
    <row r="4610" spans="1:9">
      <c r="A4610" s="1">
        <v>42447.927777777775</v>
      </c>
      <c r="B4610" s="19">
        <v>42836</v>
      </c>
      <c r="C4610" s="21">
        <v>0.5</v>
      </c>
      <c r="D4610" s="20" t="s">
        <v>3038</v>
      </c>
      <c r="E4610" t="s">
        <v>6</v>
      </c>
      <c r="F4610" t="s">
        <v>21</v>
      </c>
      <c r="G4610" t="s">
        <v>309</v>
      </c>
      <c r="H4610">
        <v>31</v>
      </c>
      <c r="I4610">
        <f t="shared" si="73"/>
        <v>39</v>
      </c>
    </row>
    <row r="4611" spans="1:9">
      <c r="A4611" s="1">
        <v>42447.799305555556</v>
      </c>
      <c r="B4611" s="19">
        <v>42836</v>
      </c>
      <c r="C4611" s="21">
        <v>0.4777777777777778</v>
      </c>
      <c r="D4611" s="20" t="s">
        <v>3037</v>
      </c>
      <c r="E4611" t="s">
        <v>2</v>
      </c>
      <c r="F4611" t="s">
        <v>3</v>
      </c>
      <c r="G4611" t="s">
        <v>310</v>
      </c>
      <c r="H4611">
        <v>3</v>
      </c>
      <c r="I4611">
        <f t="shared" ref="I4611:I4674" si="74">ROUNDUP((H4611*1.24), 0)</f>
        <v>4</v>
      </c>
    </row>
    <row r="4612" spans="1:9">
      <c r="A4612" s="1">
        <v>42447.99722222222</v>
      </c>
      <c r="B4612" s="19">
        <v>42836</v>
      </c>
      <c r="C4612" s="21">
        <v>0.91736111111111107</v>
      </c>
      <c r="D4612" s="20" t="s">
        <v>3049</v>
      </c>
      <c r="E4612" t="s">
        <v>0</v>
      </c>
      <c r="F4612" t="s">
        <v>1</v>
      </c>
      <c r="G4612" t="s">
        <v>9</v>
      </c>
      <c r="H4612">
        <v>13</v>
      </c>
      <c r="I4612">
        <f t="shared" si="74"/>
        <v>17</v>
      </c>
    </row>
    <row r="4613" spans="1:9">
      <c r="A4613" s="1">
        <v>42447.989583333336</v>
      </c>
      <c r="B4613" s="19">
        <v>42836</v>
      </c>
      <c r="C4613" s="21">
        <v>0.69444444444444442</v>
      </c>
      <c r="D4613" s="20" t="s">
        <v>3043</v>
      </c>
      <c r="E4613" t="s">
        <v>0</v>
      </c>
      <c r="F4613" t="s">
        <v>1</v>
      </c>
      <c r="H4613">
        <v>22</v>
      </c>
      <c r="I4613">
        <f t="shared" si="74"/>
        <v>28</v>
      </c>
    </row>
    <row r="4614" spans="1:9">
      <c r="A4614" s="1">
        <v>42447.920138888891</v>
      </c>
      <c r="B4614" s="19">
        <v>42836</v>
      </c>
      <c r="C4614" s="21">
        <v>0.6381944444444444</v>
      </c>
      <c r="D4614" s="20" t="s">
        <v>3042</v>
      </c>
      <c r="E4614" t="s">
        <v>33</v>
      </c>
      <c r="F4614" t="s">
        <v>44</v>
      </c>
      <c r="G4614" t="s">
        <v>305</v>
      </c>
      <c r="H4614">
        <v>8</v>
      </c>
      <c r="I4614">
        <f t="shared" si="74"/>
        <v>10</v>
      </c>
    </row>
    <row r="4615" spans="1:9">
      <c r="A4615" s="1">
        <v>42447.918055555558</v>
      </c>
      <c r="B4615" s="19">
        <v>42836</v>
      </c>
      <c r="C4615" s="21">
        <v>0.63124999999999998</v>
      </c>
      <c r="D4615" s="20" t="s">
        <v>3042</v>
      </c>
      <c r="E4615" t="s">
        <v>18</v>
      </c>
      <c r="F4615" t="s">
        <v>71</v>
      </c>
      <c r="G4615" t="s">
        <v>306</v>
      </c>
      <c r="H4615">
        <v>19</v>
      </c>
      <c r="I4615">
        <f t="shared" si="74"/>
        <v>24</v>
      </c>
    </row>
    <row r="4616" spans="1:9">
      <c r="A4616" s="1">
        <v>42447.881249999999</v>
      </c>
      <c r="B4616" s="19">
        <v>42836</v>
      </c>
      <c r="C4616" s="21">
        <v>0.59513888888888888</v>
      </c>
      <c r="D4616" s="20" t="s">
        <v>3040</v>
      </c>
      <c r="E4616" t="s">
        <v>18</v>
      </c>
      <c r="F4616" t="s">
        <v>71</v>
      </c>
      <c r="G4616" t="s">
        <v>308</v>
      </c>
      <c r="H4616">
        <v>7</v>
      </c>
      <c r="I4616">
        <f t="shared" si="74"/>
        <v>9</v>
      </c>
    </row>
    <row r="4617" spans="1:9">
      <c r="A4617" s="1">
        <v>42446.568749999999</v>
      </c>
      <c r="B4617" s="19">
        <v>42836</v>
      </c>
      <c r="C4617" s="21">
        <v>0.58611111111111114</v>
      </c>
      <c r="D4617" s="20" t="s">
        <v>3040</v>
      </c>
      <c r="E4617" t="s">
        <v>0</v>
      </c>
      <c r="G4617" t="s">
        <v>32</v>
      </c>
      <c r="H4617">
        <v>17</v>
      </c>
      <c r="I4617">
        <f t="shared" si="74"/>
        <v>22</v>
      </c>
    </row>
    <row r="4618" spans="1:9">
      <c r="A4618" s="1">
        <v>42446.54583333333</v>
      </c>
      <c r="B4618" s="19">
        <v>42836</v>
      </c>
      <c r="C4618" s="21">
        <v>0.33333333333333331</v>
      </c>
      <c r="D4618" s="20" t="s">
        <v>3034</v>
      </c>
      <c r="E4618" t="s">
        <v>18</v>
      </c>
      <c r="F4618" t="s">
        <v>100</v>
      </c>
      <c r="G4618" t="s">
        <v>311</v>
      </c>
      <c r="H4618">
        <v>12</v>
      </c>
      <c r="I4618">
        <f t="shared" si="74"/>
        <v>15</v>
      </c>
    </row>
    <row r="4619" spans="1:9">
      <c r="A4619" s="1">
        <v>42446.541666666664</v>
      </c>
      <c r="B4619" s="19">
        <v>42836</v>
      </c>
      <c r="C4619" s="21">
        <v>0.25069444444444444</v>
      </c>
      <c r="D4619" s="20" t="s">
        <v>3031</v>
      </c>
      <c r="E4619" t="s">
        <v>0</v>
      </c>
      <c r="G4619" t="s">
        <v>73</v>
      </c>
      <c r="H4619">
        <v>23</v>
      </c>
      <c r="I4619">
        <f t="shared" si="74"/>
        <v>29</v>
      </c>
    </row>
    <row r="4620" spans="1:9">
      <c r="A4620" s="1">
        <v>42446.522222222222</v>
      </c>
      <c r="B4620" s="19">
        <v>42837</v>
      </c>
      <c r="C4620" s="21">
        <v>0.84722222222222221</v>
      </c>
      <c r="D4620" s="20" t="s">
        <v>3047</v>
      </c>
      <c r="E4620" t="s">
        <v>2</v>
      </c>
      <c r="F4620" t="s">
        <v>3</v>
      </c>
      <c r="G4620" t="s">
        <v>4</v>
      </c>
      <c r="H4620">
        <v>12</v>
      </c>
      <c r="I4620">
        <f t="shared" si="74"/>
        <v>15</v>
      </c>
    </row>
    <row r="4621" spans="1:9">
      <c r="A4621" s="1">
        <v>42446.484027777777</v>
      </c>
      <c r="B4621" s="19">
        <v>42837</v>
      </c>
      <c r="C4621" s="21">
        <v>0.80763888888888891</v>
      </c>
      <c r="D4621" s="20" t="s">
        <v>3046</v>
      </c>
      <c r="E4621" t="s">
        <v>6</v>
      </c>
      <c r="F4621" t="s">
        <v>76</v>
      </c>
      <c r="G4621" t="s">
        <v>65</v>
      </c>
      <c r="H4621">
        <v>2</v>
      </c>
      <c r="I4621">
        <f t="shared" si="74"/>
        <v>3</v>
      </c>
    </row>
    <row r="4622" spans="1:9">
      <c r="A4622" s="1">
        <v>42446.481944444444</v>
      </c>
      <c r="B4622" s="19">
        <v>42837</v>
      </c>
      <c r="C4622" s="21">
        <v>0.52569444444444446</v>
      </c>
      <c r="D4622" s="20" t="s">
        <v>3038</v>
      </c>
      <c r="E4622" t="s">
        <v>6</v>
      </c>
      <c r="F4622" t="s">
        <v>26</v>
      </c>
      <c r="G4622" t="s">
        <v>294</v>
      </c>
      <c r="H4622">
        <v>3</v>
      </c>
      <c r="I4622">
        <f t="shared" si="74"/>
        <v>4</v>
      </c>
    </row>
    <row r="4623" spans="1:9">
      <c r="A4623" s="1">
        <v>42446.464583333334</v>
      </c>
      <c r="B4623" s="19">
        <v>42837</v>
      </c>
      <c r="C4623" s="21">
        <v>0.51736111111111116</v>
      </c>
      <c r="D4623" s="20" t="s">
        <v>3038</v>
      </c>
      <c r="E4623" t="s">
        <v>6</v>
      </c>
      <c r="F4623" t="s">
        <v>7</v>
      </c>
      <c r="G4623" t="s">
        <v>295</v>
      </c>
      <c r="H4623">
        <v>7</v>
      </c>
      <c r="I4623">
        <f t="shared" si="74"/>
        <v>9</v>
      </c>
    </row>
    <row r="4624" spans="1:9">
      <c r="A4624" s="1">
        <v>42446.376388888886</v>
      </c>
      <c r="B4624" s="19">
        <v>42837</v>
      </c>
      <c r="C4624" s="21">
        <v>0.3840277777777778</v>
      </c>
      <c r="D4624" s="20" t="s">
        <v>3035</v>
      </c>
      <c r="E4624" t="s">
        <v>2</v>
      </c>
      <c r="F4624" t="s">
        <v>5</v>
      </c>
      <c r="G4624" t="s">
        <v>67</v>
      </c>
      <c r="H4624">
        <v>12</v>
      </c>
      <c r="I4624">
        <f t="shared" si="74"/>
        <v>15</v>
      </c>
    </row>
    <row r="4625" spans="1:9">
      <c r="A4625" s="1">
        <v>42446.367361111108</v>
      </c>
      <c r="B4625" s="19">
        <v>42837</v>
      </c>
      <c r="C4625" s="21">
        <v>0.2951388888888889</v>
      </c>
      <c r="D4625" s="20" t="s">
        <v>3033</v>
      </c>
      <c r="E4625" t="s">
        <v>2</v>
      </c>
      <c r="F4625" t="s">
        <v>5</v>
      </c>
      <c r="G4625" t="s">
        <v>86</v>
      </c>
      <c r="H4625">
        <v>38</v>
      </c>
      <c r="I4625">
        <f t="shared" si="74"/>
        <v>48</v>
      </c>
    </row>
    <row r="4626" spans="1:9">
      <c r="A4626" s="1">
        <v>42446.29583333333</v>
      </c>
      <c r="B4626" s="19">
        <v>42837</v>
      </c>
      <c r="C4626" s="21">
        <v>0.25208333333333333</v>
      </c>
      <c r="D4626" s="20" t="s">
        <v>3031</v>
      </c>
      <c r="E4626" t="s">
        <v>6</v>
      </c>
      <c r="F4626" t="s">
        <v>15</v>
      </c>
      <c r="G4626" t="s">
        <v>296</v>
      </c>
      <c r="H4626">
        <v>75</v>
      </c>
      <c r="I4626">
        <f t="shared" si="74"/>
        <v>93</v>
      </c>
    </row>
    <row r="4627" spans="1:9">
      <c r="A4627" s="1">
        <v>42446.25</v>
      </c>
      <c r="B4627" s="19">
        <v>42837</v>
      </c>
      <c r="C4627" s="21">
        <v>5.0694444444444445E-2</v>
      </c>
      <c r="D4627" s="20" t="s">
        <v>3051</v>
      </c>
      <c r="E4627" t="s">
        <v>6</v>
      </c>
      <c r="F4627" t="s">
        <v>7</v>
      </c>
      <c r="H4627" t="e">
        <v>#VALUE!</v>
      </c>
      <c r="I4627" t="e">
        <f t="shared" si="74"/>
        <v>#VALUE!</v>
      </c>
    </row>
    <row r="4628" spans="1:9">
      <c r="A4628" s="1">
        <v>42446.569444444445</v>
      </c>
      <c r="B4628" s="19">
        <v>42837</v>
      </c>
      <c r="C4628" s="21">
        <v>0.91666666666666663</v>
      </c>
      <c r="D4628" s="20" t="s">
        <v>3049</v>
      </c>
      <c r="E4628" t="s">
        <v>0</v>
      </c>
      <c r="F4628" t="s">
        <v>1</v>
      </c>
      <c r="G4628" t="s">
        <v>9</v>
      </c>
      <c r="H4628">
        <v>13</v>
      </c>
      <c r="I4628">
        <f t="shared" si="74"/>
        <v>17</v>
      </c>
    </row>
    <row r="4629" spans="1:9">
      <c r="A4629" s="1">
        <v>42446.55972222222</v>
      </c>
      <c r="B4629" s="19">
        <v>42837</v>
      </c>
      <c r="C4629" s="21">
        <v>0.91666666666666663</v>
      </c>
      <c r="D4629" s="20" t="s">
        <v>3049</v>
      </c>
      <c r="E4629" t="s">
        <v>0</v>
      </c>
      <c r="F4629" t="s">
        <v>10</v>
      </c>
      <c r="H4629">
        <v>13</v>
      </c>
      <c r="I4629">
        <f t="shared" si="74"/>
        <v>17</v>
      </c>
    </row>
    <row r="4630" spans="1:9">
      <c r="A4630" s="1">
        <v>42446.15625</v>
      </c>
      <c r="B4630" s="19">
        <v>42837</v>
      </c>
      <c r="C4630" s="21">
        <v>0.6694444444444444</v>
      </c>
      <c r="D4630" s="20" t="s">
        <v>3043</v>
      </c>
      <c r="E4630" t="s">
        <v>18</v>
      </c>
      <c r="F4630" t="s">
        <v>71</v>
      </c>
      <c r="G4630" t="s">
        <v>291</v>
      </c>
      <c r="H4630">
        <v>25</v>
      </c>
      <c r="I4630">
        <f t="shared" si="74"/>
        <v>31</v>
      </c>
    </row>
    <row r="4631" spans="1:9">
      <c r="A4631" s="1">
        <v>42446.122916666667</v>
      </c>
      <c r="B4631" s="19">
        <v>42837</v>
      </c>
      <c r="C4631" s="21">
        <v>0.58333333333333337</v>
      </c>
      <c r="D4631" s="20" t="s">
        <v>3040</v>
      </c>
      <c r="E4631" t="s">
        <v>0</v>
      </c>
      <c r="G4631" t="s">
        <v>292</v>
      </c>
      <c r="H4631">
        <v>17</v>
      </c>
      <c r="I4631">
        <f t="shared" si="74"/>
        <v>22</v>
      </c>
    </row>
    <row r="4632" spans="1:9">
      <c r="A4632" s="1">
        <v>42445.958333333336</v>
      </c>
      <c r="B4632" s="19">
        <v>42837</v>
      </c>
      <c r="C4632" s="21">
        <v>0.55625000000000002</v>
      </c>
      <c r="D4632" s="20" t="s">
        <v>3039</v>
      </c>
      <c r="E4632" t="s">
        <v>0</v>
      </c>
      <c r="G4632" t="s">
        <v>293</v>
      </c>
      <c r="H4632">
        <v>2</v>
      </c>
      <c r="I4632">
        <f t="shared" si="74"/>
        <v>3</v>
      </c>
    </row>
    <row r="4633" spans="1:9">
      <c r="A4633" s="1">
        <v>42445.908333333333</v>
      </c>
      <c r="B4633" s="19">
        <v>42837</v>
      </c>
      <c r="C4633" s="21">
        <v>0.39027777777777778</v>
      </c>
      <c r="D4633" s="20" t="s">
        <v>3035</v>
      </c>
      <c r="E4633" t="s">
        <v>0</v>
      </c>
      <c r="F4633" t="s">
        <v>1</v>
      </c>
      <c r="H4633">
        <v>13</v>
      </c>
      <c r="I4633">
        <f t="shared" si="74"/>
        <v>17</v>
      </c>
    </row>
    <row r="4634" spans="1:9">
      <c r="A4634" s="1">
        <v>42445.621527777781</v>
      </c>
      <c r="B4634" s="19">
        <v>42837</v>
      </c>
      <c r="C4634" s="21">
        <v>0.25277777777777777</v>
      </c>
      <c r="D4634" s="20" t="s">
        <v>3031</v>
      </c>
      <c r="E4634" t="s">
        <v>0</v>
      </c>
      <c r="F4634" t="s">
        <v>10</v>
      </c>
      <c r="G4634" t="s">
        <v>145</v>
      </c>
      <c r="H4634">
        <v>13</v>
      </c>
      <c r="I4634">
        <f t="shared" si="74"/>
        <v>17</v>
      </c>
    </row>
    <row r="4635" spans="1:9">
      <c r="A4635" s="1">
        <v>42445.620138888888</v>
      </c>
      <c r="B4635" s="19">
        <v>42837</v>
      </c>
      <c r="C4635" s="21">
        <v>0.24374999999999999</v>
      </c>
      <c r="D4635" s="20" t="s">
        <v>3055</v>
      </c>
      <c r="E4635" t="s">
        <v>0</v>
      </c>
      <c r="F4635" t="s">
        <v>10</v>
      </c>
      <c r="H4635">
        <v>13</v>
      </c>
      <c r="I4635">
        <f t="shared" si="74"/>
        <v>17</v>
      </c>
    </row>
    <row r="4636" spans="1:9">
      <c r="A4636" s="1">
        <v>42445.575694444444</v>
      </c>
      <c r="B4636" s="19">
        <v>42838</v>
      </c>
      <c r="C4636" s="21">
        <v>0.83333333333333337</v>
      </c>
      <c r="D4636" s="20" t="s">
        <v>3047</v>
      </c>
      <c r="E4636" t="s">
        <v>6</v>
      </c>
      <c r="F4636" t="s">
        <v>21</v>
      </c>
      <c r="G4636" t="s">
        <v>281</v>
      </c>
      <c r="H4636" t="e">
        <v>#VALUE!</v>
      </c>
      <c r="I4636" t="e">
        <f t="shared" si="74"/>
        <v>#VALUE!</v>
      </c>
    </row>
    <row r="4637" spans="1:9">
      <c r="A4637" s="1">
        <v>42445.572916666664</v>
      </c>
      <c r="B4637" s="19">
        <v>42838</v>
      </c>
      <c r="C4637" s="21">
        <v>0.76875000000000004</v>
      </c>
      <c r="D4637" s="20" t="s">
        <v>3045</v>
      </c>
      <c r="E4637" t="s">
        <v>6</v>
      </c>
      <c r="F4637" t="s">
        <v>12</v>
      </c>
      <c r="G4637" t="s">
        <v>283</v>
      </c>
      <c r="H4637">
        <v>5</v>
      </c>
      <c r="I4637">
        <f t="shared" si="74"/>
        <v>7</v>
      </c>
    </row>
    <row r="4638" spans="1:9">
      <c r="A4638" s="1">
        <v>42445.529166666667</v>
      </c>
      <c r="B4638" s="19">
        <v>42838</v>
      </c>
      <c r="C4638" s="21">
        <v>0.59513888888888888</v>
      </c>
      <c r="D4638" s="20" t="s">
        <v>3040</v>
      </c>
      <c r="E4638" t="s">
        <v>6</v>
      </c>
      <c r="F4638" t="s">
        <v>12</v>
      </c>
      <c r="G4638" t="s">
        <v>45</v>
      </c>
      <c r="H4638">
        <v>4</v>
      </c>
      <c r="I4638">
        <f t="shared" si="74"/>
        <v>5</v>
      </c>
    </row>
    <row r="4639" spans="1:9">
      <c r="A4639" s="1">
        <v>42445.496527777781</v>
      </c>
      <c r="B4639" s="19">
        <v>42838</v>
      </c>
      <c r="C4639" s="21">
        <v>0.53888888888888886</v>
      </c>
      <c r="D4639" s="20" t="s">
        <v>3038</v>
      </c>
      <c r="E4639" t="s">
        <v>6</v>
      </c>
      <c r="F4639" t="s">
        <v>21</v>
      </c>
      <c r="G4639" t="s">
        <v>286</v>
      </c>
      <c r="H4639">
        <v>3</v>
      </c>
      <c r="I4639">
        <f t="shared" si="74"/>
        <v>4</v>
      </c>
    </row>
    <row r="4640" spans="1:9">
      <c r="A4640" s="1">
        <v>42445.432638888888</v>
      </c>
      <c r="B4640" s="19">
        <v>42838</v>
      </c>
      <c r="C4640" s="21">
        <v>0.2388888888888889</v>
      </c>
      <c r="D4640" s="20" t="s">
        <v>3055</v>
      </c>
      <c r="E4640" t="s">
        <v>6</v>
      </c>
      <c r="F4640" t="s">
        <v>15</v>
      </c>
      <c r="G4640" t="s">
        <v>289</v>
      </c>
      <c r="H4640">
        <v>7</v>
      </c>
      <c r="I4640">
        <f t="shared" si="74"/>
        <v>9</v>
      </c>
    </row>
    <row r="4641" spans="1:9">
      <c r="A4641" s="1">
        <v>42445.352083333331</v>
      </c>
      <c r="B4641" s="19">
        <v>42838</v>
      </c>
      <c r="C4641" s="21">
        <v>0.17708333333333334</v>
      </c>
      <c r="D4641" s="20" t="s">
        <v>3054</v>
      </c>
      <c r="E4641" t="s">
        <v>2</v>
      </c>
      <c r="F4641" t="s">
        <v>5</v>
      </c>
      <c r="H4641">
        <v>24</v>
      </c>
      <c r="I4641">
        <f t="shared" si="74"/>
        <v>30</v>
      </c>
    </row>
    <row r="4642" spans="1:9">
      <c r="A4642" s="1">
        <v>42445.304861111108</v>
      </c>
      <c r="B4642" s="19">
        <v>42838</v>
      </c>
      <c r="C4642" s="21">
        <v>0.1673611111111111</v>
      </c>
      <c r="D4642" s="20" t="s">
        <v>3054</v>
      </c>
      <c r="E4642" t="s">
        <v>6</v>
      </c>
      <c r="F4642" t="s">
        <v>21</v>
      </c>
      <c r="G4642" t="s">
        <v>290</v>
      </c>
      <c r="H4642">
        <v>19</v>
      </c>
      <c r="I4642">
        <f t="shared" si="74"/>
        <v>24</v>
      </c>
    </row>
    <row r="4643" spans="1:9">
      <c r="A4643" s="1">
        <v>42445.999305555553</v>
      </c>
      <c r="B4643" s="19">
        <v>42838</v>
      </c>
      <c r="C4643" s="21">
        <v>0.95625000000000004</v>
      </c>
      <c r="D4643" s="20" t="s">
        <v>3049</v>
      </c>
      <c r="E4643" t="s">
        <v>0</v>
      </c>
      <c r="F4643" t="s">
        <v>1</v>
      </c>
      <c r="G4643" t="s">
        <v>280</v>
      </c>
      <c r="H4643">
        <v>4</v>
      </c>
      <c r="I4643">
        <f t="shared" si="74"/>
        <v>5</v>
      </c>
    </row>
    <row r="4644" spans="1:9">
      <c r="A4644" s="1">
        <v>42445.990972222222</v>
      </c>
      <c r="B4644" s="19">
        <v>42838</v>
      </c>
      <c r="C4644" s="21">
        <v>0.91736111111111107</v>
      </c>
      <c r="D4644" s="20" t="s">
        <v>3049</v>
      </c>
      <c r="E4644" t="s">
        <v>0</v>
      </c>
      <c r="F4644" t="s">
        <v>1</v>
      </c>
      <c r="G4644" t="s">
        <v>9</v>
      </c>
      <c r="H4644">
        <v>13</v>
      </c>
      <c r="I4644">
        <f t="shared" si="74"/>
        <v>17</v>
      </c>
    </row>
    <row r="4645" spans="1:9">
      <c r="A4645" s="1">
        <v>42445.981249999997</v>
      </c>
      <c r="B4645" s="19">
        <v>42838</v>
      </c>
      <c r="C4645" s="21">
        <v>0.91736111111111107</v>
      </c>
      <c r="D4645" s="20" t="s">
        <v>3049</v>
      </c>
      <c r="E4645" t="s">
        <v>0</v>
      </c>
      <c r="F4645" t="s">
        <v>10</v>
      </c>
      <c r="H4645">
        <v>13</v>
      </c>
      <c r="I4645">
        <f t="shared" si="74"/>
        <v>17</v>
      </c>
    </row>
    <row r="4646" spans="1:9">
      <c r="A4646" s="1">
        <v>42445.959027777775</v>
      </c>
      <c r="B4646" s="19">
        <v>42838</v>
      </c>
      <c r="C4646" s="21">
        <v>0.83194444444444449</v>
      </c>
      <c r="D4646" s="20" t="s">
        <v>3046</v>
      </c>
      <c r="E4646" t="s">
        <v>0</v>
      </c>
      <c r="G4646" t="s">
        <v>282</v>
      </c>
      <c r="H4646">
        <v>2</v>
      </c>
      <c r="I4646">
        <f t="shared" si="74"/>
        <v>3</v>
      </c>
    </row>
    <row r="4647" spans="1:9">
      <c r="A4647" s="1">
        <v>42445.958333333336</v>
      </c>
      <c r="B4647" s="19">
        <v>42838</v>
      </c>
      <c r="C4647" s="21">
        <v>0.61111111111111116</v>
      </c>
      <c r="D4647" s="20" t="s">
        <v>3040</v>
      </c>
      <c r="E4647" t="s">
        <v>18</v>
      </c>
      <c r="F4647" t="s">
        <v>71</v>
      </c>
      <c r="G4647" t="s">
        <v>284</v>
      </c>
      <c r="H4647">
        <v>23</v>
      </c>
      <c r="I4647">
        <f t="shared" si="74"/>
        <v>29</v>
      </c>
    </row>
    <row r="4648" spans="1:9">
      <c r="A4648" s="1">
        <v>42445.888888888891</v>
      </c>
      <c r="B4648" s="19">
        <v>42838</v>
      </c>
      <c r="C4648" s="21">
        <v>0.58402777777777781</v>
      </c>
      <c r="D4648" s="20" t="s">
        <v>3040</v>
      </c>
      <c r="E4648" t="s">
        <v>0</v>
      </c>
      <c r="G4648" t="s">
        <v>32</v>
      </c>
      <c r="H4648">
        <v>13</v>
      </c>
      <c r="I4648">
        <f t="shared" si="74"/>
        <v>17</v>
      </c>
    </row>
    <row r="4649" spans="1:9">
      <c r="A4649" s="1">
        <v>42445.880555555559</v>
      </c>
      <c r="B4649" s="19">
        <v>42838</v>
      </c>
      <c r="C4649" s="21">
        <v>0.56388888888888888</v>
      </c>
      <c r="D4649" s="20" t="s">
        <v>3039</v>
      </c>
      <c r="E4649" t="s">
        <v>0</v>
      </c>
      <c r="G4649" t="s">
        <v>285</v>
      </c>
      <c r="H4649">
        <v>2</v>
      </c>
      <c r="I4649">
        <f t="shared" si="74"/>
        <v>3</v>
      </c>
    </row>
    <row r="4650" spans="1:9">
      <c r="A4650" s="1">
        <v>42445.786111111112</v>
      </c>
      <c r="B4650" s="19">
        <v>42838</v>
      </c>
      <c r="C4650" s="21">
        <v>0.25486111111111109</v>
      </c>
      <c r="D4650" s="20" t="s">
        <v>3031</v>
      </c>
      <c r="E4650" t="s">
        <v>0</v>
      </c>
      <c r="F4650" t="s">
        <v>10</v>
      </c>
      <c r="G4650" t="s">
        <v>287</v>
      </c>
      <c r="H4650">
        <v>13</v>
      </c>
      <c r="I4650">
        <f t="shared" si="74"/>
        <v>17</v>
      </c>
    </row>
    <row r="4651" spans="1:9">
      <c r="A4651" s="1">
        <v>42445.758333333331</v>
      </c>
      <c r="B4651" s="19">
        <v>42838</v>
      </c>
      <c r="C4651" s="21">
        <v>0.25486111111111109</v>
      </c>
      <c r="D4651" s="20" t="s">
        <v>3031</v>
      </c>
      <c r="E4651" t="s">
        <v>18</v>
      </c>
      <c r="F4651" t="s">
        <v>100</v>
      </c>
      <c r="G4651" t="s">
        <v>288</v>
      </c>
      <c r="H4651">
        <v>50</v>
      </c>
      <c r="I4651">
        <f t="shared" si="74"/>
        <v>62</v>
      </c>
    </row>
    <row r="4652" spans="1:9">
      <c r="A4652" s="1">
        <v>42445.713888888888</v>
      </c>
      <c r="B4652" s="19">
        <v>42838</v>
      </c>
      <c r="C4652" s="21">
        <v>0.23958333333333334</v>
      </c>
      <c r="D4652" s="20" t="s">
        <v>3055</v>
      </c>
      <c r="E4652" t="s">
        <v>0</v>
      </c>
      <c r="F4652" t="s">
        <v>10</v>
      </c>
      <c r="G4652" t="s">
        <v>145</v>
      </c>
      <c r="H4652">
        <v>13</v>
      </c>
      <c r="I4652">
        <f t="shared" si="74"/>
        <v>17</v>
      </c>
    </row>
    <row r="4653" spans="1:9">
      <c r="A4653" s="1">
        <v>42445.652083333334</v>
      </c>
      <c r="B4653" s="19">
        <v>42839</v>
      </c>
      <c r="C4653" s="21">
        <v>0.95</v>
      </c>
      <c r="D4653" s="20" t="s">
        <v>3049</v>
      </c>
      <c r="E4653" t="s">
        <v>6</v>
      </c>
      <c r="F4653" t="s">
        <v>76</v>
      </c>
      <c r="G4653" t="s">
        <v>271</v>
      </c>
      <c r="H4653">
        <v>7</v>
      </c>
      <c r="I4653">
        <f t="shared" si="74"/>
        <v>9</v>
      </c>
    </row>
    <row r="4654" spans="1:9">
      <c r="A4654" s="1">
        <v>42445.572222222225</v>
      </c>
      <c r="B4654" s="19">
        <v>42839</v>
      </c>
      <c r="C4654" s="21">
        <v>0.81319444444444444</v>
      </c>
      <c r="D4654" s="20" t="s">
        <v>3046</v>
      </c>
      <c r="E4654" t="s">
        <v>2</v>
      </c>
      <c r="F4654" t="s">
        <v>5</v>
      </c>
      <c r="H4654">
        <v>8</v>
      </c>
      <c r="I4654">
        <f t="shared" si="74"/>
        <v>10</v>
      </c>
    </row>
    <row r="4655" spans="1:9">
      <c r="A4655" s="1">
        <v>42445.534722222219</v>
      </c>
      <c r="B4655" s="19">
        <v>42839</v>
      </c>
      <c r="C4655" s="21">
        <v>0.79652777777777772</v>
      </c>
      <c r="D4655" s="20" t="s">
        <v>3046</v>
      </c>
      <c r="E4655" t="s">
        <v>6</v>
      </c>
      <c r="F4655" t="s">
        <v>273</v>
      </c>
      <c r="G4655" t="s">
        <v>65</v>
      </c>
      <c r="H4655">
        <v>30</v>
      </c>
      <c r="I4655">
        <f t="shared" si="74"/>
        <v>38</v>
      </c>
    </row>
    <row r="4656" spans="1:9">
      <c r="A4656" s="1">
        <v>42445.53125</v>
      </c>
      <c r="B4656" s="19">
        <v>42839</v>
      </c>
      <c r="C4656" s="21">
        <v>0.79097222222222219</v>
      </c>
      <c r="D4656" s="20" t="s">
        <v>3045</v>
      </c>
      <c r="E4656" t="s">
        <v>2</v>
      </c>
      <c r="F4656" t="s">
        <v>5</v>
      </c>
      <c r="H4656">
        <v>13</v>
      </c>
      <c r="I4656">
        <f t="shared" si="74"/>
        <v>17</v>
      </c>
    </row>
    <row r="4657" spans="1:9">
      <c r="A4657" s="1">
        <v>42445.473611111112</v>
      </c>
      <c r="B4657" s="19">
        <v>42839</v>
      </c>
      <c r="C4657" s="21">
        <v>0.7583333333333333</v>
      </c>
      <c r="D4657" s="20" t="s">
        <v>3045</v>
      </c>
      <c r="E4657" t="s">
        <v>6</v>
      </c>
      <c r="F4657" t="s">
        <v>167</v>
      </c>
      <c r="G4657" t="s">
        <v>274</v>
      </c>
      <c r="H4657">
        <v>62</v>
      </c>
      <c r="I4657">
        <f t="shared" si="74"/>
        <v>77</v>
      </c>
    </row>
    <row r="4658" spans="1:9">
      <c r="A4658" s="1">
        <v>42445.424305555556</v>
      </c>
      <c r="B4658" s="19">
        <v>42839</v>
      </c>
      <c r="C4658" s="21">
        <v>0.71250000000000002</v>
      </c>
      <c r="D4658" s="20" t="s">
        <v>3044</v>
      </c>
      <c r="E4658" t="s">
        <v>2</v>
      </c>
      <c r="F4658" t="s">
        <v>5</v>
      </c>
      <c r="H4658">
        <v>13</v>
      </c>
      <c r="I4658">
        <f t="shared" si="74"/>
        <v>17</v>
      </c>
    </row>
    <row r="4659" spans="1:9">
      <c r="A4659" s="1">
        <v>42445.37777777778</v>
      </c>
      <c r="B4659" s="19">
        <v>42839</v>
      </c>
      <c r="C4659" s="21">
        <v>0.68541666666666667</v>
      </c>
      <c r="D4659" s="20" t="s">
        <v>3043</v>
      </c>
      <c r="E4659" t="s">
        <v>6</v>
      </c>
      <c r="F4659" t="s">
        <v>89</v>
      </c>
      <c r="G4659" t="s">
        <v>275</v>
      </c>
      <c r="H4659">
        <v>31</v>
      </c>
      <c r="I4659">
        <f t="shared" si="74"/>
        <v>39</v>
      </c>
    </row>
    <row r="4660" spans="1:9">
      <c r="A4660" s="1">
        <v>42445.36041666667</v>
      </c>
      <c r="B4660" s="19">
        <v>42839</v>
      </c>
      <c r="C4660" s="21">
        <v>0.67708333333333337</v>
      </c>
      <c r="D4660" s="20" t="s">
        <v>3043</v>
      </c>
      <c r="E4660" t="s">
        <v>6</v>
      </c>
      <c r="F4660" t="s">
        <v>76</v>
      </c>
      <c r="G4660" t="s">
        <v>276</v>
      </c>
      <c r="H4660">
        <v>13</v>
      </c>
      <c r="I4660">
        <f t="shared" si="74"/>
        <v>17</v>
      </c>
    </row>
    <row r="4661" spans="1:9">
      <c r="A4661" s="1">
        <v>42445.300694444442</v>
      </c>
      <c r="B4661" s="19">
        <v>42839</v>
      </c>
      <c r="C4661" s="21">
        <v>0.91736111111111107</v>
      </c>
      <c r="D4661" s="20" t="s">
        <v>3049</v>
      </c>
      <c r="E4661" t="s">
        <v>0</v>
      </c>
      <c r="F4661" t="s">
        <v>10</v>
      </c>
      <c r="H4661">
        <v>13</v>
      </c>
      <c r="I4661">
        <f t="shared" si="74"/>
        <v>17</v>
      </c>
    </row>
    <row r="4662" spans="1:9">
      <c r="A4662" s="1">
        <v>42445.26458333333</v>
      </c>
      <c r="B4662" s="19">
        <v>42839</v>
      </c>
      <c r="C4662" s="21">
        <v>0.91666666666666663</v>
      </c>
      <c r="D4662" s="20" t="s">
        <v>3049</v>
      </c>
      <c r="E4662" t="s">
        <v>0</v>
      </c>
      <c r="F4662" t="s">
        <v>1</v>
      </c>
      <c r="G4662" t="s">
        <v>9</v>
      </c>
      <c r="H4662">
        <v>13</v>
      </c>
      <c r="I4662">
        <f t="shared" si="74"/>
        <v>17</v>
      </c>
    </row>
    <row r="4663" spans="1:9">
      <c r="A4663" s="1">
        <v>42445.09652777778</v>
      </c>
      <c r="B4663" s="19">
        <v>42839</v>
      </c>
      <c r="C4663" s="21">
        <v>0.90694444444444444</v>
      </c>
      <c r="D4663" s="20" t="s">
        <v>3048</v>
      </c>
      <c r="E4663" t="s">
        <v>0</v>
      </c>
      <c r="F4663" t="s">
        <v>10</v>
      </c>
      <c r="G4663" t="s">
        <v>272</v>
      </c>
      <c r="H4663">
        <v>13</v>
      </c>
      <c r="I4663">
        <f t="shared" si="74"/>
        <v>17</v>
      </c>
    </row>
    <row r="4664" spans="1:9">
      <c r="A4664" s="1">
        <v>42444.92083333333</v>
      </c>
      <c r="B4664" s="19">
        <v>42839</v>
      </c>
      <c r="C4664" s="21">
        <v>0.72361111111111109</v>
      </c>
      <c r="D4664" s="20" t="s">
        <v>3044</v>
      </c>
      <c r="E4664" t="s">
        <v>77</v>
      </c>
      <c r="F4664" t="s">
        <v>159</v>
      </c>
      <c r="H4664">
        <v>48</v>
      </c>
      <c r="I4664">
        <f t="shared" si="74"/>
        <v>60</v>
      </c>
    </row>
    <row r="4665" spans="1:9">
      <c r="A4665" s="1">
        <v>42444.767361111109</v>
      </c>
      <c r="B4665" s="19">
        <v>42839</v>
      </c>
      <c r="C4665" s="21">
        <v>0.58888888888888891</v>
      </c>
      <c r="D4665" s="20" t="s">
        <v>3040</v>
      </c>
      <c r="E4665" t="s">
        <v>0</v>
      </c>
      <c r="G4665" t="s">
        <v>277</v>
      </c>
      <c r="H4665">
        <v>18</v>
      </c>
      <c r="I4665">
        <f t="shared" si="74"/>
        <v>23</v>
      </c>
    </row>
    <row r="4666" spans="1:9">
      <c r="A4666" s="1">
        <v>42444.711111111108</v>
      </c>
      <c r="B4666" s="19">
        <v>42839</v>
      </c>
      <c r="C4666" s="21">
        <v>0.56944444444444442</v>
      </c>
      <c r="D4666" s="20" t="s">
        <v>3039</v>
      </c>
      <c r="E4666" t="s">
        <v>0</v>
      </c>
      <c r="G4666" t="s">
        <v>278</v>
      </c>
      <c r="H4666">
        <v>2</v>
      </c>
      <c r="I4666">
        <f t="shared" si="74"/>
        <v>3</v>
      </c>
    </row>
    <row r="4667" spans="1:9">
      <c r="A4667" s="1">
        <v>42444.668055555558</v>
      </c>
      <c r="B4667" s="19">
        <v>42839</v>
      </c>
      <c r="C4667" s="21">
        <v>0.25347222222222221</v>
      </c>
      <c r="D4667" s="20" t="s">
        <v>3031</v>
      </c>
      <c r="E4667" t="s">
        <v>0</v>
      </c>
      <c r="G4667" t="s">
        <v>32</v>
      </c>
      <c r="H4667">
        <v>13</v>
      </c>
      <c r="I4667">
        <f t="shared" si="74"/>
        <v>17</v>
      </c>
    </row>
    <row r="4668" spans="1:9">
      <c r="A4668" s="1">
        <v>42444.626388888886</v>
      </c>
      <c r="B4668" s="19">
        <v>42839</v>
      </c>
      <c r="C4668" s="21">
        <v>0.25069444444444444</v>
      </c>
      <c r="D4668" s="20" t="s">
        <v>3031</v>
      </c>
      <c r="E4668" t="s">
        <v>0</v>
      </c>
      <c r="F4668" t="s">
        <v>10</v>
      </c>
      <c r="G4668" t="s">
        <v>255</v>
      </c>
      <c r="H4668">
        <v>13</v>
      </c>
      <c r="I4668">
        <f t="shared" si="74"/>
        <v>17</v>
      </c>
    </row>
    <row r="4669" spans="1:9">
      <c r="A4669" s="1">
        <v>42444.586805555555</v>
      </c>
      <c r="B4669" s="19">
        <v>42839</v>
      </c>
      <c r="C4669" s="21">
        <v>0.24097222222222223</v>
      </c>
      <c r="D4669" s="20" t="s">
        <v>3055</v>
      </c>
      <c r="E4669" t="s">
        <v>0</v>
      </c>
      <c r="F4669" t="s">
        <v>10</v>
      </c>
      <c r="H4669">
        <v>13</v>
      </c>
      <c r="I4669">
        <f t="shared" si="74"/>
        <v>17</v>
      </c>
    </row>
    <row r="4670" spans="1:9">
      <c r="A4670" s="1">
        <v>42444.57708333333</v>
      </c>
      <c r="B4670" s="19">
        <v>42839</v>
      </c>
      <c r="C4670" s="21">
        <v>0.15833333333333333</v>
      </c>
      <c r="D4670" s="20" t="s">
        <v>3053</v>
      </c>
      <c r="E4670" t="s">
        <v>0</v>
      </c>
      <c r="F4670" t="s">
        <v>1</v>
      </c>
      <c r="H4670">
        <v>7</v>
      </c>
      <c r="I4670">
        <f t="shared" si="74"/>
        <v>9</v>
      </c>
    </row>
    <row r="4671" spans="1:9">
      <c r="A4671" s="1">
        <v>42444.570833333331</v>
      </c>
      <c r="B4671" s="19">
        <v>42839</v>
      </c>
      <c r="C4671" s="21">
        <v>0.15763888888888888</v>
      </c>
      <c r="D4671" s="20" t="s">
        <v>3053</v>
      </c>
      <c r="E4671" t="s">
        <v>149</v>
      </c>
      <c r="F4671" t="s">
        <v>150</v>
      </c>
      <c r="G4671" t="s">
        <v>279</v>
      </c>
      <c r="H4671">
        <v>13</v>
      </c>
      <c r="I4671">
        <f t="shared" si="74"/>
        <v>17</v>
      </c>
    </row>
    <row r="4672" spans="1:9">
      <c r="A4672" s="1">
        <v>42444.463888888888</v>
      </c>
      <c r="B4672" s="19">
        <v>42840</v>
      </c>
      <c r="C4672" s="21">
        <v>0.22847222222222222</v>
      </c>
      <c r="D4672" s="20" t="s">
        <v>3055</v>
      </c>
      <c r="E4672" t="s">
        <v>6</v>
      </c>
      <c r="F4672" t="s">
        <v>76</v>
      </c>
      <c r="G4672" t="s">
        <v>271</v>
      </c>
      <c r="H4672">
        <v>7</v>
      </c>
      <c r="I4672">
        <f t="shared" si="74"/>
        <v>9</v>
      </c>
    </row>
    <row r="4673" spans="1:9">
      <c r="A4673" s="1">
        <v>42444.451388888891</v>
      </c>
      <c r="B4673" s="19">
        <v>42840</v>
      </c>
      <c r="C4673" s="21">
        <v>0.1673611111111111</v>
      </c>
      <c r="D4673" s="20" t="s">
        <v>3054</v>
      </c>
      <c r="E4673" t="s">
        <v>6</v>
      </c>
      <c r="F4673" t="s">
        <v>26</v>
      </c>
      <c r="G4673" t="s">
        <v>103</v>
      </c>
      <c r="H4673">
        <v>13</v>
      </c>
      <c r="I4673">
        <f t="shared" si="74"/>
        <v>17</v>
      </c>
    </row>
    <row r="4674" spans="1:9">
      <c r="A4674" s="1">
        <v>42444.363194444442</v>
      </c>
      <c r="B4674" s="19">
        <v>42840</v>
      </c>
      <c r="C4674" s="21">
        <v>0.16597222222222222</v>
      </c>
      <c r="D4674" s="20" t="s">
        <v>3053</v>
      </c>
      <c r="E4674" t="s">
        <v>18</v>
      </c>
      <c r="F4674" t="s">
        <v>100</v>
      </c>
      <c r="H4674" t="e">
        <v>#VALUE!</v>
      </c>
      <c r="I4674" t="e">
        <f t="shared" si="74"/>
        <v>#VALUE!</v>
      </c>
    </row>
    <row r="4675" spans="1:9">
      <c r="A4675" s="1">
        <v>42444.306250000001</v>
      </c>
      <c r="B4675" s="19">
        <v>42842</v>
      </c>
      <c r="C4675" s="21">
        <v>0.88055555555555554</v>
      </c>
      <c r="D4675" s="20" t="s">
        <v>3048</v>
      </c>
      <c r="E4675" t="s">
        <v>6</v>
      </c>
      <c r="F4675" t="s">
        <v>21</v>
      </c>
      <c r="G4675" t="s">
        <v>264</v>
      </c>
      <c r="H4675">
        <v>75</v>
      </c>
      <c r="I4675">
        <f t="shared" ref="I4675:I4738" si="75">ROUNDUP((H4675*1.24), 0)</f>
        <v>93</v>
      </c>
    </row>
    <row r="4676" spans="1:9">
      <c r="A4676" s="1">
        <v>42444.265972222223</v>
      </c>
      <c r="B4676" s="19">
        <v>42842</v>
      </c>
      <c r="C4676" s="21">
        <v>0.8569444444444444</v>
      </c>
      <c r="D4676" s="20" t="s">
        <v>3047</v>
      </c>
      <c r="E4676" t="s">
        <v>6</v>
      </c>
      <c r="F4676" t="s">
        <v>26</v>
      </c>
      <c r="G4676" t="s">
        <v>265</v>
      </c>
      <c r="H4676">
        <v>7</v>
      </c>
      <c r="I4676">
        <f t="shared" si="75"/>
        <v>9</v>
      </c>
    </row>
    <row r="4677" spans="1:9">
      <c r="A4677" s="1">
        <v>42444.146527777775</v>
      </c>
      <c r="B4677" s="19">
        <v>42842</v>
      </c>
      <c r="C4677" s="21">
        <v>0.82986111111111116</v>
      </c>
      <c r="D4677" s="20" t="s">
        <v>3046</v>
      </c>
      <c r="E4677" t="s">
        <v>6</v>
      </c>
      <c r="F4677" t="s">
        <v>26</v>
      </c>
      <c r="G4677" t="s">
        <v>266</v>
      </c>
      <c r="H4677">
        <v>7</v>
      </c>
      <c r="I4677">
        <f t="shared" si="75"/>
        <v>9</v>
      </c>
    </row>
    <row r="4678" spans="1:9">
      <c r="A4678" s="1">
        <v>42444.113194444442</v>
      </c>
      <c r="B4678" s="19">
        <v>42842</v>
      </c>
      <c r="C4678" s="21">
        <v>0.80763888888888891</v>
      </c>
      <c r="D4678" s="20" t="s">
        <v>3046</v>
      </c>
      <c r="E4678" t="s">
        <v>6</v>
      </c>
      <c r="F4678" t="s">
        <v>21</v>
      </c>
      <c r="G4678" t="s">
        <v>267</v>
      </c>
      <c r="H4678">
        <v>38</v>
      </c>
      <c r="I4678">
        <f t="shared" si="75"/>
        <v>48</v>
      </c>
    </row>
    <row r="4679" spans="1:9">
      <c r="A4679" s="1">
        <v>42444.111111111109</v>
      </c>
      <c r="B4679" s="19">
        <v>42842</v>
      </c>
      <c r="C4679" s="21">
        <v>0.6</v>
      </c>
      <c r="D4679" s="20" t="s">
        <v>3040</v>
      </c>
      <c r="E4679" t="s">
        <v>6</v>
      </c>
      <c r="F4679" t="s">
        <v>26</v>
      </c>
      <c r="G4679" t="s">
        <v>269</v>
      </c>
      <c r="H4679">
        <v>44</v>
      </c>
      <c r="I4679">
        <f t="shared" si="75"/>
        <v>55</v>
      </c>
    </row>
    <row r="4680" spans="1:9">
      <c r="A4680" s="1">
        <v>42444.11041666667</v>
      </c>
      <c r="B4680" s="19">
        <v>42842</v>
      </c>
      <c r="C4680" s="21">
        <v>0.70416666666666672</v>
      </c>
      <c r="D4680" s="20" t="s">
        <v>3043</v>
      </c>
      <c r="E4680" t="s">
        <v>0</v>
      </c>
      <c r="F4680" t="s">
        <v>1</v>
      </c>
      <c r="G4680" t="s">
        <v>268</v>
      </c>
      <c r="H4680">
        <v>7</v>
      </c>
      <c r="I4680">
        <f t="shared" si="75"/>
        <v>9</v>
      </c>
    </row>
    <row r="4681" spans="1:9">
      <c r="A4681" s="1">
        <v>42444.056944444441</v>
      </c>
      <c r="B4681" s="19">
        <v>42842</v>
      </c>
      <c r="C4681" s="21">
        <v>0.58472222222222225</v>
      </c>
      <c r="D4681" s="20" t="s">
        <v>3040</v>
      </c>
      <c r="E4681" t="s">
        <v>0</v>
      </c>
      <c r="F4681" t="s">
        <v>1</v>
      </c>
      <c r="G4681" t="s">
        <v>9</v>
      </c>
      <c r="H4681">
        <v>13</v>
      </c>
      <c r="I4681">
        <f t="shared" si="75"/>
        <v>17</v>
      </c>
    </row>
    <row r="4682" spans="1:9">
      <c r="A4682" s="1">
        <v>42444.056944444441</v>
      </c>
      <c r="B4682" s="19">
        <v>42842</v>
      </c>
      <c r="C4682" s="21">
        <v>0.57847222222222228</v>
      </c>
      <c r="D4682" s="20" t="s">
        <v>3039</v>
      </c>
      <c r="E4682" t="s">
        <v>0</v>
      </c>
      <c r="H4682">
        <v>2</v>
      </c>
      <c r="I4682">
        <f t="shared" si="75"/>
        <v>3</v>
      </c>
    </row>
    <row r="4683" spans="1:9">
      <c r="A4683" s="1">
        <v>42444.938194444447</v>
      </c>
      <c r="B4683" s="19">
        <v>42842</v>
      </c>
      <c r="C4683" s="21">
        <v>0.27291666666666664</v>
      </c>
      <c r="D4683" s="20" t="s">
        <v>3031</v>
      </c>
      <c r="E4683" t="s">
        <v>0</v>
      </c>
      <c r="G4683" t="s">
        <v>270</v>
      </c>
      <c r="H4683">
        <v>41</v>
      </c>
      <c r="I4683">
        <f t="shared" si="75"/>
        <v>51</v>
      </c>
    </row>
    <row r="4684" spans="1:9">
      <c r="A4684" s="1">
        <v>42444.929166666669</v>
      </c>
      <c r="B4684" s="19">
        <v>42843</v>
      </c>
      <c r="C4684" s="21">
        <v>0.59583333333333333</v>
      </c>
      <c r="D4684" s="20" t="s">
        <v>3040</v>
      </c>
      <c r="E4684" t="s">
        <v>6</v>
      </c>
      <c r="F4684" t="s">
        <v>76</v>
      </c>
      <c r="G4684" t="s">
        <v>65</v>
      </c>
      <c r="H4684">
        <v>25</v>
      </c>
      <c r="I4684">
        <f t="shared" si="75"/>
        <v>31</v>
      </c>
    </row>
    <row r="4685" spans="1:9">
      <c r="A4685" s="1">
        <v>42444.845138888886</v>
      </c>
      <c r="B4685" s="19">
        <v>42843</v>
      </c>
      <c r="C4685" s="21">
        <v>0.57361111111111107</v>
      </c>
      <c r="D4685" s="20" t="s">
        <v>3039</v>
      </c>
      <c r="E4685" t="s">
        <v>6</v>
      </c>
      <c r="F4685" t="s">
        <v>21</v>
      </c>
      <c r="G4685" t="s">
        <v>262</v>
      </c>
      <c r="H4685">
        <v>7</v>
      </c>
      <c r="I4685">
        <f t="shared" si="75"/>
        <v>9</v>
      </c>
    </row>
    <row r="4686" spans="1:9">
      <c r="A4686" s="1">
        <v>42444.823611111111</v>
      </c>
      <c r="B4686" s="19">
        <v>42843</v>
      </c>
      <c r="C4686" s="21">
        <v>0.5625</v>
      </c>
      <c r="D4686" s="20" t="s">
        <v>3039</v>
      </c>
      <c r="E4686" t="s">
        <v>6</v>
      </c>
      <c r="F4686" t="s">
        <v>7</v>
      </c>
      <c r="G4686" t="s">
        <v>65</v>
      </c>
      <c r="H4686">
        <v>7</v>
      </c>
      <c r="I4686">
        <f t="shared" si="75"/>
        <v>9</v>
      </c>
    </row>
    <row r="4687" spans="1:9">
      <c r="A4687" s="1">
        <v>42444.774305555555</v>
      </c>
      <c r="B4687" s="19">
        <v>42843</v>
      </c>
      <c r="C4687" s="21">
        <v>0.3347222222222222</v>
      </c>
      <c r="D4687" s="20" t="s">
        <v>3034</v>
      </c>
      <c r="E4687" t="s">
        <v>6</v>
      </c>
      <c r="F4687" t="s">
        <v>21</v>
      </c>
      <c r="G4687" t="s">
        <v>263</v>
      </c>
      <c r="H4687">
        <v>45</v>
      </c>
      <c r="I4687">
        <f t="shared" si="75"/>
        <v>56</v>
      </c>
    </row>
    <row r="4688" spans="1:9">
      <c r="A4688" s="1">
        <v>42444.557638888888</v>
      </c>
      <c r="B4688" s="19">
        <v>42843</v>
      </c>
      <c r="C4688" s="21">
        <v>0.91666666666666663</v>
      </c>
      <c r="D4688" s="20" t="s">
        <v>3049</v>
      </c>
      <c r="E4688" t="s">
        <v>0</v>
      </c>
      <c r="F4688" t="s">
        <v>10</v>
      </c>
      <c r="G4688" t="s">
        <v>145</v>
      </c>
      <c r="H4688">
        <v>13</v>
      </c>
      <c r="I4688">
        <f t="shared" si="75"/>
        <v>17</v>
      </c>
    </row>
    <row r="4689" spans="1:9">
      <c r="A4689" s="1">
        <v>42444.544444444444</v>
      </c>
      <c r="B4689" s="19">
        <v>42843</v>
      </c>
      <c r="C4689" s="21">
        <v>0.82638888888888884</v>
      </c>
      <c r="D4689" s="20" t="s">
        <v>3046</v>
      </c>
      <c r="E4689" t="s">
        <v>0</v>
      </c>
      <c r="F4689" t="s">
        <v>75</v>
      </c>
      <c r="G4689" t="s">
        <v>259</v>
      </c>
      <c r="H4689">
        <v>9</v>
      </c>
      <c r="I4689">
        <f t="shared" si="75"/>
        <v>12</v>
      </c>
    </row>
    <row r="4690" spans="1:9">
      <c r="A4690" s="1">
        <v>42444.540972222225</v>
      </c>
      <c r="B4690" s="19">
        <v>42843</v>
      </c>
      <c r="C4690" s="21">
        <v>0.78611111111111109</v>
      </c>
      <c r="D4690" s="20" t="s">
        <v>3045</v>
      </c>
      <c r="E4690" t="s">
        <v>0</v>
      </c>
      <c r="F4690" t="s">
        <v>75</v>
      </c>
      <c r="G4690" t="s">
        <v>260</v>
      </c>
      <c r="H4690">
        <v>13</v>
      </c>
      <c r="I4690">
        <f t="shared" si="75"/>
        <v>17</v>
      </c>
    </row>
    <row r="4691" spans="1:9">
      <c r="A4691" s="1">
        <v>42444.51666666667</v>
      </c>
      <c r="B4691" s="19">
        <v>42843</v>
      </c>
      <c r="C4691" s="21">
        <v>0.67638888888888893</v>
      </c>
      <c r="D4691" s="20" t="s">
        <v>3043</v>
      </c>
      <c r="E4691" t="s">
        <v>0</v>
      </c>
      <c r="F4691" t="s">
        <v>75</v>
      </c>
      <c r="G4691" t="s">
        <v>261</v>
      </c>
      <c r="H4691">
        <v>31</v>
      </c>
      <c r="I4691">
        <f t="shared" si="75"/>
        <v>39</v>
      </c>
    </row>
    <row r="4692" spans="1:9">
      <c r="A4692" s="1">
        <v>42444.496527777781</v>
      </c>
      <c r="B4692" s="19">
        <v>42843</v>
      </c>
      <c r="C4692" s="21">
        <v>0.58402777777777781</v>
      </c>
      <c r="D4692" s="20" t="s">
        <v>3040</v>
      </c>
      <c r="E4692" t="s">
        <v>0</v>
      </c>
      <c r="F4692" t="s">
        <v>1</v>
      </c>
      <c r="G4692" t="s">
        <v>9</v>
      </c>
      <c r="H4692">
        <v>17</v>
      </c>
      <c r="I4692">
        <f t="shared" si="75"/>
        <v>22</v>
      </c>
    </row>
    <row r="4693" spans="1:9">
      <c r="A4693" s="1">
        <v>42444.436111111114</v>
      </c>
      <c r="B4693" s="19">
        <v>42843</v>
      </c>
      <c r="C4693" s="21">
        <v>0.58402777777777781</v>
      </c>
      <c r="D4693" s="20" t="s">
        <v>3040</v>
      </c>
      <c r="E4693" t="s">
        <v>0</v>
      </c>
      <c r="F4693" t="s">
        <v>10</v>
      </c>
      <c r="H4693">
        <v>13</v>
      </c>
      <c r="I4693">
        <f t="shared" si="75"/>
        <v>17</v>
      </c>
    </row>
    <row r="4694" spans="1:9">
      <c r="A4694" s="1">
        <v>42444.261111111111</v>
      </c>
      <c r="B4694" s="19">
        <v>42843</v>
      </c>
      <c r="C4694" s="21">
        <v>0.24930555555555556</v>
      </c>
      <c r="D4694" s="20" t="s">
        <v>3055</v>
      </c>
      <c r="E4694" t="s">
        <v>0</v>
      </c>
      <c r="G4694" t="s">
        <v>25</v>
      </c>
      <c r="H4694">
        <v>13</v>
      </c>
      <c r="I4694">
        <f t="shared" si="75"/>
        <v>17</v>
      </c>
    </row>
    <row r="4695" spans="1:9">
      <c r="A4695" s="1">
        <v>42444.212500000001</v>
      </c>
      <c r="B4695" s="19">
        <v>42844</v>
      </c>
      <c r="C4695" s="21">
        <v>0.4548611111111111</v>
      </c>
      <c r="D4695" s="20" t="s">
        <v>3036</v>
      </c>
      <c r="E4695" t="s">
        <v>6</v>
      </c>
      <c r="F4695" t="s">
        <v>21</v>
      </c>
      <c r="G4695" t="s">
        <v>258</v>
      </c>
      <c r="H4695">
        <v>56</v>
      </c>
      <c r="I4695">
        <f t="shared" si="75"/>
        <v>70</v>
      </c>
    </row>
    <row r="4696" spans="1:9">
      <c r="A4696" s="1">
        <v>42444.181944444441</v>
      </c>
      <c r="B4696" s="19">
        <v>42844</v>
      </c>
      <c r="C4696" s="21">
        <v>0.29375000000000001</v>
      </c>
      <c r="D4696" s="20" t="s">
        <v>3033</v>
      </c>
      <c r="E4696" t="s">
        <v>6</v>
      </c>
      <c r="F4696" t="s">
        <v>76</v>
      </c>
      <c r="H4696">
        <v>9</v>
      </c>
      <c r="I4696">
        <f t="shared" si="75"/>
        <v>12</v>
      </c>
    </row>
    <row r="4697" spans="1:9">
      <c r="A4697" s="1">
        <v>42444.169444444444</v>
      </c>
      <c r="B4697" s="19">
        <v>42844</v>
      </c>
      <c r="C4697" s="21">
        <v>0.28888888888888886</v>
      </c>
      <c r="D4697" s="20" t="s">
        <v>3031</v>
      </c>
      <c r="E4697" t="s">
        <v>6</v>
      </c>
      <c r="F4697" t="s">
        <v>76</v>
      </c>
      <c r="G4697" t="s">
        <v>65</v>
      </c>
      <c r="H4697">
        <v>7</v>
      </c>
      <c r="I4697">
        <f t="shared" si="75"/>
        <v>9</v>
      </c>
    </row>
    <row r="4698" spans="1:9">
      <c r="A4698" s="1">
        <v>42444.146527777775</v>
      </c>
      <c r="B4698" s="19">
        <v>42844</v>
      </c>
      <c r="C4698" s="21">
        <v>0.91666666666666663</v>
      </c>
      <c r="D4698" s="20" t="s">
        <v>3049</v>
      </c>
      <c r="E4698" t="s">
        <v>0</v>
      </c>
      <c r="F4698" t="s">
        <v>10</v>
      </c>
      <c r="G4698" t="s">
        <v>255</v>
      </c>
      <c r="H4698">
        <v>13</v>
      </c>
      <c r="I4698">
        <f t="shared" si="75"/>
        <v>17</v>
      </c>
    </row>
    <row r="4699" spans="1:9">
      <c r="A4699" s="1">
        <v>42444.145138888889</v>
      </c>
      <c r="B4699" s="19">
        <v>42844</v>
      </c>
      <c r="C4699" s="21">
        <v>0.83750000000000002</v>
      </c>
      <c r="D4699" s="20" t="s">
        <v>3047</v>
      </c>
      <c r="E4699" t="s">
        <v>0</v>
      </c>
      <c r="F4699" t="s">
        <v>1</v>
      </c>
      <c r="G4699" t="s">
        <v>256</v>
      </c>
      <c r="H4699">
        <v>9</v>
      </c>
      <c r="I4699">
        <f t="shared" si="75"/>
        <v>12</v>
      </c>
    </row>
    <row r="4700" spans="1:9">
      <c r="A4700" s="1">
        <v>42444.143055555556</v>
      </c>
      <c r="B4700" s="19">
        <v>42844</v>
      </c>
      <c r="C4700" s="21">
        <v>0.79097222222222219</v>
      </c>
      <c r="D4700" s="20" t="s">
        <v>3045</v>
      </c>
      <c r="E4700" t="s">
        <v>0</v>
      </c>
      <c r="F4700" t="s">
        <v>1</v>
      </c>
      <c r="G4700" t="s">
        <v>257</v>
      </c>
      <c r="H4700">
        <v>13</v>
      </c>
      <c r="I4700">
        <f t="shared" si="75"/>
        <v>17</v>
      </c>
    </row>
    <row r="4701" spans="1:9">
      <c r="A4701" s="1">
        <v>42444.13958333333</v>
      </c>
      <c r="B4701" s="19">
        <v>42844</v>
      </c>
      <c r="C4701" s="21">
        <v>0.58472222222222225</v>
      </c>
      <c r="D4701" s="20" t="s">
        <v>3040</v>
      </c>
      <c r="E4701" t="s">
        <v>0</v>
      </c>
      <c r="F4701" t="s">
        <v>1</v>
      </c>
      <c r="G4701" t="s">
        <v>9</v>
      </c>
      <c r="H4701">
        <v>17</v>
      </c>
      <c r="I4701">
        <f t="shared" si="75"/>
        <v>22</v>
      </c>
    </row>
    <row r="4702" spans="1:9">
      <c r="A4702" s="1">
        <v>42444.115277777775</v>
      </c>
      <c r="B4702" s="19">
        <v>42844</v>
      </c>
      <c r="C4702" s="21">
        <v>0.58472222222222225</v>
      </c>
      <c r="D4702" s="20" t="s">
        <v>3040</v>
      </c>
      <c r="E4702" t="s">
        <v>0</v>
      </c>
      <c r="F4702" t="s">
        <v>10</v>
      </c>
      <c r="H4702">
        <v>13</v>
      </c>
      <c r="I4702">
        <f t="shared" si="75"/>
        <v>17</v>
      </c>
    </row>
    <row r="4703" spans="1:9">
      <c r="A4703" s="1">
        <v>42444.112500000003</v>
      </c>
      <c r="B4703" s="19">
        <v>42844</v>
      </c>
      <c r="C4703" s="21">
        <v>0.25138888888888888</v>
      </c>
      <c r="D4703" s="20" t="s">
        <v>3031</v>
      </c>
      <c r="E4703" t="s">
        <v>0</v>
      </c>
      <c r="G4703" t="s">
        <v>32</v>
      </c>
      <c r="H4703">
        <v>13</v>
      </c>
      <c r="I4703">
        <f t="shared" si="75"/>
        <v>17</v>
      </c>
    </row>
    <row r="4704" spans="1:9">
      <c r="A4704" s="1">
        <v>42444.111805555556</v>
      </c>
      <c r="B4704" s="19">
        <v>42845</v>
      </c>
      <c r="C4704" s="21">
        <v>0.92361111111111116</v>
      </c>
      <c r="D4704" s="20" t="s">
        <v>3049</v>
      </c>
      <c r="E4704" t="s">
        <v>2</v>
      </c>
      <c r="F4704" t="s">
        <v>5</v>
      </c>
      <c r="G4704" t="s">
        <v>251</v>
      </c>
      <c r="H4704" t="e">
        <v>#VALUE!</v>
      </c>
      <c r="I4704" t="e">
        <f t="shared" si="75"/>
        <v>#VALUE!</v>
      </c>
    </row>
    <row r="4705" spans="1:9">
      <c r="A4705" s="1">
        <v>42444.111805555556</v>
      </c>
      <c r="B4705" s="19">
        <v>42845</v>
      </c>
      <c r="C4705" s="21">
        <v>0.91597222222222219</v>
      </c>
      <c r="D4705" s="20" t="s">
        <v>3048</v>
      </c>
      <c r="E4705" t="s">
        <v>6</v>
      </c>
      <c r="F4705" t="s">
        <v>7</v>
      </c>
      <c r="G4705" t="s">
        <v>252</v>
      </c>
      <c r="H4705">
        <v>13</v>
      </c>
      <c r="I4705">
        <f t="shared" si="75"/>
        <v>17</v>
      </c>
    </row>
    <row r="4706" spans="1:9">
      <c r="A4706" s="1">
        <v>42444.111111111109</v>
      </c>
      <c r="B4706" s="19">
        <v>42845</v>
      </c>
      <c r="C4706" s="21">
        <v>0.87986111111111109</v>
      </c>
      <c r="D4706" s="20" t="s">
        <v>3048</v>
      </c>
      <c r="E4706" t="s">
        <v>6</v>
      </c>
      <c r="F4706" t="s">
        <v>7</v>
      </c>
      <c r="H4706">
        <v>54</v>
      </c>
      <c r="I4706">
        <f t="shared" si="75"/>
        <v>67</v>
      </c>
    </row>
    <row r="4707" spans="1:9">
      <c r="A4707" s="1">
        <v>42444.058333333334</v>
      </c>
      <c r="B4707" s="19">
        <v>42845</v>
      </c>
      <c r="C4707" s="21">
        <v>0.80486111111111114</v>
      </c>
      <c r="D4707" s="20" t="s">
        <v>3046</v>
      </c>
      <c r="E4707" t="s">
        <v>6</v>
      </c>
      <c r="F4707" t="s">
        <v>7</v>
      </c>
      <c r="H4707">
        <v>38</v>
      </c>
      <c r="I4707">
        <f t="shared" si="75"/>
        <v>48</v>
      </c>
    </row>
    <row r="4708" spans="1:9">
      <c r="A4708" s="1">
        <v>42444.057638888888</v>
      </c>
      <c r="B4708" s="19">
        <v>42845</v>
      </c>
      <c r="C4708" s="21">
        <v>0.77430555555555558</v>
      </c>
      <c r="D4708" s="20" t="s">
        <v>3045</v>
      </c>
      <c r="E4708" t="s">
        <v>2</v>
      </c>
      <c r="F4708" t="s">
        <v>5</v>
      </c>
      <c r="H4708">
        <v>25</v>
      </c>
      <c r="I4708">
        <f t="shared" si="75"/>
        <v>31</v>
      </c>
    </row>
    <row r="4709" spans="1:9">
      <c r="A4709" s="1">
        <v>42444.057638888888</v>
      </c>
      <c r="B4709" s="19">
        <v>42845</v>
      </c>
      <c r="C4709" s="21">
        <v>0.75208333333333333</v>
      </c>
      <c r="D4709" s="20" t="s">
        <v>3045</v>
      </c>
      <c r="E4709" t="s">
        <v>6</v>
      </c>
      <c r="F4709" t="s">
        <v>7</v>
      </c>
      <c r="H4709">
        <v>62</v>
      </c>
      <c r="I4709">
        <f t="shared" si="75"/>
        <v>77</v>
      </c>
    </row>
    <row r="4710" spans="1:9">
      <c r="A4710" s="1">
        <v>42443.833333333336</v>
      </c>
      <c r="B4710" s="19">
        <v>42845</v>
      </c>
      <c r="C4710" s="21">
        <v>0.64097222222222228</v>
      </c>
      <c r="D4710" s="20" t="s">
        <v>3042</v>
      </c>
      <c r="E4710" t="s">
        <v>2</v>
      </c>
      <c r="F4710" t="s">
        <v>48</v>
      </c>
      <c r="H4710">
        <v>13</v>
      </c>
      <c r="I4710">
        <f t="shared" si="75"/>
        <v>17</v>
      </c>
    </row>
    <row r="4711" spans="1:9">
      <c r="A4711" s="1">
        <v>42443.670138888891</v>
      </c>
      <c r="B4711" s="19">
        <v>42845</v>
      </c>
      <c r="C4711" s="21">
        <v>0.625</v>
      </c>
      <c r="D4711" s="20" t="s">
        <v>3042</v>
      </c>
      <c r="E4711" t="s">
        <v>2</v>
      </c>
      <c r="F4711" t="s">
        <v>48</v>
      </c>
      <c r="H4711" t="e">
        <v>#VALUE!</v>
      </c>
      <c r="I4711" t="e">
        <f t="shared" si="75"/>
        <v>#VALUE!</v>
      </c>
    </row>
    <row r="4712" spans="1:9">
      <c r="A4712" s="1">
        <v>42443.65625</v>
      </c>
      <c r="B4712" s="19">
        <v>42845</v>
      </c>
      <c r="C4712" s="21">
        <v>0.625</v>
      </c>
      <c r="D4712" s="20" t="s">
        <v>3042</v>
      </c>
      <c r="E4712" t="s">
        <v>6</v>
      </c>
      <c r="F4712" t="s">
        <v>26</v>
      </c>
      <c r="G4712" t="s">
        <v>103</v>
      </c>
      <c r="H4712">
        <v>13</v>
      </c>
      <c r="I4712">
        <f t="shared" si="75"/>
        <v>17</v>
      </c>
    </row>
    <row r="4713" spans="1:9">
      <c r="A4713" s="1">
        <v>42443.566666666666</v>
      </c>
      <c r="B4713" s="19">
        <v>42845</v>
      </c>
      <c r="C4713" s="21">
        <v>0.4513888888888889</v>
      </c>
      <c r="D4713" s="20" t="s">
        <v>3036</v>
      </c>
      <c r="E4713" t="s">
        <v>2</v>
      </c>
      <c r="F4713" t="s">
        <v>5</v>
      </c>
      <c r="G4713" t="s">
        <v>253</v>
      </c>
      <c r="H4713" t="e">
        <v>#VALUE!</v>
      </c>
      <c r="I4713" t="e">
        <f t="shared" si="75"/>
        <v>#VALUE!</v>
      </c>
    </row>
    <row r="4714" spans="1:9">
      <c r="A4714" s="1">
        <v>42443.565972222219</v>
      </c>
      <c r="B4714" s="19">
        <v>42845</v>
      </c>
      <c r="C4714" s="21">
        <v>0.43541666666666667</v>
      </c>
      <c r="D4714" s="20" t="s">
        <v>3036</v>
      </c>
      <c r="E4714" t="s">
        <v>6</v>
      </c>
      <c r="F4714" t="s">
        <v>21</v>
      </c>
      <c r="G4714" t="s">
        <v>254</v>
      </c>
      <c r="H4714">
        <v>29</v>
      </c>
      <c r="I4714">
        <f t="shared" si="75"/>
        <v>36</v>
      </c>
    </row>
    <row r="4715" spans="1:9">
      <c r="A4715" s="1">
        <v>42443.54583333333</v>
      </c>
      <c r="B4715" s="19">
        <v>42845</v>
      </c>
      <c r="C4715" s="21">
        <v>0.60069444444444442</v>
      </c>
      <c r="D4715" s="20" t="s">
        <v>3040</v>
      </c>
      <c r="E4715" t="s">
        <v>0</v>
      </c>
      <c r="F4715" t="s">
        <v>1</v>
      </c>
      <c r="G4715" t="s">
        <v>9</v>
      </c>
      <c r="H4715">
        <v>13</v>
      </c>
      <c r="I4715">
        <f t="shared" si="75"/>
        <v>17</v>
      </c>
    </row>
    <row r="4716" spans="1:9">
      <c r="A4716" s="1">
        <v>42443.52847222222</v>
      </c>
      <c r="B4716" s="19">
        <v>42845</v>
      </c>
      <c r="C4716" s="21">
        <v>0.25208333333333333</v>
      </c>
      <c r="D4716" s="20" t="s">
        <v>3031</v>
      </c>
      <c r="E4716" t="s">
        <v>0</v>
      </c>
      <c r="G4716" t="s">
        <v>9</v>
      </c>
      <c r="H4716">
        <v>13</v>
      </c>
      <c r="I4716">
        <f t="shared" si="75"/>
        <v>17</v>
      </c>
    </row>
    <row r="4717" spans="1:9">
      <c r="A4717" s="1">
        <v>42443.488888888889</v>
      </c>
      <c r="B4717" s="19">
        <v>42846</v>
      </c>
      <c r="C4717" s="21">
        <v>0.93541666666666667</v>
      </c>
      <c r="D4717" s="20" t="s">
        <v>3049</v>
      </c>
      <c r="E4717" t="s">
        <v>6</v>
      </c>
      <c r="F4717" t="s">
        <v>21</v>
      </c>
      <c r="G4717" t="s">
        <v>240</v>
      </c>
      <c r="H4717" t="e">
        <v>#VALUE!</v>
      </c>
      <c r="I4717" t="e">
        <f t="shared" si="75"/>
        <v>#VALUE!</v>
      </c>
    </row>
    <row r="4718" spans="1:9">
      <c r="A4718" s="1">
        <v>42443.384722222225</v>
      </c>
      <c r="B4718" s="19">
        <v>42846</v>
      </c>
      <c r="C4718" s="21">
        <v>0.91249999999999998</v>
      </c>
      <c r="D4718" s="20" t="s">
        <v>3048</v>
      </c>
      <c r="E4718" t="s">
        <v>6</v>
      </c>
      <c r="F4718" t="s">
        <v>167</v>
      </c>
      <c r="G4718" t="s">
        <v>241</v>
      </c>
      <c r="H4718">
        <v>17</v>
      </c>
      <c r="I4718">
        <f t="shared" si="75"/>
        <v>22</v>
      </c>
    </row>
    <row r="4719" spans="1:9">
      <c r="A4719" s="1">
        <v>42443.306250000001</v>
      </c>
      <c r="B4719" s="19">
        <v>42846</v>
      </c>
      <c r="C4719" s="21">
        <v>0.89375000000000004</v>
      </c>
      <c r="D4719" s="20" t="s">
        <v>3048</v>
      </c>
      <c r="E4719" t="s">
        <v>6</v>
      </c>
      <c r="F4719" t="s">
        <v>167</v>
      </c>
      <c r="G4719" t="s">
        <v>242</v>
      </c>
      <c r="H4719">
        <v>38</v>
      </c>
      <c r="I4719">
        <f t="shared" si="75"/>
        <v>48</v>
      </c>
    </row>
    <row r="4720" spans="1:9">
      <c r="A4720" s="1">
        <v>42443.877083333333</v>
      </c>
      <c r="B4720" s="19">
        <v>42846</v>
      </c>
      <c r="C4720" s="21">
        <v>0.85486111111111107</v>
      </c>
      <c r="D4720" s="20" t="s">
        <v>3047</v>
      </c>
      <c r="E4720" t="s">
        <v>6</v>
      </c>
      <c r="F4720" t="s">
        <v>7</v>
      </c>
      <c r="G4720" t="s">
        <v>243</v>
      </c>
      <c r="H4720">
        <v>13</v>
      </c>
      <c r="I4720">
        <f t="shared" si="75"/>
        <v>17</v>
      </c>
    </row>
    <row r="4721" spans="1:9">
      <c r="A4721" s="1">
        <v>42443.861805555556</v>
      </c>
      <c r="B4721" s="19">
        <v>42846</v>
      </c>
      <c r="C4721" s="21">
        <v>0.82986111111111116</v>
      </c>
      <c r="D4721" s="20" t="s">
        <v>3046</v>
      </c>
      <c r="E4721" t="s">
        <v>6</v>
      </c>
      <c r="F4721" t="s">
        <v>21</v>
      </c>
      <c r="G4721" t="s">
        <v>244</v>
      </c>
      <c r="H4721">
        <v>7</v>
      </c>
      <c r="I4721">
        <f t="shared" si="75"/>
        <v>9</v>
      </c>
    </row>
    <row r="4722" spans="1:9">
      <c r="A4722" s="1">
        <v>42443.540972222225</v>
      </c>
      <c r="B4722" s="19">
        <v>42846</v>
      </c>
      <c r="C4722" s="21">
        <v>0.81388888888888888</v>
      </c>
      <c r="D4722" s="20" t="s">
        <v>3046</v>
      </c>
      <c r="E4722" t="s">
        <v>6</v>
      </c>
      <c r="F4722" t="s">
        <v>15</v>
      </c>
      <c r="G4722" t="s">
        <v>103</v>
      </c>
      <c r="H4722">
        <v>8</v>
      </c>
      <c r="I4722">
        <f t="shared" si="75"/>
        <v>10</v>
      </c>
    </row>
    <row r="4723" spans="1:9">
      <c r="A4723" s="1">
        <v>42443.417361111111</v>
      </c>
      <c r="B4723" s="19">
        <v>42846</v>
      </c>
      <c r="C4723" s="21">
        <v>0.64236111111111116</v>
      </c>
      <c r="D4723" s="20" t="s">
        <v>3042</v>
      </c>
      <c r="E4723" t="s">
        <v>2</v>
      </c>
      <c r="F4723" t="s">
        <v>48</v>
      </c>
      <c r="G4723" t="s">
        <v>246</v>
      </c>
      <c r="H4723">
        <v>9</v>
      </c>
      <c r="I4723">
        <f t="shared" si="75"/>
        <v>12</v>
      </c>
    </row>
    <row r="4724" spans="1:9">
      <c r="A4724" s="1">
        <v>42443.382638888892</v>
      </c>
      <c r="B4724" s="19">
        <v>42846</v>
      </c>
      <c r="C4724" s="21">
        <v>0.6333333333333333</v>
      </c>
      <c r="D4724" s="20" t="s">
        <v>3042</v>
      </c>
      <c r="E4724" t="s">
        <v>2</v>
      </c>
      <c r="F4724" t="s">
        <v>3</v>
      </c>
      <c r="H4724">
        <v>13</v>
      </c>
      <c r="I4724">
        <f t="shared" si="75"/>
        <v>17</v>
      </c>
    </row>
    <row r="4725" spans="1:9">
      <c r="A4725" s="1">
        <v>42443.376388888886</v>
      </c>
      <c r="B4725" s="19">
        <v>42846</v>
      </c>
      <c r="C4725" s="21">
        <v>0.58611111111111114</v>
      </c>
      <c r="D4725" s="20" t="s">
        <v>3040</v>
      </c>
      <c r="E4725" t="s">
        <v>6</v>
      </c>
      <c r="G4725" t="s">
        <v>247</v>
      </c>
      <c r="H4725">
        <v>7</v>
      </c>
      <c r="I4725">
        <f t="shared" si="75"/>
        <v>9</v>
      </c>
    </row>
    <row r="4726" spans="1:9">
      <c r="A4726" s="1">
        <v>42443.368750000001</v>
      </c>
      <c r="B4726" s="19">
        <v>42846</v>
      </c>
      <c r="C4726" s="21">
        <v>0.56597222222222221</v>
      </c>
      <c r="D4726" s="20" t="s">
        <v>3039</v>
      </c>
      <c r="E4726" t="s">
        <v>6</v>
      </c>
      <c r="F4726" t="s">
        <v>15</v>
      </c>
      <c r="G4726" t="s">
        <v>248</v>
      </c>
      <c r="H4726">
        <v>25</v>
      </c>
      <c r="I4726">
        <f t="shared" si="75"/>
        <v>31</v>
      </c>
    </row>
    <row r="4727" spans="1:9">
      <c r="A4727" s="1">
        <v>42443.311111111114</v>
      </c>
      <c r="B4727" s="19">
        <v>42846</v>
      </c>
      <c r="C4727" s="21">
        <v>0.52013888888888893</v>
      </c>
      <c r="D4727" s="20" t="s">
        <v>3038</v>
      </c>
      <c r="E4727" t="s">
        <v>6</v>
      </c>
      <c r="F4727" t="s">
        <v>26</v>
      </c>
      <c r="G4727" t="s">
        <v>65</v>
      </c>
      <c r="H4727">
        <v>13</v>
      </c>
      <c r="I4727">
        <f t="shared" si="75"/>
        <v>17</v>
      </c>
    </row>
    <row r="4728" spans="1:9">
      <c r="A4728" s="1">
        <v>42443.260416666664</v>
      </c>
      <c r="B4728" s="19">
        <v>42846</v>
      </c>
      <c r="C4728" s="21">
        <v>0.42499999999999999</v>
      </c>
      <c r="D4728" s="20" t="s">
        <v>3036</v>
      </c>
      <c r="E4728" t="s">
        <v>2</v>
      </c>
      <c r="F4728" t="s">
        <v>48</v>
      </c>
      <c r="H4728">
        <v>28</v>
      </c>
      <c r="I4728">
        <f t="shared" si="75"/>
        <v>35</v>
      </c>
    </row>
    <row r="4729" spans="1:9">
      <c r="A4729" s="1">
        <v>42441.010416666664</v>
      </c>
      <c r="B4729" s="19">
        <v>42846</v>
      </c>
      <c r="C4729" s="21">
        <v>0.34722222222222221</v>
      </c>
      <c r="D4729" s="20" t="s">
        <v>3034</v>
      </c>
      <c r="E4729" t="s">
        <v>2</v>
      </c>
      <c r="F4729" t="s">
        <v>48</v>
      </c>
      <c r="H4729" t="e">
        <v>#VALUE!</v>
      </c>
      <c r="I4729" t="e">
        <f t="shared" si="75"/>
        <v>#VALUE!</v>
      </c>
    </row>
    <row r="4730" spans="1:9">
      <c r="A4730" s="1">
        <v>42441.009722222225</v>
      </c>
      <c r="B4730" s="19">
        <v>42846</v>
      </c>
      <c r="C4730" s="21">
        <v>0.24791666666666667</v>
      </c>
      <c r="D4730" s="20" t="s">
        <v>3055</v>
      </c>
      <c r="E4730" t="s">
        <v>6</v>
      </c>
      <c r="F4730" t="s">
        <v>7</v>
      </c>
      <c r="G4730" t="s">
        <v>249</v>
      </c>
      <c r="H4730" t="e">
        <v>#VALUE!</v>
      </c>
      <c r="I4730" t="e">
        <f t="shared" si="75"/>
        <v>#VALUE!</v>
      </c>
    </row>
    <row r="4731" spans="1:9">
      <c r="A4731" s="1">
        <v>42440.897916666669</v>
      </c>
      <c r="B4731" s="19">
        <v>42846</v>
      </c>
      <c r="C4731" s="21">
        <v>0.77847222222222223</v>
      </c>
      <c r="D4731" s="20" t="s">
        <v>3045</v>
      </c>
      <c r="E4731" t="s">
        <v>0</v>
      </c>
      <c r="F4731" t="s">
        <v>1</v>
      </c>
      <c r="G4731" t="s">
        <v>245</v>
      </c>
      <c r="H4731">
        <v>5</v>
      </c>
      <c r="I4731">
        <f t="shared" si="75"/>
        <v>7</v>
      </c>
    </row>
    <row r="4732" spans="1:9">
      <c r="A4732" s="1">
        <v>42440.791666666664</v>
      </c>
      <c r="B4732" s="19">
        <v>42846</v>
      </c>
      <c r="C4732" s="21">
        <v>0.65555555555555556</v>
      </c>
      <c r="D4732" s="20" t="s">
        <v>3042</v>
      </c>
      <c r="E4732" t="s">
        <v>0</v>
      </c>
      <c r="F4732" t="s">
        <v>1</v>
      </c>
      <c r="H4732">
        <v>7</v>
      </c>
      <c r="I4732">
        <f t="shared" si="75"/>
        <v>9</v>
      </c>
    </row>
    <row r="4733" spans="1:9">
      <c r="A4733" s="1">
        <v>42440.713194444441</v>
      </c>
      <c r="B4733" s="19">
        <v>42846</v>
      </c>
      <c r="C4733" s="21">
        <v>0.58611111111111114</v>
      </c>
      <c r="D4733" s="20" t="s">
        <v>3040</v>
      </c>
      <c r="E4733" t="s">
        <v>0</v>
      </c>
      <c r="F4733" t="s">
        <v>1</v>
      </c>
      <c r="G4733" t="s">
        <v>9</v>
      </c>
      <c r="H4733">
        <v>13</v>
      </c>
      <c r="I4733">
        <f t="shared" si="75"/>
        <v>17</v>
      </c>
    </row>
    <row r="4734" spans="1:9">
      <c r="A4734" s="1">
        <v>42440.604166666664</v>
      </c>
      <c r="B4734" s="19">
        <v>42846</v>
      </c>
      <c r="C4734" s="21">
        <v>0.58611111111111114</v>
      </c>
      <c r="D4734" s="20" t="s">
        <v>3040</v>
      </c>
      <c r="E4734" t="s">
        <v>0</v>
      </c>
      <c r="F4734" t="s">
        <v>10</v>
      </c>
      <c r="H4734">
        <v>13</v>
      </c>
      <c r="I4734">
        <f t="shared" si="75"/>
        <v>17</v>
      </c>
    </row>
    <row r="4735" spans="1:9">
      <c r="A4735" s="1">
        <v>42440.470833333333</v>
      </c>
      <c r="B4735" s="19">
        <v>42846</v>
      </c>
      <c r="C4735" s="21">
        <v>0.34861111111111109</v>
      </c>
      <c r="D4735" s="20" t="s">
        <v>3034</v>
      </c>
      <c r="E4735" t="s">
        <v>0</v>
      </c>
      <c r="F4735" t="s">
        <v>1</v>
      </c>
      <c r="H4735" t="e">
        <v>#VALUE!</v>
      </c>
      <c r="I4735" t="e">
        <f t="shared" si="75"/>
        <v>#VALUE!</v>
      </c>
    </row>
    <row r="4736" spans="1:9">
      <c r="A4736" s="1">
        <v>42440.363888888889</v>
      </c>
      <c r="B4736" s="19">
        <v>42846</v>
      </c>
      <c r="C4736" s="21">
        <v>0.16875000000000001</v>
      </c>
      <c r="D4736" s="20" t="s">
        <v>3054</v>
      </c>
      <c r="E4736" t="s">
        <v>0</v>
      </c>
      <c r="G4736" t="s">
        <v>250</v>
      </c>
      <c r="H4736" t="e">
        <v>#VALUE!</v>
      </c>
      <c r="I4736" t="e">
        <f t="shared" si="75"/>
        <v>#VALUE!</v>
      </c>
    </row>
    <row r="4737" spans="1:9">
      <c r="A4737" s="1">
        <v>42440.356944444444</v>
      </c>
      <c r="B4737" s="19">
        <v>42847</v>
      </c>
      <c r="C4737" s="21">
        <v>0.11180555555555556</v>
      </c>
      <c r="D4737" s="20" t="s">
        <v>3052</v>
      </c>
      <c r="E4737" t="s">
        <v>6</v>
      </c>
      <c r="F4737" t="s">
        <v>26</v>
      </c>
      <c r="G4737" t="s">
        <v>239</v>
      </c>
      <c r="H4737">
        <v>8</v>
      </c>
      <c r="I4737">
        <f t="shared" si="75"/>
        <v>10</v>
      </c>
    </row>
    <row r="4738" spans="1:9">
      <c r="A4738" s="1">
        <v>42440.296527777777</v>
      </c>
      <c r="B4738" s="19">
        <v>42847</v>
      </c>
      <c r="C4738" s="21">
        <v>6.3194444444444442E-2</v>
      </c>
      <c r="D4738" s="20" t="s">
        <v>3051</v>
      </c>
      <c r="E4738" t="s">
        <v>6</v>
      </c>
      <c r="F4738" t="s">
        <v>26</v>
      </c>
      <c r="G4738" t="s">
        <v>239</v>
      </c>
      <c r="H4738">
        <v>8</v>
      </c>
      <c r="I4738">
        <f t="shared" si="75"/>
        <v>10</v>
      </c>
    </row>
    <row r="4739" spans="1:9">
      <c r="A4739" s="1">
        <v>42440.923611111109</v>
      </c>
      <c r="B4739" s="19">
        <v>42849</v>
      </c>
      <c r="C4739" s="21">
        <v>0.8</v>
      </c>
      <c r="D4739" s="20" t="s">
        <v>3046</v>
      </c>
      <c r="E4739" t="s">
        <v>6</v>
      </c>
      <c r="F4739" t="s">
        <v>26</v>
      </c>
      <c r="G4739" t="s">
        <v>234</v>
      </c>
      <c r="H4739">
        <v>7</v>
      </c>
      <c r="I4739">
        <f t="shared" ref="I4739:I4802" si="76">ROUNDUP((H4739*1.24), 0)</f>
        <v>9</v>
      </c>
    </row>
    <row r="4740" spans="1:9">
      <c r="A4740" s="1">
        <v>42440.893750000003</v>
      </c>
      <c r="B4740" s="19">
        <v>42849</v>
      </c>
      <c r="C4740" s="21">
        <v>0.34166666666666667</v>
      </c>
      <c r="D4740" s="20" t="s">
        <v>3034</v>
      </c>
      <c r="E4740" t="s">
        <v>2</v>
      </c>
      <c r="F4740" t="s">
        <v>48</v>
      </c>
      <c r="G4740" t="s">
        <v>237</v>
      </c>
      <c r="H4740">
        <v>19</v>
      </c>
      <c r="I4740">
        <f t="shared" si="76"/>
        <v>24</v>
      </c>
    </row>
    <row r="4741" spans="1:9">
      <c r="A4741" s="1">
        <v>42440.873611111114</v>
      </c>
      <c r="B4741" s="19">
        <v>42849</v>
      </c>
      <c r="C4741" s="21">
        <v>0.33611111111111114</v>
      </c>
      <c r="D4741" s="20" t="s">
        <v>3034</v>
      </c>
      <c r="E4741" t="s">
        <v>6</v>
      </c>
      <c r="F4741" t="s">
        <v>89</v>
      </c>
      <c r="H4741">
        <v>4</v>
      </c>
      <c r="I4741">
        <f t="shared" si="76"/>
        <v>5</v>
      </c>
    </row>
    <row r="4742" spans="1:9">
      <c r="A4742" s="1">
        <v>42440.756249999999</v>
      </c>
      <c r="B4742" s="19">
        <v>42849</v>
      </c>
      <c r="C4742" s="21">
        <v>0.92222222222222228</v>
      </c>
      <c r="D4742" s="20" t="s">
        <v>3049</v>
      </c>
      <c r="E4742" t="s">
        <v>0</v>
      </c>
      <c r="G4742" t="s">
        <v>233</v>
      </c>
      <c r="H4742">
        <v>17</v>
      </c>
      <c r="I4742">
        <f t="shared" si="76"/>
        <v>22</v>
      </c>
    </row>
    <row r="4743" spans="1:9">
      <c r="A4743" s="1">
        <v>42440.715277777781</v>
      </c>
      <c r="B4743" s="19">
        <v>42849</v>
      </c>
      <c r="C4743" s="21">
        <v>0.57430555555555551</v>
      </c>
      <c r="D4743" s="20" t="s">
        <v>3039</v>
      </c>
      <c r="E4743" t="s">
        <v>18</v>
      </c>
      <c r="F4743" t="s">
        <v>100</v>
      </c>
      <c r="G4743" t="s">
        <v>235</v>
      </c>
      <c r="H4743" t="e">
        <v>#VALUE!</v>
      </c>
      <c r="I4743" t="e">
        <f t="shared" si="76"/>
        <v>#VALUE!</v>
      </c>
    </row>
    <row r="4744" spans="1:9">
      <c r="A4744" s="1">
        <v>42440.666666666664</v>
      </c>
      <c r="B4744" s="19">
        <v>42849</v>
      </c>
      <c r="C4744" s="21">
        <v>0.42152777777777778</v>
      </c>
      <c r="D4744" s="20" t="s">
        <v>3036</v>
      </c>
      <c r="E4744" t="s">
        <v>0</v>
      </c>
      <c r="F4744" t="s">
        <v>1</v>
      </c>
      <c r="G4744" t="s">
        <v>236</v>
      </c>
      <c r="H4744">
        <v>13</v>
      </c>
      <c r="I4744">
        <f t="shared" si="76"/>
        <v>17</v>
      </c>
    </row>
    <row r="4745" spans="1:9">
      <c r="A4745" s="1">
        <v>42440.648611111108</v>
      </c>
      <c r="B4745" s="19">
        <v>42849</v>
      </c>
      <c r="C4745" s="21">
        <v>0.32291666666666669</v>
      </c>
      <c r="D4745" s="20" t="s">
        <v>3033</v>
      </c>
      <c r="E4745" t="s">
        <v>18</v>
      </c>
      <c r="F4745" t="s">
        <v>100</v>
      </c>
      <c r="G4745" t="s">
        <v>238</v>
      </c>
      <c r="H4745">
        <v>224</v>
      </c>
      <c r="I4745">
        <f t="shared" si="76"/>
        <v>278</v>
      </c>
    </row>
    <row r="4746" spans="1:9">
      <c r="A4746" s="1">
        <v>42440.646527777775</v>
      </c>
      <c r="B4746" s="19">
        <v>42849</v>
      </c>
      <c r="C4746" s="21">
        <v>0.28888888888888886</v>
      </c>
      <c r="D4746" s="20" t="s">
        <v>3031</v>
      </c>
      <c r="E4746" t="s">
        <v>0</v>
      </c>
      <c r="F4746" t="s">
        <v>75</v>
      </c>
      <c r="H4746">
        <v>4</v>
      </c>
      <c r="I4746">
        <f t="shared" si="76"/>
        <v>5</v>
      </c>
    </row>
    <row r="4747" spans="1:9">
      <c r="A4747" s="1">
        <v>42440.642361111109</v>
      </c>
      <c r="B4747" s="19">
        <v>42849</v>
      </c>
      <c r="C4747" s="21">
        <v>0.2722222222222222</v>
      </c>
      <c r="D4747" s="20" t="s">
        <v>3031</v>
      </c>
      <c r="E4747" t="s">
        <v>0</v>
      </c>
      <c r="F4747" t="s">
        <v>1</v>
      </c>
      <c r="G4747" t="s">
        <v>9</v>
      </c>
      <c r="H4747">
        <v>38</v>
      </c>
      <c r="I4747">
        <f t="shared" si="76"/>
        <v>48</v>
      </c>
    </row>
    <row r="4748" spans="1:9">
      <c r="A4748" s="1">
        <v>42440.626388888886</v>
      </c>
      <c r="B4748" s="19">
        <v>42850</v>
      </c>
      <c r="C4748" s="21">
        <v>0.92986111111111114</v>
      </c>
      <c r="D4748" s="20" t="s">
        <v>3049</v>
      </c>
      <c r="E4748" t="s">
        <v>6</v>
      </c>
      <c r="F4748" t="s">
        <v>7</v>
      </c>
      <c r="G4748" t="s">
        <v>65</v>
      </c>
      <c r="H4748">
        <v>7</v>
      </c>
      <c r="I4748">
        <f t="shared" si="76"/>
        <v>9</v>
      </c>
    </row>
    <row r="4749" spans="1:9">
      <c r="A4749" s="1">
        <v>42440.618055555555</v>
      </c>
      <c r="B4749" s="19">
        <v>42850</v>
      </c>
      <c r="C4749" s="21">
        <v>0.8256944444444444</v>
      </c>
      <c r="D4749" s="20" t="s">
        <v>3046</v>
      </c>
      <c r="E4749" t="s">
        <v>6</v>
      </c>
      <c r="F4749" t="s">
        <v>46</v>
      </c>
      <c r="G4749" t="s">
        <v>224</v>
      </c>
      <c r="H4749">
        <v>2</v>
      </c>
      <c r="I4749">
        <f t="shared" si="76"/>
        <v>3</v>
      </c>
    </row>
    <row r="4750" spans="1:9">
      <c r="A4750" s="1">
        <v>42440.59652777778</v>
      </c>
      <c r="B4750" s="19">
        <v>42850</v>
      </c>
      <c r="C4750" s="21">
        <v>0.8256944444444444</v>
      </c>
      <c r="D4750" s="20" t="s">
        <v>3046</v>
      </c>
      <c r="E4750" t="s">
        <v>2</v>
      </c>
      <c r="F4750" t="s">
        <v>5</v>
      </c>
      <c r="G4750" t="s">
        <v>225</v>
      </c>
      <c r="H4750">
        <v>70</v>
      </c>
      <c r="I4750">
        <f t="shared" si="76"/>
        <v>87</v>
      </c>
    </row>
    <row r="4751" spans="1:9">
      <c r="A4751" s="1">
        <v>42440.587500000001</v>
      </c>
      <c r="B4751" s="19">
        <v>42850</v>
      </c>
      <c r="C4751" s="21">
        <v>0.81319444444444444</v>
      </c>
      <c r="D4751" s="20" t="s">
        <v>3046</v>
      </c>
      <c r="E4751" t="s">
        <v>6</v>
      </c>
      <c r="F4751" t="s">
        <v>26</v>
      </c>
      <c r="G4751" t="s">
        <v>226</v>
      </c>
      <c r="H4751">
        <v>23</v>
      </c>
      <c r="I4751">
        <f t="shared" si="76"/>
        <v>29</v>
      </c>
    </row>
    <row r="4752" spans="1:9">
      <c r="A4752" s="1">
        <v>42440.522916666669</v>
      </c>
      <c r="B4752" s="19">
        <v>42850</v>
      </c>
      <c r="C4752" s="21">
        <v>0.30138888888888887</v>
      </c>
      <c r="D4752" s="20" t="s">
        <v>3033</v>
      </c>
      <c r="E4752" t="s">
        <v>6</v>
      </c>
      <c r="F4752" t="s">
        <v>21</v>
      </c>
      <c r="G4752" t="s">
        <v>103</v>
      </c>
      <c r="H4752">
        <v>9</v>
      </c>
      <c r="I4752">
        <f t="shared" si="76"/>
        <v>12</v>
      </c>
    </row>
    <row r="4753" spans="1:9">
      <c r="A4753" s="1">
        <v>42440.488888888889</v>
      </c>
      <c r="B4753" s="19">
        <v>42850</v>
      </c>
      <c r="C4753" s="21">
        <v>0.24652777777777779</v>
      </c>
      <c r="D4753" s="20" t="s">
        <v>3055</v>
      </c>
      <c r="E4753" t="s">
        <v>6</v>
      </c>
      <c r="F4753" t="s">
        <v>26</v>
      </c>
      <c r="G4753" t="s">
        <v>230</v>
      </c>
      <c r="H4753" t="e">
        <v>#VALUE!</v>
      </c>
      <c r="I4753" t="e">
        <f t="shared" si="76"/>
        <v>#VALUE!</v>
      </c>
    </row>
    <row r="4754" spans="1:9">
      <c r="A4754" s="1">
        <v>42440.418055555558</v>
      </c>
      <c r="B4754" s="19">
        <v>42850</v>
      </c>
      <c r="C4754" s="21">
        <v>0.13541666666666666</v>
      </c>
      <c r="D4754" s="20" t="s">
        <v>3053</v>
      </c>
      <c r="E4754" t="s">
        <v>6</v>
      </c>
      <c r="F4754" t="s">
        <v>26</v>
      </c>
      <c r="G4754" t="s">
        <v>178</v>
      </c>
      <c r="H4754" t="e">
        <v>#VALUE!</v>
      </c>
      <c r="I4754" t="e">
        <f t="shared" si="76"/>
        <v>#VALUE!</v>
      </c>
    </row>
    <row r="4755" spans="1:9">
      <c r="A4755" s="1">
        <v>42440.37777777778</v>
      </c>
      <c r="B4755" s="19">
        <v>42850</v>
      </c>
      <c r="C4755" s="21">
        <v>2.6388888888888889E-2</v>
      </c>
      <c r="D4755" s="20" t="s">
        <v>3050</v>
      </c>
      <c r="E4755" t="s">
        <v>2</v>
      </c>
      <c r="F4755" t="s">
        <v>5</v>
      </c>
      <c r="G4755" t="s">
        <v>231</v>
      </c>
      <c r="H4755" t="e">
        <v>#VALUE!</v>
      </c>
      <c r="I4755" t="e">
        <f t="shared" si="76"/>
        <v>#VALUE!</v>
      </c>
    </row>
    <row r="4756" spans="1:9">
      <c r="A4756" s="1">
        <v>42440.330555555556</v>
      </c>
      <c r="B4756" s="19">
        <v>42850</v>
      </c>
      <c r="C4756" s="21">
        <v>2.1527777777777778E-2</v>
      </c>
      <c r="D4756" s="20" t="s">
        <v>3050</v>
      </c>
      <c r="E4756" t="s">
        <v>6</v>
      </c>
      <c r="F4756" t="s">
        <v>26</v>
      </c>
      <c r="G4756" t="s">
        <v>232</v>
      </c>
      <c r="H4756">
        <v>9</v>
      </c>
      <c r="I4756">
        <f t="shared" si="76"/>
        <v>12</v>
      </c>
    </row>
    <row r="4757" spans="1:9">
      <c r="A4757" s="1">
        <v>42440.317361111112</v>
      </c>
      <c r="B4757" s="19">
        <v>42850</v>
      </c>
      <c r="C4757" s="21">
        <v>0.9375</v>
      </c>
      <c r="D4757" s="20" t="s">
        <v>3049</v>
      </c>
      <c r="E4757" t="s">
        <v>33</v>
      </c>
      <c r="F4757" t="s">
        <v>44</v>
      </c>
      <c r="G4757" t="s">
        <v>222</v>
      </c>
      <c r="H4757" t="e">
        <v>#VALUE!</v>
      </c>
      <c r="I4757" t="e">
        <f t="shared" si="76"/>
        <v>#VALUE!</v>
      </c>
    </row>
    <row r="4758" spans="1:9">
      <c r="A4758" s="1">
        <v>42440.3</v>
      </c>
      <c r="B4758" s="19">
        <v>42850</v>
      </c>
      <c r="C4758" s="21">
        <v>0.92291666666666672</v>
      </c>
      <c r="D4758" s="20" t="s">
        <v>3049</v>
      </c>
      <c r="E4758" t="s">
        <v>0</v>
      </c>
      <c r="G4758" t="s">
        <v>32</v>
      </c>
      <c r="H4758">
        <v>14</v>
      </c>
      <c r="I4758">
        <f t="shared" si="76"/>
        <v>18</v>
      </c>
    </row>
    <row r="4759" spans="1:9">
      <c r="A4759" s="1">
        <v>42440.297222222223</v>
      </c>
      <c r="B4759" s="19">
        <v>42850</v>
      </c>
      <c r="C4759" s="21">
        <v>0.90208333333333335</v>
      </c>
      <c r="D4759" s="20" t="s">
        <v>3048</v>
      </c>
      <c r="E4759" t="s">
        <v>33</v>
      </c>
      <c r="F4759" t="s">
        <v>44</v>
      </c>
      <c r="G4759" t="s">
        <v>223</v>
      </c>
      <c r="H4759">
        <v>19</v>
      </c>
      <c r="I4759">
        <f t="shared" si="76"/>
        <v>24</v>
      </c>
    </row>
    <row r="4760" spans="1:9">
      <c r="A4760" s="1">
        <v>42440.296527777777</v>
      </c>
      <c r="B4760" s="19">
        <v>42850</v>
      </c>
      <c r="C4760" s="21">
        <v>0.78819444444444442</v>
      </c>
      <c r="D4760" s="20" t="s">
        <v>3045</v>
      </c>
      <c r="E4760" t="s">
        <v>33</v>
      </c>
      <c r="F4760" t="s">
        <v>44</v>
      </c>
      <c r="G4760" t="s">
        <v>227</v>
      </c>
      <c r="H4760">
        <v>19</v>
      </c>
      <c r="I4760">
        <f t="shared" si="76"/>
        <v>24</v>
      </c>
    </row>
    <row r="4761" spans="1:9">
      <c r="A4761" s="1">
        <v>42440.243055555555</v>
      </c>
      <c r="B4761" s="19">
        <v>42850</v>
      </c>
      <c r="C4761" s="21">
        <v>0.63472222222222219</v>
      </c>
      <c r="D4761" s="20" t="s">
        <v>3042</v>
      </c>
      <c r="E4761" t="s">
        <v>18</v>
      </c>
      <c r="F4761" t="s">
        <v>100</v>
      </c>
      <c r="G4761" t="s">
        <v>210</v>
      </c>
      <c r="H4761" t="e">
        <v>#VALUE!</v>
      </c>
      <c r="I4761" t="e">
        <f t="shared" si="76"/>
        <v>#VALUE!</v>
      </c>
    </row>
    <row r="4762" spans="1:9">
      <c r="A4762" s="1">
        <v>42440.088194444441</v>
      </c>
      <c r="B4762" s="19">
        <v>42850</v>
      </c>
      <c r="C4762" s="21">
        <v>0.58194444444444449</v>
      </c>
      <c r="D4762" s="20" t="s">
        <v>3039</v>
      </c>
      <c r="E4762" t="s">
        <v>0</v>
      </c>
      <c r="F4762" t="s">
        <v>10</v>
      </c>
      <c r="G4762" t="s">
        <v>145</v>
      </c>
      <c r="H4762">
        <v>13</v>
      </c>
      <c r="I4762">
        <f t="shared" si="76"/>
        <v>17</v>
      </c>
    </row>
    <row r="4763" spans="1:9">
      <c r="A4763" s="1">
        <v>42440.04791666667</v>
      </c>
      <c r="B4763" s="19">
        <v>42850</v>
      </c>
      <c r="C4763" s="21">
        <v>0.57291666666666663</v>
      </c>
      <c r="D4763" s="20" t="s">
        <v>3039</v>
      </c>
      <c r="E4763" t="s">
        <v>0</v>
      </c>
      <c r="F4763" t="s">
        <v>10</v>
      </c>
      <c r="G4763" t="s">
        <v>228</v>
      </c>
      <c r="H4763">
        <v>13</v>
      </c>
      <c r="I4763">
        <f t="shared" si="76"/>
        <v>17</v>
      </c>
    </row>
    <row r="4764" spans="1:9">
      <c r="A4764" s="1">
        <v>42440.040972222225</v>
      </c>
      <c r="B4764" s="19">
        <v>42850</v>
      </c>
      <c r="C4764" s="21">
        <v>0.375</v>
      </c>
      <c r="D4764" s="20" t="s">
        <v>3035</v>
      </c>
      <c r="E4764" t="s">
        <v>0</v>
      </c>
      <c r="F4764" t="s">
        <v>1</v>
      </c>
      <c r="G4764" t="s">
        <v>229</v>
      </c>
      <c r="H4764">
        <v>38</v>
      </c>
      <c r="I4764">
        <f t="shared" si="76"/>
        <v>48</v>
      </c>
    </row>
    <row r="4765" spans="1:9">
      <c r="A4765" s="1">
        <v>42440.001388888886</v>
      </c>
      <c r="B4765" s="19">
        <v>42850</v>
      </c>
      <c r="C4765" s="21">
        <v>0.35347222222222224</v>
      </c>
      <c r="D4765" s="20" t="s">
        <v>3034</v>
      </c>
      <c r="E4765" t="s">
        <v>0</v>
      </c>
      <c r="F4765" t="s">
        <v>1</v>
      </c>
      <c r="G4765" t="s">
        <v>229</v>
      </c>
      <c r="H4765">
        <v>36</v>
      </c>
      <c r="I4765">
        <f t="shared" si="76"/>
        <v>45</v>
      </c>
    </row>
    <row r="4766" spans="1:9">
      <c r="A4766" s="1">
        <v>42439.907638888886</v>
      </c>
      <c r="B4766" s="19">
        <v>42851</v>
      </c>
      <c r="C4766" s="21">
        <v>0.54722222222222228</v>
      </c>
      <c r="D4766" s="20" t="s">
        <v>3039</v>
      </c>
      <c r="E4766" t="s">
        <v>6</v>
      </c>
      <c r="F4766" t="s">
        <v>12</v>
      </c>
      <c r="G4766" t="s">
        <v>65</v>
      </c>
      <c r="H4766">
        <v>3</v>
      </c>
      <c r="I4766">
        <f t="shared" si="76"/>
        <v>4</v>
      </c>
    </row>
    <row r="4767" spans="1:9">
      <c r="A4767" s="1">
        <v>42439.890972222223</v>
      </c>
      <c r="B4767" s="19">
        <v>42851</v>
      </c>
      <c r="C4767" s="21">
        <v>0.49375000000000002</v>
      </c>
      <c r="D4767" s="20" t="s">
        <v>3037</v>
      </c>
      <c r="E4767" t="s">
        <v>6</v>
      </c>
      <c r="F4767" t="s">
        <v>7</v>
      </c>
      <c r="G4767" t="s">
        <v>65</v>
      </c>
      <c r="H4767">
        <v>10</v>
      </c>
      <c r="I4767">
        <f t="shared" si="76"/>
        <v>13</v>
      </c>
    </row>
    <row r="4768" spans="1:9">
      <c r="A4768" s="1">
        <v>42439.87777777778</v>
      </c>
      <c r="B4768" s="19">
        <v>42851</v>
      </c>
      <c r="C4768" s="21">
        <v>0.91874999999999996</v>
      </c>
      <c r="D4768" s="20" t="s">
        <v>3049</v>
      </c>
      <c r="E4768" t="s">
        <v>0</v>
      </c>
      <c r="G4768" t="s">
        <v>32</v>
      </c>
      <c r="H4768">
        <v>13</v>
      </c>
      <c r="I4768">
        <f t="shared" si="76"/>
        <v>17</v>
      </c>
    </row>
    <row r="4769" spans="1:9">
      <c r="A4769" s="1">
        <v>42439.792361111111</v>
      </c>
      <c r="B4769" s="19">
        <v>42851</v>
      </c>
      <c r="C4769" s="21">
        <v>0.75416666666666665</v>
      </c>
      <c r="D4769" s="20" t="s">
        <v>3045</v>
      </c>
      <c r="E4769" t="s">
        <v>18</v>
      </c>
      <c r="F4769" t="s">
        <v>100</v>
      </c>
      <c r="G4769" t="s">
        <v>220</v>
      </c>
      <c r="H4769" t="e">
        <v>#VALUE!</v>
      </c>
      <c r="I4769" t="e">
        <f t="shared" si="76"/>
        <v>#VALUE!</v>
      </c>
    </row>
    <row r="4770" spans="1:9">
      <c r="A4770" s="1">
        <v>42439.699305555558</v>
      </c>
      <c r="B4770" s="19">
        <v>42851</v>
      </c>
      <c r="C4770" s="21">
        <v>0.59861111111111109</v>
      </c>
      <c r="D4770" s="20" t="s">
        <v>3040</v>
      </c>
      <c r="E4770" t="s">
        <v>0</v>
      </c>
      <c r="G4770" t="s">
        <v>221</v>
      </c>
      <c r="H4770">
        <v>13</v>
      </c>
      <c r="I4770">
        <f t="shared" si="76"/>
        <v>17</v>
      </c>
    </row>
    <row r="4771" spans="1:9">
      <c r="A4771" s="1">
        <v>42439.631249999999</v>
      </c>
      <c r="B4771" s="19">
        <v>42851</v>
      </c>
      <c r="C4771" s="21">
        <v>0.58333333333333337</v>
      </c>
      <c r="D4771" s="20" t="s">
        <v>3040</v>
      </c>
      <c r="E4771" t="s">
        <v>18</v>
      </c>
      <c r="F4771" t="s">
        <v>100</v>
      </c>
      <c r="G4771" t="s">
        <v>210</v>
      </c>
      <c r="H4771" t="e">
        <v>#VALUE!</v>
      </c>
      <c r="I4771" t="e">
        <f t="shared" si="76"/>
        <v>#VALUE!</v>
      </c>
    </row>
    <row r="4772" spans="1:9">
      <c r="A4772" s="1">
        <v>42439.570833333331</v>
      </c>
      <c r="B4772" s="19">
        <v>42851</v>
      </c>
      <c r="C4772" s="21">
        <v>0.25069444444444444</v>
      </c>
      <c r="D4772" s="20" t="s">
        <v>3031</v>
      </c>
      <c r="E4772" t="s">
        <v>0</v>
      </c>
      <c r="F4772" t="s">
        <v>1</v>
      </c>
      <c r="G4772" t="s">
        <v>9</v>
      </c>
      <c r="H4772">
        <v>13</v>
      </c>
      <c r="I4772">
        <f t="shared" si="76"/>
        <v>17</v>
      </c>
    </row>
    <row r="4773" spans="1:9">
      <c r="A4773" s="1">
        <v>42439.558333333334</v>
      </c>
      <c r="B4773" s="19">
        <v>42852</v>
      </c>
      <c r="C4773" s="21">
        <v>0.22083333333333333</v>
      </c>
      <c r="D4773" s="20" t="s">
        <v>3055</v>
      </c>
      <c r="E4773" t="s">
        <v>6</v>
      </c>
      <c r="F4773" t="s">
        <v>21</v>
      </c>
      <c r="G4773" t="s">
        <v>126</v>
      </c>
      <c r="H4773">
        <v>13</v>
      </c>
      <c r="I4773">
        <f t="shared" si="76"/>
        <v>17</v>
      </c>
    </row>
    <row r="4774" spans="1:9">
      <c r="A4774" s="1">
        <v>42439.245833333334</v>
      </c>
      <c r="B4774" s="19">
        <v>42852</v>
      </c>
      <c r="C4774" s="21">
        <v>0.91805555555555551</v>
      </c>
      <c r="D4774" s="20" t="s">
        <v>3049</v>
      </c>
      <c r="E4774" t="s">
        <v>0</v>
      </c>
      <c r="G4774" t="s">
        <v>32</v>
      </c>
      <c r="H4774">
        <v>13</v>
      </c>
      <c r="I4774">
        <f t="shared" si="76"/>
        <v>17</v>
      </c>
    </row>
    <row r="4775" spans="1:9">
      <c r="A4775" s="1">
        <v>42439.19027777778</v>
      </c>
      <c r="B4775" s="19">
        <v>42852</v>
      </c>
      <c r="C4775" s="21">
        <v>0.75277777777777777</v>
      </c>
      <c r="D4775" s="20" t="s">
        <v>3045</v>
      </c>
      <c r="E4775" t="s">
        <v>18</v>
      </c>
      <c r="F4775" t="s">
        <v>100</v>
      </c>
      <c r="G4775" t="s">
        <v>210</v>
      </c>
      <c r="H4775" t="e">
        <v>#VALUE!</v>
      </c>
      <c r="I4775" t="e">
        <f t="shared" si="76"/>
        <v>#VALUE!</v>
      </c>
    </row>
    <row r="4776" spans="1:9">
      <c r="A4776" s="1">
        <v>42439.998611111114</v>
      </c>
      <c r="B4776" s="19">
        <v>42852</v>
      </c>
      <c r="C4776" s="21">
        <v>0.58125000000000004</v>
      </c>
      <c r="D4776" s="20" t="s">
        <v>3039</v>
      </c>
      <c r="E4776" t="s">
        <v>18</v>
      </c>
      <c r="F4776" t="s">
        <v>100</v>
      </c>
      <c r="G4776" t="s">
        <v>218</v>
      </c>
      <c r="H4776" t="e">
        <v>#VALUE!</v>
      </c>
      <c r="I4776" t="e">
        <f t="shared" si="76"/>
        <v>#VALUE!</v>
      </c>
    </row>
    <row r="4777" spans="1:9">
      <c r="A4777" s="1">
        <v>42439.997916666667</v>
      </c>
      <c r="B4777" s="19">
        <v>42852</v>
      </c>
      <c r="C4777" s="21">
        <v>0.5805555555555556</v>
      </c>
      <c r="D4777" s="20" t="s">
        <v>3039</v>
      </c>
      <c r="E4777" t="s">
        <v>0</v>
      </c>
      <c r="G4777" t="s">
        <v>32</v>
      </c>
      <c r="H4777">
        <v>13</v>
      </c>
      <c r="I4777">
        <f t="shared" si="76"/>
        <v>17</v>
      </c>
    </row>
    <row r="4778" spans="1:9">
      <c r="A4778" s="1">
        <v>42439.835416666669</v>
      </c>
      <c r="B4778" s="19">
        <v>42852</v>
      </c>
      <c r="C4778" s="21">
        <v>0.4826388888888889</v>
      </c>
      <c r="D4778" s="20" t="s">
        <v>3037</v>
      </c>
      <c r="E4778" t="s">
        <v>18</v>
      </c>
      <c r="F4778" t="s">
        <v>19</v>
      </c>
      <c r="H4778">
        <v>7</v>
      </c>
      <c r="I4778">
        <f t="shared" si="76"/>
        <v>9</v>
      </c>
    </row>
    <row r="4779" spans="1:9">
      <c r="A4779" s="1">
        <v>42439.816666666666</v>
      </c>
      <c r="B4779" s="19">
        <v>42852</v>
      </c>
      <c r="C4779" s="21">
        <v>0.25277777777777777</v>
      </c>
      <c r="D4779" s="20" t="s">
        <v>3031</v>
      </c>
      <c r="E4779" t="s">
        <v>0</v>
      </c>
      <c r="F4779" t="s">
        <v>1</v>
      </c>
      <c r="G4779" t="s">
        <v>193</v>
      </c>
      <c r="H4779">
        <v>13</v>
      </c>
      <c r="I4779">
        <f t="shared" si="76"/>
        <v>17</v>
      </c>
    </row>
    <row r="4780" spans="1:9">
      <c r="A4780" s="1">
        <v>42439.798611111109</v>
      </c>
      <c r="B4780" s="19">
        <v>42852</v>
      </c>
      <c r="C4780" s="21">
        <v>0.16250000000000001</v>
      </c>
      <c r="D4780" s="20" t="s">
        <v>3053</v>
      </c>
      <c r="E4780" t="s">
        <v>18</v>
      </c>
      <c r="F4780" t="s">
        <v>71</v>
      </c>
      <c r="G4780" t="s">
        <v>219</v>
      </c>
      <c r="H4780" t="e">
        <v>#VALUE!</v>
      </c>
      <c r="I4780" t="e">
        <f t="shared" si="76"/>
        <v>#VALUE!</v>
      </c>
    </row>
    <row r="4781" spans="1:9">
      <c r="A4781" s="1">
        <v>42439.758333333331</v>
      </c>
      <c r="B4781" s="19">
        <v>42853</v>
      </c>
      <c r="C4781" s="21">
        <v>0.9604166666666667</v>
      </c>
      <c r="D4781" s="20" t="s">
        <v>3063</v>
      </c>
      <c r="E4781" t="s">
        <v>2</v>
      </c>
      <c r="F4781" t="s">
        <v>5</v>
      </c>
      <c r="G4781" t="s">
        <v>207</v>
      </c>
      <c r="H4781" t="e">
        <v>#VALUE!</v>
      </c>
      <c r="I4781" t="e">
        <f t="shared" si="76"/>
        <v>#VALUE!</v>
      </c>
    </row>
    <row r="4782" spans="1:9">
      <c r="A4782" s="1">
        <v>42439.724305555559</v>
      </c>
      <c r="B4782" s="19">
        <v>42853</v>
      </c>
      <c r="C4782" s="21">
        <v>0.93472222222222223</v>
      </c>
      <c r="D4782" s="20" t="s">
        <v>3049</v>
      </c>
      <c r="E4782" t="s">
        <v>6</v>
      </c>
      <c r="F4782" t="s">
        <v>21</v>
      </c>
      <c r="G4782" t="s">
        <v>208</v>
      </c>
      <c r="H4782">
        <v>46</v>
      </c>
      <c r="I4782">
        <f t="shared" si="76"/>
        <v>58</v>
      </c>
    </row>
    <row r="4783" spans="1:9">
      <c r="A4783" s="1">
        <v>42439.707638888889</v>
      </c>
      <c r="B4783" s="19">
        <v>42853</v>
      </c>
      <c r="C4783" s="21">
        <v>0.80902777777777779</v>
      </c>
      <c r="D4783" s="20" t="s">
        <v>3046</v>
      </c>
      <c r="E4783" t="s">
        <v>6</v>
      </c>
      <c r="F4783" t="s">
        <v>26</v>
      </c>
      <c r="G4783" t="s">
        <v>209</v>
      </c>
      <c r="H4783">
        <v>3</v>
      </c>
      <c r="I4783">
        <f t="shared" si="76"/>
        <v>4</v>
      </c>
    </row>
    <row r="4784" spans="1:9">
      <c r="A4784" s="1">
        <v>42439.661111111112</v>
      </c>
      <c r="B4784" s="19">
        <v>42853</v>
      </c>
      <c r="C4784" s="21">
        <v>0.77777777777777779</v>
      </c>
      <c r="D4784" s="20" t="s">
        <v>3045</v>
      </c>
      <c r="E4784" t="s">
        <v>6</v>
      </c>
      <c r="F4784" t="s">
        <v>15</v>
      </c>
      <c r="G4784" t="s">
        <v>211</v>
      </c>
      <c r="H4784">
        <v>25</v>
      </c>
      <c r="I4784">
        <f t="shared" si="76"/>
        <v>31</v>
      </c>
    </row>
    <row r="4785" spans="1:9">
      <c r="A4785" s="1">
        <v>42439.649305555555</v>
      </c>
      <c r="B4785" s="19">
        <v>42853</v>
      </c>
      <c r="C4785" s="21">
        <v>0.56666666666666665</v>
      </c>
      <c r="D4785" s="20" t="s">
        <v>3039</v>
      </c>
      <c r="E4785" t="s">
        <v>6</v>
      </c>
      <c r="F4785" t="s">
        <v>15</v>
      </c>
      <c r="G4785" t="s">
        <v>214</v>
      </c>
      <c r="H4785">
        <v>30</v>
      </c>
      <c r="I4785">
        <f t="shared" si="76"/>
        <v>38</v>
      </c>
    </row>
    <row r="4786" spans="1:9">
      <c r="A4786" s="1">
        <v>42439.282638888886</v>
      </c>
      <c r="B4786" s="19">
        <v>42853</v>
      </c>
      <c r="C4786" s="21">
        <v>0.56111111111111112</v>
      </c>
      <c r="D4786" s="20" t="s">
        <v>3039</v>
      </c>
      <c r="E4786" t="s">
        <v>6</v>
      </c>
      <c r="F4786" t="s">
        <v>15</v>
      </c>
      <c r="G4786" t="s">
        <v>103</v>
      </c>
      <c r="H4786">
        <v>10</v>
      </c>
      <c r="I4786">
        <f t="shared" si="76"/>
        <v>13</v>
      </c>
    </row>
    <row r="4787" spans="1:9">
      <c r="A4787" s="1">
        <v>42439.136805555558</v>
      </c>
      <c r="B4787" s="19">
        <v>42853</v>
      </c>
      <c r="C4787" s="21">
        <v>0.42083333333333334</v>
      </c>
      <c r="D4787" s="20" t="s">
        <v>3036</v>
      </c>
      <c r="E4787" t="s">
        <v>2</v>
      </c>
      <c r="F4787" t="s">
        <v>48</v>
      </c>
      <c r="H4787">
        <v>7</v>
      </c>
      <c r="I4787">
        <f t="shared" si="76"/>
        <v>9</v>
      </c>
    </row>
    <row r="4788" spans="1:9">
      <c r="A4788" s="1">
        <v>42438.911111111112</v>
      </c>
      <c r="B4788" s="19">
        <v>42853</v>
      </c>
      <c r="C4788" s="21">
        <v>4.4444444444444446E-2</v>
      </c>
      <c r="D4788" s="20" t="s">
        <v>3051</v>
      </c>
      <c r="E4788" t="s">
        <v>6</v>
      </c>
      <c r="F4788" t="s">
        <v>12</v>
      </c>
      <c r="G4788" t="s">
        <v>217</v>
      </c>
      <c r="H4788">
        <v>2</v>
      </c>
      <c r="I4788">
        <f t="shared" si="76"/>
        <v>3</v>
      </c>
    </row>
    <row r="4789" spans="1:9">
      <c r="A4789" s="1">
        <v>42438.9</v>
      </c>
      <c r="B4789" s="19">
        <v>42853</v>
      </c>
      <c r="C4789" s="21">
        <v>4.4444444444444446E-2</v>
      </c>
      <c r="D4789" s="20" t="s">
        <v>3051</v>
      </c>
      <c r="E4789" t="s">
        <v>2</v>
      </c>
      <c r="F4789" t="s">
        <v>5</v>
      </c>
      <c r="H4789">
        <v>2</v>
      </c>
      <c r="I4789">
        <f t="shared" si="76"/>
        <v>3</v>
      </c>
    </row>
    <row r="4790" spans="1:9">
      <c r="A4790" s="1">
        <v>42438.844444444447</v>
      </c>
      <c r="B4790" s="19">
        <v>42853</v>
      </c>
      <c r="C4790" s="21">
        <v>0.91666666666666663</v>
      </c>
      <c r="D4790" s="20" t="s">
        <v>3049</v>
      </c>
      <c r="E4790" t="s">
        <v>0</v>
      </c>
      <c r="G4790" t="s">
        <v>32</v>
      </c>
      <c r="H4790">
        <v>13</v>
      </c>
      <c r="I4790">
        <f t="shared" si="76"/>
        <v>17</v>
      </c>
    </row>
    <row r="4791" spans="1:9">
      <c r="A4791" s="1">
        <v>42438.800694444442</v>
      </c>
      <c r="B4791" s="19">
        <v>42853</v>
      </c>
      <c r="C4791" s="21">
        <v>0.90972222222222221</v>
      </c>
      <c r="D4791" s="20" t="s">
        <v>3048</v>
      </c>
      <c r="E4791" t="s">
        <v>0</v>
      </c>
      <c r="F4791" t="s">
        <v>10</v>
      </c>
      <c r="G4791" t="s">
        <v>145</v>
      </c>
      <c r="H4791">
        <v>13</v>
      </c>
      <c r="I4791">
        <f t="shared" si="76"/>
        <v>17</v>
      </c>
    </row>
    <row r="4792" spans="1:9">
      <c r="A4792" s="1">
        <v>42438.75</v>
      </c>
      <c r="B4792" s="19">
        <v>42853</v>
      </c>
      <c r="C4792" s="21">
        <v>0.79166666666666663</v>
      </c>
      <c r="D4792" s="20" t="s">
        <v>3046</v>
      </c>
      <c r="E4792" t="s">
        <v>18</v>
      </c>
      <c r="F4792" t="s">
        <v>100</v>
      </c>
      <c r="G4792" t="s">
        <v>210</v>
      </c>
      <c r="H4792" t="e">
        <v>#VALUE!</v>
      </c>
      <c r="I4792" t="e">
        <f t="shared" si="76"/>
        <v>#VALUE!</v>
      </c>
    </row>
    <row r="4793" spans="1:9">
      <c r="A4793" s="1">
        <v>42438.727083333331</v>
      </c>
      <c r="B4793" s="19">
        <v>42853</v>
      </c>
      <c r="C4793" s="21">
        <v>0.76180555555555551</v>
      </c>
      <c r="D4793" s="20" t="s">
        <v>3045</v>
      </c>
      <c r="E4793" t="s">
        <v>0</v>
      </c>
      <c r="G4793" t="s">
        <v>212</v>
      </c>
      <c r="H4793">
        <v>54</v>
      </c>
      <c r="I4793">
        <f t="shared" si="76"/>
        <v>67</v>
      </c>
    </row>
    <row r="4794" spans="1:9">
      <c r="A4794" s="1">
        <v>42438.710416666669</v>
      </c>
      <c r="B4794" s="19">
        <v>42853</v>
      </c>
      <c r="C4794" s="21">
        <v>0.58333333333333337</v>
      </c>
      <c r="D4794" s="20" t="s">
        <v>3040</v>
      </c>
      <c r="E4794" t="s">
        <v>18</v>
      </c>
      <c r="F4794" t="s">
        <v>100</v>
      </c>
      <c r="G4794" t="s">
        <v>213</v>
      </c>
      <c r="H4794" t="e">
        <v>#VALUE!</v>
      </c>
      <c r="I4794" t="e">
        <f t="shared" si="76"/>
        <v>#VALUE!</v>
      </c>
    </row>
    <row r="4795" spans="1:9">
      <c r="A4795" s="1">
        <v>42438.690972222219</v>
      </c>
      <c r="B4795" s="19">
        <v>42853</v>
      </c>
      <c r="C4795" s="21">
        <v>0.58333333333333337</v>
      </c>
      <c r="D4795" s="20" t="s">
        <v>3040</v>
      </c>
      <c r="E4795" t="s">
        <v>0</v>
      </c>
      <c r="G4795" t="s">
        <v>32</v>
      </c>
      <c r="H4795">
        <v>13</v>
      </c>
      <c r="I4795">
        <f t="shared" si="76"/>
        <v>17</v>
      </c>
    </row>
    <row r="4796" spans="1:9">
      <c r="A4796" s="1">
        <v>42438.64166666667</v>
      </c>
      <c r="B4796" s="19">
        <v>42853</v>
      </c>
      <c r="C4796" s="21">
        <v>0.55902777777777779</v>
      </c>
      <c r="D4796" s="20" t="s">
        <v>3039</v>
      </c>
      <c r="E4796" t="s">
        <v>0</v>
      </c>
      <c r="F4796" t="s">
        <v>1</v>
      </c>
      <c r="G4796" t="s">
        <v>215</v>
      </c>
      <c r="H4796">
        <v>13</v>
      </c>
      <c r="I4796">
        <f t="shared" si="76"/>
        <v>17</v>
      </c>
    </row>
    <row r="4797" spans="1:9">
      <c r="A4797" s="1">
        <v>42438.623611111114</v>
      </c>
      <c r="B4797" s="19">
        <v>42853</v>
      </c>
      <c r="C4797" s="21">
        <v>0.42152777777777778</v>
      </c>
      <c r="D4797" s="20" t="s">
        <v>3036</v>
      </c>
      <c r="E4797" t="s">
        <v>0</v>
      </c>
      <c r="F4797" t="s">
        <v>1</v>
      </c>
      <c r="H4797">
        <v>8</v>
      </c>
      <c r="I4797">
        <f t="shared" si="76"/>
        <v>10</v>
      </c>
    </row>
    <row r="4798" spans="1:9">
      <c r="A4798" s="1">
        <v>42438.347222222219</v>
      </c>
      <c r="B4798" s="19">
        <v>42853</v>
      </c>
      <c r="C4798" s="21">
        <v>0.25972222222222224</v>
      </c>
      <c r="D4798" s="20" t="s">
        <v>3031</v>
      </c>
      <c r="E4798" t="s">
        <v>0</v>
      </c>
      <c r="G4798" t="s">
        <v>216</v>
      </c>
      <c r="H4798">
        <v>13</v>
      </c>
      <c r="I4798">
        <f t="shared" si="76"/>
        <v>17</v>
      </c>
    </row>
    <row r="4799" spans="1:9">
      <c r="A4799" s="1">
        <v>42438.306944444441</v>
      </c>
      <c r="B4799" s="19">
        <v>42853</v>
      </c>
      <c r="C4799" s="21">
        <v>8.4027777777777785E-2</v>
      </c>
      <c r="D4799" s="20" t="s">
        <v>3052</v>
      </c>
      <c r="E4799" t="s">
        <v>0</v>
      </c>
      <c r="F4799" t="s">
        <v>1</v>
      </c>
      <c r="H4799">
        <v>13</v>
      </c>
      <c r="I4799">
        <f t="shared" si="76"/>
        <v>17</v>
      </c>
    </row>
    <row r="4800" spans="1:9">
      <c r="A4800" s="1">
        <v>42438.28402777778</v>
      </c>
      <c r="B4800" s="19">
        <v>42854</v>
      </c>
      <c r="C4800" s="21">
        <v>0.1875</v>
      </c>
      <c r="D4800" s="20" t="s">
        <v>3054</v>
      </c>
      <c r="E4800" t="s">
        <v>0</v>
      </c>
      <c r="G4800" t="s">
        <v>206</v>
      </c>
      <c r="H4800" t="e">
        <v>#VALUE!</v>
      </c>
      <c r="I4800" t="e">
        <f t="shared" si="76"/>
        <v>#VALUE!</v>
      </c>
    </row>
    <row r="4801" spans="1:9">
      <c r="A4801" s="1">
        <v>42438.240972222222</v>
      </c>
      <c r="B4801" s="19">
        <v>42859</v>
      </c>
      <c r="C4801" s="21">
        <v>0.87569444444444444</v>
      </c>
      <c r="D4801" s="20" t="s">
        <v>3048</v>
      </c>
      <c r="E4801" t="s">
        <v>6</v>
      </c>
      <c r="F4801" t="s">
        <v>12</v>
      </c>
      <c r="G4801" t="s">
        <v>45</v>
      </c>
      <c r="H4801">
        <v>5</v>
      </c>
      <c r="I4801">
        <f t="shared" si="76"/>
        <v>7</v>
      </c>
    </row>
    <row r="4802" spans="1:9">
      <c r="A4802" s="1">
        <v>42438.240972222222</v>
      </c>
      <c r="B4802" s="19">
        <v>42859</v>
      </c>
      <c r="C4802" s="21">
        <v>0.79374999999999996</v>
      </c>
      <c r="D4802" s="20" t="s">
        <v>3046</v>
      </c>
      <c r="E4802" t="s">
        <v>2</v>
      </c>
      <c r="F4802" t="s">
        <v>3</v>
      </c>
      <c r="G4802" t="s">
        <v>202</v>
      </c>
      <c r="H4802">
        <v>10</v>
      </c>
      <c r="I4802">
        <f t="shared" si="76"/>
        <v>13</v>
      </c>
    </row>
    <row r="4803" spans="1:9">
      <c r="A4803" s="1">
        <v>42438.890277777777</v>
      </c>
      <c r="B4803" s="19">
        <v>42859</v>
      </c>
      <c r="C4803" s="21">
        <v>0.64652777777777781</v>
      </c>
      <c r="D4803" s="20" t="s">
        <v>3042</v>
      </c>
      <c r="E4803" t="s">
        <v>6</v>
      </c>
      <c r="F4803" t="s">
        <v>12</v>
      </c>
      <c r="G4803" t="s">
        <v>203</v>
      </c>
      <c r="H4803">
        <v>5</v>
      </c>
      <c r="I4803">
        <f t="shared" ref="I4803:I4866" si="77">ROUNDUP((H4803*1.24), 0)</f>
        <v>7</v>
      </c>
    </row>
    <row r="4804" spans="1:9">
      <c r="A4804" s="1">
        <v>42438.809027777781</v>
      </c>
      <c r="B4804" s="19">
        <v>42859</v>
      </c>
      <c r="C4804" s="21">
        <v>0.62708333333333333</v>
      </c>
      <c r="D4804" s="20" t="s">
        <v>3042</v>
      </c>
      <c r="E4804" t="s">
        <v>6</v>
      </c>
      <c r="F4804" t="s">
        <v>26</v>
      </c>
      <c r="G4804" t="s">
        <v>204</v>
      </c>
      <c r="H4804">
        <v>9</v>
      </c>
      <c r="I4804">
        <f t="shared" si="77"/>
        <v>12</v>
      </c>
    </row>
    <row r="4805" spans="1:9">
      <c r="A4805" s="1">
        <v>42438.763888888891</v>
      </c>
      <c r="B4805" s="19">
        <v>42859</v>
      </c>
      <c r="C4805" s="21">
        <v>0.91736111111111107</v>
      </c>
      <c r="D4805" s="20" t="s">
        <v>3049</v>
      </c>
      <c r="E4805" t="s">
        <v>0</v>
      </c>
      <c r="F4805" t="s">
        <v>1</v>
      </c>
      <c r="G4805" t="s">
        <v>9</v>
      </c>
      <c r="H4805" t="e">
        <v>#VALUE!</v>
      </c>
      <c r="I4805" t="e">
        <f t="shared" si="77"/>
        <v>#VALUE!</v>
      </c>
    </row>
    <row r="4806" spans="1:9">
      <c r="A4806" s="1">
        <v>42438.695833333331</v>
      </c>
      <c r="B4806" s="19">
        <v>42859</v>
      </c>
      <c r="C4806" s="21">
        <v>0.58611111111111114</v>
      </c>
      <c r="D4806" s="20" t="s">
        <v>3040</v>
      </c>
      <c r="E4806" t="s">
        <v>0</v>
      </c>
      <c r="G4806" t="s">
        <v>32</v>
      </c>
      <c r="H4806">
        <v>13</v>
      </c>
      <c r="I4806">
        <f t="shared" si="77"/>
        <v>17</v>
      </c>
    </row>
    <row r="4807" spans="1:9">
      <c r="A4807" s="1">
        <v>42438.681250000001</v>
      </c>
      <c r="B4807" s="19">
        <v>42859</v>
      </c>
      <c r="C4807" s="21">
        <v>0.2326388888888889</v>
      </c>
      <c r="D4807" s="20" t="s">
        <v>3055</v>
      </c>
      <c r="E4807" t="s">
        <v>18</v>
      </c>
      <c r="F4807" t="s">
        <v>100</v>
      </c>
      <c r="G4807" t="s">
        <v>164</v>
      </c>
      <c r="H4807" t="e">
        <v>#VALUE!</v>
      </c>
      <c r="I4807" t="e">
        <f t="shared" si="77"/>
        <v>#VALUE!</v>
      </c>
    </row>
    <row r="4808" spans="1:9">
      <c r="A4808" s="1">
        <v>42438.602083333331</v>
      </c>
      <c r="B4808" s="19">
        <v>42859</v>
      </c>
      <c r="C4808" s="21">
        <v>9.0277777777777776E-2</v>
      </c>
      <c r="D4808" s="20" t="s">
        <v>3052</v>
      </c>
      <c r="E4808" t="s">
        <v>0</v>
      </c>
      <c r="G4808" t="s">
        <v>205</v>
      </c>
      <c r="H4808" t="e">
        <v>#VALUE!</v>
      </c>
      <c r="I4808" t="e">
        <f t="shared" si="77"/>
        <v>#VALUE!</v>
      </c>
    </row>
    <row r="4809" spans="1:9">
      <c r="A4809" s="1">
        <v>42438.423611111109</v>
      </c>
      <c r="B4809" s="19">
        <v>42860</v>
      </c>
      <c r="C4809" s="21">
        <v>0.83819444444444446</v>
      </c>
      <c r="D4809" s="20" t="s">
        <v>3047</v>
      </c>
      <c r="E4809" t="s">
        <v>6</v>
      </c>
      <c r="F4809" t="s">
        <v>46</v>
      </c>
      <c r="G4809" t="s">
        <v>194</v>
      </c>
      <c r="H4809">
        <v>5</v>
      </c>
      <c r="I4809">
        <f t="shared" si="77"/>
        <v>7</v>
      </c>
    </row>
    <row r="4810" spans="1:9">
      <c r="A4810" s="1">
        <v>42438.365972222222</v>
      </c>
      <c r="B4810" s="19">
        <v>42860</v>
      </c>
      <c r="C4810" s="21">
        <v>0.72569444444444442</v>
      </c>
      <c r="D4810" s="20" t="s">
        <v>3044</v>
      </c>
      <c r="E4810" t="s">
        <v>6</v>
      </c>
      <c r="F4810" t="s">
        <v>12</v>
      </c>
      <c r="G4810" t="s">
        <v>195</v>
      </c>
      <c r="H4810">
        <v>3</v>
      </c>
      <c r="I4810">
        <f t="shared" si="77"/>
        <v>4</v>
      </c>
    </row>
    <row r="4811" spans="1:9">
      <c r="A4811" s="1">
        <v>42438.347916666666</v>
      </c>
      <c r="B4811" s="19">
        <v>42860</v>
      </c>
      <c r="C4811" s="21">
        <v>0.58402777777777781</v>
      </c>
      <c r="D4811" s="20" t="s">
        <v>3040</v>
      </c>
      <c r="E4811" t="s">
        <v>6</v>
      </c>
      <c r="F4811" t="s">
        <v>26</v>
      </c>
      <c r="G4811" t="s">
        <v>196</v>
      </c>
      <c r="H4811">
        <v>75</v>
      </c>
      <c r="I4811">
        <f t="shared" si="77"/>
        <v>93</v>
      </c>
    </row>
    <row r="4812" spans="1:9">
      <c r="A4812" s="1">
        <v>42437.959722222222</v>
      </c>
      <c r="B4812" s="19">
        <v>42860</v>
      </c>
      <c r="C4812" s="21">
        <v>0.46250000000000002</v>
      </c>
      <c r="D4812" s="20" t="s">
        <v>3037</v>
      </c>
      <c r="E4812" t="s">
        <v>6</v>
      </c>
      <c r="F4812" t="s">
        <v>26</v>
      </c>
      <c r="G4812" t="s">
        <v>197</v>
      </c>
      <c r="H4812" t="e">
        <v>#VALUE!</v>
      </c>
      <c r="I4812" t="e">
        <f t="shared" si="77"/>
        <v>#VALUE!</v>
      </c>
    </row>
    <row r="4813" spans="1:9">
      <c r="A4813" s="1">
        <v>42437.912499999999</v>
      </c>
      <c r="B4813" s="19">
        <v>42860</v>
      </c>
      <c r="C4813" s="21">
        <v>0.4597222222222222</v>
      </c>
      <c r="D4813" s="20" t="s">
        <v>3037</v>
      </c>
      <c r="E4813" t="s">
        <v>2</v>
      </c>
      <c r="F4813" t="s">
        <v>5</v>
      </c>
      <c r="G4813" t="s">
        <v>198</v>
      </c>
      <c r="H4813">
        <v>38</v>
      </c>
      <c r="I4813">
        <f t="shared" si="77"/>
        <v>48</v>
      </c>
    </row>
    <row r="4814" spans="1:9">
      <c r="A4814" s="1">
        <v>42437.898611111108</v>
      </c>
      <c r="B4814" s="19">
        <v>42860</v>
      </c>
      <c r="C4814" s="21">
        <v>0.24791666666666667</v>
      </c>
      <c r="D4814" s="20" t="s">
        <v>3055</v>
      </c>
      <c r="E4814" t="s">
        <v>6</v>
      </c>
      <c r="F4814" t="s">
        <v>26</v>
      </c>
      <c r="G4814" t="s">
        <v>199</v>
      </c>
      <c r="H4814" t="e">
        <v>#VALUE!</v>
      </c>
      <c r="I4814" t="e">
        <f t="shared" si="77"/>
        <v>#VALUE!</v>
      </c>
    </row>
    <row r="4815" spans="1:9">
      <c r="A4815" s="1">
        <v>42437.841666666667</v>
      </c>
      <c r="B4815" s="19">
        <v>42860</v>
      </c>
      <c r="C4815" s="21">
        <v>0.13958333333333334</v>
      </c>
      <c r="D4815" s="20" t="s">
        <v>3053</v>
      </c>
      <c r="E4815" t="s">
        <v>6</v>
      </c>
      <c r="F4815" t="s">
        <v>26</v>
      </c>
      <c r="G4815" t="s">
        <v>200</v>
      </c>
      <c r="H4815">
        <v>199</v>
      </c>
      <c r="I4815">
        <f t="shared" si="77"/>
        <v>247</v>
      </c>
    </row>
    <row r="4816" spans="1:9">
      <c r="A4816" s="1">
        <v>42437.730555555558</v>
      </c>
      <c r="B4816" s="19">
        <v>42860</v>
      </c>
      <c r="C4816" s="21">
        <v>0.12708333333333333</v>
      </c>
      <c r="D4816" s="20" t="s">
        <v>3053</v>
      </c>
      <c r="E4816" t="s">
        <v>6</v>
      </c>
      <c r="F4816" t="s">
        <v>21</v>
      </c>
      <c r="G4816" t="s">
        <v>103</v>
      </c>
      <c r="H4816" t="e">
        <v>#VALUE!</v>
      </c>
      <c r="I4816" t="e">
        <f t="shared" si="77"/>
        <v>#VALUE!</v>
      </c>
    </row>
    <row r="4817" spans="1:9">
      <c r="A4817" s="1">
        <v>42437.656944444447</v>
      </c>
      <c r="B4817" s="19">
        <v>42860</v>
      </c>
      <c r="C4817" s="21">
        <v>5.4166666666666669E-2</v>
      </c>
      <c r="D4817" s="20" t="s">
        <v>3051</v>
      </c>
      <c r="E4817" t="s">
        <v>6</v>
      </c>
      <c r="F4817" t="s">
        <v>21</v>
      </c>
      <c r="G4817" t="s">
        <v>201</v>
      </c>
      <c r="H4817" t="e">
        <v>#VALUE!</v>
      </c>
      <c r="I4817" t="e">
        <f t="shared" si="77"/>
        <v>#VALUE!</v>
      </c>
    </row>
    <row r="4818" spans="1:9">
      <c r="A4818" s="1">
        <v>42437.559027777781</v>
      </c>
      <c r="B4818" s="19">
        <v>42860</v>
      </c>
      <c r="C4818" s="21">
        <v>1.2500000000000001E-2</v>
      </c>
      <c r="D4818" s="20" t="s">
        <v>3050</v>
      </c>
      <c r="E4818" t="s">
        <v>6</v>
      </c>
      <c r="F4818" t="s">
        <v>21</v>
      </c>
      <c r="G4818" t="s">
        <v>201</v>
      </c>
      <c r="H4818" t="e">
        <v>#VALUE!</v>
      </c>
      <c r="I4818" t="e">
        <f t="shared" si="77"/>
        <v>#VALUE!</v>
      </c>
    </row>
    <row r="4819" spans="1:9">
      <c r="A4819" s="1">
        <v>42437.515972222223</v>
      </c>
      <c r="B4819" s="19">
        <v>42860</v>
      </c>
      <c r="C4819" s="21">
        <v>0.91666666666666663</v>
      </c>
      <c r="D4819" s="20" t="s">
        <v>3049</v>
      </c>
      <c r="E4819" t="s">
        <v>0</v>
      </c>
      <c r="F4819" t="s">
        <v>1</v>
      </c>
      <c r="G4819" t="s">
        <v>193</v>
      </c>
      <c r="H4819">
        <v>13</v>
      </c>
      <c r="I4819">
        <f t="shared" si="77"/>
        <v>17</v>
      </c>
    </row>
    <row r="4820" spans="1:9">
      <c r="A4820" s="1">
        <v>42437.506249999999</v>
      </c>
      <c r="B4820" s="19">
        <v>42860</v>
      </c>
      <c r="C4820" s="21">
        <v>0.26111111111111113</v>
      </c>
      <c r="D4820" s="20" t="s">
        <v>3031</v>
      </c>
      <c r="E4820" t="s">
        <v>0</v>
      </c>
      <c r="G4820" t="s">
        <v>32</v>
      </c>
      <c r="H4820">
        <v>13</v>
      </c>
      <c r="I4820">
        <f t="shared" si="77"/>
        <v>17</v>
      </c>
    </row>
    <row r="4821" spans="1:9">
      <c r="A4821" s="1">
        <v>42437.463194444441</v>
      </c>
      <c r="B4821" s="19">
        <v>42860</v>
      </c>
      <c r="C4821" s="21">
        <v>0.26111111111111113</v>
      </c>
      <c r="D4821" s="20" t="s">
        <v>3031</v>
      </c>
      <c r="E4821" t="s">
        <v>18</v>
      </c>
      <c r="F4821" t="s">
        <v>100</v>
      </c>
      <c r="G4821" t="s">
        <v>164</v>
      </c>
      <c r="H4821" t="e">
        <v>#VALUE!</v>
      </c>
      <c r="I4821" t="e">
        <f t="shared" si="77"/>
        <v>#VALUE!</v>
      </c>
    </row>
    <row r="4822" spans="1:9">
      <c r="A4822" s="1">
        <v>42437.777777777781</v>
      </c>
      <c r="B4822" s="19">
        <v>42861</v>
      </c>
      <c r="C4822" s="21">
        <v>0.44930555555555557</v>
      </c>
      <c r="D4822" s="20" t="s">
        <v>3036</v>
      </c>
      <c r="E4822" t="s">
        <v>18</v>
      </c>
      <c r="F4822" t="s">
        <v>100</v>
      </c>
      <c r="G4822" t="s">
        <v>144</v>
      </c>
      <c r="H4822" t="e">
        <v>#VALUE!</v>
      </c>
      <c r="I4822" t="e">
        <f t="shared" si="77"/>
        <v>#VALUE!</v>
      </c>
    </row>
    <row r="4823" spans="1:9">
      <c r="A4823" s="1">
        <v>42437.470833333333</v>
      </c>
      <c r="B4823" s="19">
        <v>42861</v>
      </c>
      <c r="C4823" s="21">
        <v>0.24861111111111112</v>
      </c>
      <c r="D4823" s="20" t="s">
        <v>3055</v>
      </c>
      <c r="E4823" t="s">
        <v>0</v>
      </c>
      <c r="G4823" t="s">
        <v>32</v>
      </c>
      <c r="H4823">
        <v>13</v>
      </c>
      <c r="I4823">
        <f t="shared" si="77"/>
        <v>17</v>
      </c>
    </row>
    <row r="4824" spans="1:9">
      <c r="A4824" s="1">
        <v>42437.456944444442</v>
      </c>
      <c r="B4824" s="19">
        <v>42861</v>
      </c>
      <c r="C4824" s="21">
        <v>0.24791666666666667</v>
      </c>
      <c r="D4824" s="20" t="s">
        <v>3055</v>
      </c>
      <c r="E4824" t="s">
        <v>18</v>
      </c>
      <c r="F4824" t="s">
        <v>100</v>
      </c>
      <c r="G4824" t="s">
        <v>191</v>
      </c>
      <c r="H4824" t="e">
        <v>#VALUE!</v>
      </c>
      <c r="I4824" t="e">
        <f t="shared" si="77"/>
        <v>#VALUE!</v>
      </c>
    </row>
    <row r="4825" spans="1:9">
      <c r="A4825" s="1">
        <v>42436.807638888888</v>
      </c>
      <c r="B4825" s="19">
        <v>42861</v>
      </c>
      <c r="C4825" s="21">
        <v>0.18958333333333333</v>
      </c>
      <c r="D4825" s="20" t="s">
        <v>3054</v>
      </c>
      <c r="E4825" t="s">
        <v>0</v>
      </c>
      <c r="F4825" t="s">
        <v>1</v>
      </c>
      <c r="G4825" t="s">
        <v>192</v>
      </c>
      <c r="H4825">
        <v>13</v>
      </c>
      <c r="I4825">
        <f t="shared" si="77"/>
        <v>17</v>
      </c>
    </row>
    <row r="4826" spans="1:9">
      <c r="A4826" s="1">
        <v>42436.709027777775</v>
      </c>
      <c r="B4826" s="19">
        <v>42863</v>
      </c>
      <c r="C4826" s="21">
        <v>0.80555555555555558</v>
      </c>
      <c r="D4826" s="20" t="s">
        <v>3046</v>
      </c>
      <c r="E4826" t="s">
        <v>6</v>
      </c>
      <c r="F4826" t="s">
        <v>21</v>
      </c>
      <c r="G4826" t="s">
        <v>103</v>
      </c>
      <c r="H4826">
        <v>7</v>
      </c>
      <c r="I4826">
        <f t="shared" si="77"/>
        <v>9</v>
      </c>
    </row>
    <row r="4827" spans="1:9">
      <c r="A4827" s="1">
        <v>42436.666666666664</v>
      </c>
      <c r="B4827" s="19">
        <v>42863</v>
      </c>
      <c r="C4827" s="21">
        <v>0.73472222222222228</v>
      </c>
      <c r="D4827" s="20" t="s">
        <v>3044</v>
      </c>
      <c r="E4827" t="s">
        <v>6</v>
      </c>
      <c r="F4827" t="s">
        <v>89</v>
      </c>
      <c r="H4827">
        <v>31</v>
      </c>
      <c r="I4827">
        <f t="shared" si="77"/>
        <v>39</v>
      </c>
    </row>
    <row r="4828" spans="1:9">
      <c r="A4828" s="1">
        <v>42436.609027777777</v>
      </c>
      <c r="B4828" s="19">
        <v>42863</v>
      </c>
      <c r="C4828" s="21">
        <v>0.71597222222222223</v>
      </c>
      <c r="D4828" s="20" t="s">
        <v>3044</v>
      </c>
      <c r="E4828" t="s">
        <v>2</v>
      </c>
      <c r="F4828" t="s">
        <v>3</v>
      </c>
      <c r="H4828">
        <v>13</v>
      </c>
      <c r="I4828">
        <f t="shared" si="77"/>
        <v>17</v>
      </c>
    </row>
    <row r="4829" spans="1:9">
      <c r="A4829" s="1">
        <v>42436.568055555559</v>
      </c>
      <c r="B4829" s="19">
        <v>42863</v>
      </c>
      <c r="C4829" s="21">
        <v>0.67222222222222228</v>
      </c>
      <c r="D4829" s="20" t="s">
        <v>3043</v>
      </c>
      <c r="E4829" t="s">
        <v>6</v>
      </c>
      <c r="F4829" t="s">
        <v>15</v>
      </c>
      <c r="G4829" t="s">
        <v>83</v>
      </c>
      <c r="H4829">
        <v>7</v>
      </c>
      <c r="I4829">
        <f t="shared" si="77"/>
        <v>9</v>
      </c>
    </row>
    <row r="4830" spans="1:9">
      <c r="A4830" s="1">
        <v>42436.567361111112</v>
      </c>
      <c r="B4830" s="19">
        <v>42863</v>
      </c>
      <c r="C4830" s="21">
        <v>0.54236111111111107</v>
      </c>
      <c r="D4830" s="20" t="s">
        <v>3039</v>
      </c>
      <c r="E4830" t="s">
        <v>2</v>
      </c>
      <c r="F4830" t="s">
        <v>48</v>
      </c>
      <c r="H4830">
        <v>5</v>
      </c>
      <c r="I4830">
        <f t="shared" si="77"/>
        <v>7</v>
      </c>
    </row>
    <row r="4831" spans="1:9">
      <c r="A4831" s="1">
        <v>42436.520833333336</v>
      </c>
      <c r="B4831" s="19">
        <v>42863</v>
      </c>
      <c r="C4831" s="21">
        <v>0.54097222222222219</v>
      </c>
      <c r="D4831" s="20" t="s">
        <v>3038</v>
      </c>
      <c r="E4831" t="s">
        <v>6</v>
      </c>
      <c r="F4831" t="s">
        <v>12</v>
      </c>
      <c r="H4831">
        <v>3</v>
      </c>
      <c r="I4831">
        <f t="shared" si="77"/>
        <v>4</v>
      </c>
    </row>
    <row r="4832" spans="1:9">
      <c r="A4832" s="1">
        <v>42436.493750000001</v>
      </c>
      <c r="B4832" s="19">
        <v>42863</v>
      </c>
      <c r="C4832" s="21">
        <v>0.91805555555555551</v>
      </c>
      <c r="D4832" s="20" t="s">
        <v>3049</v>
      </c>
      <c r="E4832" t="s">
        <v>18</v>
      </c>
      <c r="F4832" t="s">
        <v>100</v>
      </c>
      <c r="G4832" t="s">
        <v>175</v>
      </c>
      <c r="H4832" t="e">
        <v>#VALUE!</v>
      </c>
      <c r="I4832" t="e">
        <f t="shared" si="77"/>
        <v>#VALUE!</v>
      </c>
    </row>
    <row r="4833" spans="1:9">
      <c r="A4833" s="1">
        <v>42436.48541666667</v>
      </c>
      <c r="B4833" s="19">
        <v>42863</v>
      </c>
      <c r="C4833" s="21">
        <v>0.91597222222222219</v>
      </c>
      <c r="D4833" s="20" t="s">
        <v>3048</v>
      </c>
      <c r="E4833" t="s">
        <v>0</v>
      </c>
      <c r="G4833" t="s">
        <v>32</v>
      </c>
      <c r="H4833">
        <v>13</v>
      </c>
      <c r="I4833">
        <f t="shared" si="77"/>
        <v>17</v>
      </c>
    </row>
    <row r="4834" spans="1:9">
      <c r="A4834" s="1">
        <v>42436.435416666667</v>
      </c>
      <c r="B4834" s="19">
        <v>42863</v>
      </c>
      <c r="C4834" s="21">
        <v>0.84791666666666665</v>
      </c>
      <c r="D4834" s="20" t="s">
        <v>3047</v>
      </c>
      <c r="E4834" t="s">
        <v>0</v>
      </c>
      <c r="F4834" t="s">
        <v>75</v>
      </c>
      <c r="G4834">
        <v>3</v>
      </c>
      <c r="H4834">
        <v>4</v>
      </c>
      <c r="I4834">
        <f t="shared" si="77"/>
        <v>5</v>
      </c>
    </row>
    <row r="4835" spans="1:9">
      <c r="A4835" s="1">
        <v>42436.430555555555</v>
      </c>
      <c r="B4835" s="19">
        <v>42863</v>
      </c>
      <c r="C4835" s="21">
        <v>0.76249999999999996</v>
      </c>
      <c r="D4835" s="20" t="s">
        <v>3045</v>
      </c>
      <c r="E4835" t="s">
        <v>0</v>
      </c>
      <c r="F4835" t="s">
        <v>1</v>
      </c>
      <c r="H4835">
        <v>7</v>
      </c>
      <c r="I4835">
        <f t="shared" si="77"/>
        <v>9</v>
      </c>
    </row>
    <row r="4836" spans="1:9">
      <c r="A4836" s="1">
        <v>42436.395138888889</v>
      </c>
      <c r="B4836" s="19">
        <v>42863</v>
      </c>
      <c r="C4836" s="21">
        <v>0.70972222222222225</v>
      </c>
      <c r="D4836" s="20" t="s">
        <v>3044</v>
      </c>
      <c r="E4836" t="s">
        <v>149</v>
      </c>
      <c r="G4836" t="s">
        <v>187</v>
      </c>
      <c r="H4836">
        <v>13</v>
      </c>
      <c r="I4836">
        <f t="shared" si="77"/>
        <v>17</v>
      </c>
    </row>
    <row r="4837" spans="1:9">
      <c r="A4837" s="1">
        <v>42436.386111111111</v>
      </c>
      <c r="B4837" s="19">
        <v>42863</v>
      </c>
      <c r="C4837" s="21">
        <v>0.59166666666666667</v>
      </c>
      <c r="D4837" s="20" t="s">
        <v>3040</v>
      </c>
      <c r="E4837" t="s">
        <v>0</v>
      </c>
      <c r="F4837" t="s">
        <v>1</v>
      </c>
      <c r="G4837" t="s">
        <v>9</v>
      </c>
      <c r="H4837">
        <v>13</v>
      </c>
      <c r="I4837">
        <f t="shared" si="77"/>
        <v>17</v>
      </c>
    </row>
    <row r="4838" spans="1:9">
      <c r="A4838" s="1">
        <v>42436.35</v>
      </c>
      <c r="B4838" s="19">
        <v>42863</v>
      </c>
      <c r="C4838" s="21">
        <v>0.59097222222222223</v>
      </c>
      <c r="D4838" s="20" t="s">
        <v>3040</v>
      </c>
      <c r="E4838" t="s">
        <v>18</v>
      </c>
      <c r="F4838" t="s">
        <v>19</v>
      </c>
      <c r="H4838">
        <v>14</v>
      </c>
      <c r="I4838">
        <f t="shared" si="77"/>
        <v>18</v>
      </c>
    </row>
    <row r="4839" spans="1:9">
      <c r="A4839" s="1">
        <v>42436.329861111109</v>
      </c>
      <c r="B4839" s="19">
        <v>42863</v>
      </c>
      <c r="C4839" s="21">
        <v>0.57152777777777775</v>
      </c>
      <c r="D4839" s="20" t="s">
        <v>3039</v>
      </c>
      <c r="E4839" t="s">
        <v>18</v>
      </c>
      <c r="F4839" t="s">
        <v>19</v>
      </c>
      <c r="H4839">
        <v>19</v>
      </c>
      <c r="I4839">
        <f t="shared" si="77"/>
        <v>24</v>
      </c>
    </row>
    <row r="4840" spans="1:9">
      <c r="A4840" s="1">
        <v>42436.322916666664</v>
      </c>
      <c r="B4840" s="19">
        <v>42863</v>
      </c>
      <c r="C4840" s="21">
        <v>0.54513888888888884</v>
      </c>
      <c r="D4840" s="20" t="s">
        <v>3039</v>
      </c>
      <c r="E4840" t="s">
        <v>0</v>
      </c>
      <c r="F4840" t="s">
        <v>1</v>
      </c>
      <c r="H4840">
        <v>8</v>
      </c>
      <c r="I4840">
        <f t="shared" si="77"/>
        <v>10</v>
      </c>
    </row>
    <row r="4841" spans="1:9">
      <c r="A4841" s="1">
        <v>42436.259722222225</v>
      </c>
      <c r="B4841" s="19">
        <v>42863</v>
      </c>
      <c r="C4841" s="21">
        <v>0.42152777777777778</v>
      </c>
      <c r="D4841" s="20" t="s">
        <v>3036</v>
      </c>
      <c r="E4841" t="s">
        <v>18</v>
      </c>
      <c r="F4841" t="s">
        <v>71</v>
      </c>
      <c r="G4841" t="s">
        <v>188</v>
      </c>
      <c r="H4841">
        <v>2</v>
      </c>
      <c r="I4841">
        <f t="shared" si="77"/>
        <v>3</v>
      </c>
    </row>
    <row r="4842" spans="1:9">
      <c r="A4842" s="1">
        <v>42436.25277777778</v>
      </c>
      <c r="B4842" s="19">
        <v>42863</v>
      </c>
      <c r="C4842" s="21">
        <v>0.28888888888888886</v>
      </c>
      <c r="D4842" s="20" t="s">
        <v>3031</v>
      </c>
      <c r="E4842" t="s">
        <v>18</v>
      </c>
      <c r="F4842" t="s">
        <v>71</v>
      </c>
      <c r="G4842" t="s">
        <v>189</v>
      </c>
      <c r="H4842">
        <v>44</v>
      </c>
      <c r="I4842">
        <f t="shared" si="77"/>
        <v>55</v>
      </c>
    </row>
    <row r="4843" spans="1:9">
      <c r="A4843" s="1">
        <v>42436.250694444447</v>
      </c>
      <c r="B4843" s="19">
        <v>42863</v>
      </c>
      <c r="C4843" s="21">
        <v>0.24861111111111112</v>
      </c>
      <c r="D4843" s="20" t="s">
        <v>3055</v>
      </c>
      <c r="E4843" t="s">
        <v>0</v>
      </c>
      <c r="G4843" t="s">
        <v>190</v>
      </c>
      <c r="H4843">
        <v>31</v>
      </c>
      <c r="I4843">
        <f t="shared" si="77"/>
        <v>39</v>
      </c>
    </row>
    <row r="4844" spans="1:9">
      <c r="A4844" s="1">
        <v>42436.834027777775</v>
      </c>
      <c r="B4844" s="19">
        <v>42864</v>
      </c>
      <c r="C4844" s="21">
        <v>0.89513888888888893</v>
      </c>
      <c r="D4844" s="20" t="s">
        <v>3048</v>
      </c>
      <c r="E4844" t="s">
        <v>6</v>
      </c>
      <c r="F4844" t="s">
        <v>167</v>
      </c>
      <c r="G4844" t="s">
        <v>181</v>
      </c>
      <c r="H4844">
        <v>25</v>
      </c>
      <c r="I4844">
        <f t="shared" si="77"/>
        <v>31</v>
      </c>
    </row>
    <row r="4845" spans="1:9">
      <c r="A4845" s="1">
        <v>42436.794444444444</v>
      </c>
      <c r="B4845" s="19">
        <v>42864</v>
      </c>
      <c r="C4845" s="21">
        <v>0.20208333333333334</v>
      </c>
      <c r="D4845" s="20" t="s">
        <v>3054</v>
      </c>
      <c r="E4845" t="s">
        <v>2</v>
      </c>
      <c r="F4845" t="s">
        <v>5</v>
      </c>
      <c r="G4845" t="s">
        <v>184</v>
      </c>
      <c r="H4845">
        <v>17</v>
      </c>
      <c r="I4845">
        <f t="shared" si="77"/>
        <v>22</v>
      </c>
    </row>
    <row r="4846" spans="1:9">
      <c r="A4846" s="1">
        <v>42436.77847222222</v>
      </c>
      <c r="B4846" s="19">
        <v>42864</v>
      </c>
      <c r="C4846" s="21">
        <v>0.18888888888888888</v>
      </c>
      <c r="D4846" s="20" t="s">
        <v>3054</v>
      </c>
      <c r="E4846" t="s">
        <v>6</v>
      </c>
      <c r="F4846" t="s">
        <v>21</v>
      </c>
      <c r="G4846" t="s">
        <v>185</v>
      </c>
      <c r="H4846">
        <v>24</v>
      </c>
      <c r="I4846">
        <f t="shared" si="77"/>
        <v>30</v>
      </c>
    </row>
    <row r="4847" spans="1:9">
      <c r="A4847" s="1">
        <v>42436.710416666669</v>
      </c>
      <c r="B4847" s="19">
        <v>42864</v>
      </c>
      <c r="C4847" s="21">
        <v>0.16875000000000001</v>
      </c>
      <c r="D4847" s="20" t="s">
        <v>3054</v>
      </c>
      <c r="E4847" t="s">
        <v>6</v>
      </c>
      <c r="F4847" t="s">
        <v>21</v>
      </c>
      <c r="G4847" t="s">
        <v>186</v>
      </c>
      <c r="H4847">
        <v>17</v>
      </c>
      <c r="I4847">
        <f t="shared" si="77"/>
        <v>22</v>
      </c>
    </row>
    <row r="4848" spans="1:9">
      <c r="A4848" s="1">
        <v>42436.67083333333</v>
      </c>
      <c r="B4848" s="19">
        <v>42864</v>
      </c>
      <c r="C4848" s="21">
        <v>0.58472222222222225</v>
      </c>
      <c r="D4848" s="20" t="s">
        <v>3040</v>
      </c>
      <c r="E4848" t="s">
        <v>0</v>
      </c>
      <c r="F4848" t="s">
        <v>1</v>
      </c>
      <c r="G4848" t="s">
        <v>9</v>
      </c>
      <c r="H4848">
        <v>13</v>
      </c>
      <c r="I4848">
        <f t="shared" si="77"/>
        <v>17</v>
      </c>
    </row>
    <row r="4849" spans="1:9">
      <c r="A4849" s="1">
        <v>42436.511805555558</v>
      </c>
      <c r="B4849" s="19">
        <v>42864</v>
      </c>
      <c r="C4849" s="21">
        <v>0.42152777777777778</v>
      </c>
      <c r="D4849" s="20" t="s">
        <v>3036</v>
      </c>
      <c r="E4849" t="s">
        <v>18</v>
      </c>
      <c r="F4849" t="s">
        <v>71</v>
      </c>
      <c r="G4849" t="s">
        <v>182</v>
      </c>
      <c r="H4849" t="e">
        <v>#VALUE!</v>
      </c>
      <c r="I4849" t="e">
        <f t="shared" si="77"/>
        <v>#VALUE!</v>
      </c>
    </row>
    <row r="4850" spans="1:9">
      <c r="A4850" s="1">
        <v>42436.345138888886</v>
      </c>
      <c r="B4850" s="19">
        <v>42864</v>
      </c>
      <c r="C4850" s="21">
        <v>0.27986111111111112</v>
      </c>
      <c r="D4850" s="20" t="s">
        <v>3031</v>
      </c>
      <c r="E4850" t="s">
        <v>18</v>
      </c>
      <c r="F4850" t="s">
        <v>71</v>
      </c>
      <c r="G4850" t="s">
        <v>183</v>
      </c>
      <c r="H4850" t="e">
        <v>#VALUE!</v>
      </c>
      <c r="I4850" t="e">
        <f t="shared" si="77"/>
        <v>#VALUE!</v>
      </c>
    </row>
    <row r="4851" spans="1:9">
      <c r="A4851" s="1">
        <v>42436.303472222222</v>
      </c>
      <c r="B4851" s="19">
        <v>42864</v>
      </c>
      <c r="C4851" s="21">
        <v>0.25347222222222221</v>
      </c>
      <c r="D4851" s="20" t="s">
        <v>3031</v>
      </c>
      <c r="E4851" t="s">
        <v>0</v>
      </c>
      <c r="G4851" t="s">
        <v>32</v>
      </c>
      <c r="H4851">
        <v>13</v>
      </c>
      <c r="I4851">
        <f t="shared" si="77"/>
        <v>17</v>
      </c>
    </row>
    <row r="4852" spans="1:9">
      <c r="A4852" s="1">
        <v>42434.234027777777</v>
      </c>
      <c r="B4852" s="19">
        <v>42865</v>
      </c>
      <c r="C4852" s="21">
        <v>0.88402777777777775</v>
      </c>
      <c r="D4852" s="20" t="s">
        <v>3048</v>
      </c>
      <c r="E4852" t="s">
        <v>6</v>
      </c>
      <c r="F4852" t="s">
        <v>76</v>
      </c>
      <c r="G4852" t="s">
        <v>65</v>
      </c>
      <c r="H4852">
        <v>9</v>
      </c>
      <c r="I4852">
        <f t="shared" si="77"/>
        <v>12</v>
      </c>
    </row>
    <row r="4853" spans="1:9">
      <c r="A4853" s="1">
        <v>42434.231249999997</v>
      </c>
      <c r="B4853" s="19">
        <v>42865</v>
      </c>
      <c r="C4853" s="21">
        <v>0.6166666666666667</v>
      </c>
      <c r="D4853" s="20" t="s">
        <v>3040</v>
      </c>
      <c r="E4853" t="s">
        <v>6</v>
      </c>
      <c r="F4853" t="s">
        <v>76</v>
      </c>
      <c r="G4853" t="s">
        <v>176</v>
      </c>
      <c r="H4853" t="e">
        <v>#VALUE!</v>
      </c>
      <c r="I4853" t="e">
        <f t="shared" si="77"/>
        <v>#VALUE!</v>
      </c>
    </row>
    <row r="4854" spans="1:9">
      <c r="A4854" s="1">
        <v>42434.168055555558</v>
      </c>
      <c r="B4854" s="19">
        <v>42865</v>
      </c>
      <c r="C4854" s="21">
        <v>0.55902777777777779</v>
      </c>
      <c r="D4854" s="20" t="s">
        <v>3039</v>
      </c>
      <c r="E4854" t="s">
        <v>2</v>
      </c>
      <c r="F4854" t="s">
        <v>5</v>
      </c>
      <c r="H4854">
        <v>44</v>
      </c>
      <c r="I4854">
        <f t="shared" si="77"/>
        <v>55</v>
      </c>
    </row>
    <row r="4855" spans="1:9">
      <c r="A4855" s="1">
        <v>42434.138194444444</v>
      </c>
      <c r="B4855" s="19">
        <v>42865</v>
      </c>
      <c r="C4855" s="21">
        <v>0.41041666666666665</v>
      </c>
      <c r="D4855" s="20" t="s">
        <v>3035</v>
      </c>
      <c r="E4855" t="s">
        <v>2</v>
      </c>
      <c r="F4855" t="s">
        <v>5</v>
      </c>
      <c r="G4855" t="s">
        <v>177</v>
      </c>
      <c r="H4855" t="e">
        <v>#VALUE!</v>
      </c>
      <c r="I4855" t="e">
        <f t="shared" si="77"/>
        <v>#VALUE!</v>
      </c>
    </row>
    <row r="4856" spans="1:9">
      <c r="A4856" s="1">
        <v>42434.106249999997</v>
      </c>
      <c r="B4856" s="19">
        <v>42865</v>
      </c>
      <c r="C4856" s="21">
        <v>0.40972222222222221</v>
      </c>
      <c r="D4856" s="20" t="s">
        <v>3035</v>
      </c>
      <c r="E4856" t="s">
        <v>6</v>
      </c>
      <c r="F4856" t="s">
        <v>76</v>
      </c>
      <c r="G4856" t="s">
        <v>178</v>
      </c>
      <c r="H4856">
        <v>25</v>
      </c>
      <c r="I4856">
        <f t="shared" si="77"/>
        <v>31</v>
      </c>
    </row>
    <row r="4857" spans="1:9">
      <c r="A4857" s="1">
        <v>42434.05972222222</v>
      </c>
      <c r="B4857" s="19">
        <v>42865</v>
      </c>
      <c r="C4857" s="21">
        <v>0.38333333333333336</v>
      </c>
      <c r="D4857" s="20" t="s">
        <v>3035</v>
      </c>
      <c r="E4857" t="s">
        <v>2</v>
      </c>
      <c r="F4857" t="s">
        <v>5</v>
      </c>
      <c r="H4857">
        <v>50</v>
      </c>
      <c r="I4857">
        <f t="shared" si="77"/>
        <v>62</v>
      </c>
    </row>
    <row r="4858" spans="1:9">
      <c r="A4858" s="1">
        <v>42434.005555555559</v>
      </c>
      <c r="B4858" s="19">
        <v>42865</v>
      </c>
      <c r="C4858" s="21">
        <v>0.37777777777777777</v>
      </c>
      <c r="D4858" s="20" t="s">
        <v>3035</v>
      </c>
      <c r="E4858" t="s">
        <v>6</v>
      </c>
      <c r="F4858" t="s">
        <v>26</v>
      </c>
      <c r="G4858" t="s">
        <v>179</v>
      </c>
      <c r="H4858">
        <v>38</v>
      </c>
      <c r="I4858">
        <f t="shared" si="77"/>
        <v>48</v>
      </c>
    </row>
    <row r="4859" spans="1:9">
      <c r="A4859" s="1">
        <v>42434.217361111114</v>
      </c>
      <c r="B4859" s="19">
        <v>42865</v>
      </c>
      <c r="C4859" s="21">
        <v>0.91666666666666663</v>
      </c>
      <c r="D4859" s="20" t="s">
        <v>3049</v>
      </c>
      <c r="E4859" t="s">
        <v>0</v>
      </c>
      <c r="G4859" t="s">
        <v>32</v>
      </c>
      <c r="H4859">
        <v>13</v>
      </c>
      <c r="I4859">
        <f t="shared" si="77"/>
        <v>17</v>
      </c>
    </row>
    <row r="4860" spans="1:9">
      <c r="A4860" s="1">
        <v>42434.17291666667</v>
      </c>
      <c r="B4860" s="19">
        <v>42865</v>
      </c>
      <c r="C4860" s="21">
        <v>0.91666666666666663</v>
      </c>
      <c r="D4860" s="20" t="s">
        <v>3049</v>
      </c>
      <c r="E4860" t="s">
        <v>18</v>
      </c>
      <c r="F4860" t="s">
        <v>100</v>
      </c>
      <c r="G4860" t="s">
        <v>175</v>
      </c>
      <c r="H4860" t="e">
        <v>#VALUE!</v>
      </c>
      <c r="I4860" t="e">
        <f t="shared" si="77"/>
        <v>#VALUE!</v>
      </c>
    </row>
    <row r="4861" spans="1:9">
      <c r="A4861" s="1">
        <v>42434.140277777777</v>
      </c>
      <c r="B4861" s="19">
        <v>42865</v>
      </c>
      <c r="C4861" s="21">
        <v>0.90138888888888891</v>
      </c>
      <c r="D4861" s="20" t="s">
        <v>3048</v>
      </c>
      <c r="E4861" t="s">
        <v>0</v>
      </c>
      <c r="F4861" t="s">
        <v>10</v>
      </c>
      <c r="H4861">
        <v>13</v>
      </c>
      <c r="I4861">
        <f t="shared" si="77"/>
        <v>17</v>
      </c>
    </row>
    <row r="4862" spans="1:9">
      <c r="A4862" s="1">
        <v>42434.126388888886</v>
      </c>
      <c r="B4862" s="19">
        <v>42865</v>
      </c>
      <c r="C4862" s="21">
        <v>0.75694444444444442</v>
      </c>
      <c r="D4862" s="20" t="s">
        <v>3045</v>
      </c>
      <c r="E4862" t="s">
        <v>0</v>
      </c>
      <c r="F4862" t="s">
        <v>1</v>
      </c>
      <c r="H4862">
        <v>7</v>
      </c>
      <c r="I4862">
        <f t="shared" si="77"/>
        <v>9</v>
      </c>
    </row>
    <row r="4863" spans="1:9">
      <c r="A4863" s="1">
        <v>42434.116666666669</v>
      </c>
      <c r="B4863" s="19">
        <v>42865</v>
      </c>
      <c r="C4863" s="21">
        <v>0.37708333333333333</v>
      </c>
      <c r="D4863" s="20" t="s">
        <v>3035</v>
      </c>
      <c r="E4863" t="s">
        <v>77</v>
      </c>
      <c r="G4863" t="s">
        <v>180</v>
      </c>
      <c r="H4863">
        <v>149</v>
      </c>
      <c r="I4863">
        <f t="shared" si="77"/>
        <v>185</v>
      </c>
    </row>
    <row r="4864" spans="1:9">
      <c r="A4864" s="1">
        <v>42434.008333333331</v>
      </c>
      <c r="B4864" s="19">
        <v>42866</v>
      </c>
      <c r="C4864" s="21">
        <v>0.97083333333333333</v>
      </c>
      <c r="D4864" s="20" t="s">
        <v>3063</v>
      </c>
      <c r="E4864" t="s">
        <v>6</v>
      </c>
      <c r="F4864" t="s">
        <v>21</v>
      </c>
      <c r="G4864" t="s">
        <v>163</v>
      </c>
      <c r="H4864" t="e">
        <v>#VALUE!</v>
      </c>
      <c r="I4864" t="e">
        <f t="shared" si="77"/>
        <v>#VALUE!</v>
      </c>
    </row>
    <row r="4865" spans="1:9">
      <c r="A4865" s="1">
        <v>42433.970833333333</v>
      </c>
      <c r="B4865" s="19">
        <v>42866</v>
      </c>
      <c r="C4865" s="21">
        <v>0.88194444444444442</v>
      </c>
      <c r="D4865" s="20" t="s">
        <v>3048</v>
      </c>
      <c r="E4865" t="s">
        <v>2</v>
      </c>
      <c r="F4865" t="s">
        <v>5</v>
      </c>
      <c r="H4865">
        <v>38</v>
      </c>
      <c r="I4865">
        <f t="shared" si="77"/>
        <v>48</v>
      </c>
    </row>
    <row r="4866" spans="1:9">
      <c r="A4866" s="1">
        <v>42433.943055555559</v>
      </c>
      <c r="B4866" s="19">
        <v>42866</v>
      </c>
      <c r="C4866" s="21">
        <v>0.87291666666666667</v>
      </c>
      <c r="D4866" s="20" t="s">
        <v>3047</v>
      </c>
      <c r="E4866" t="s">
        <v>6</v>
      </c>
      <c r="F4866" t="s">
        <v>167</v>
      </c>
      <c r="G4866" t="s">
        <v>168</v>
      </c>
      <c r="H4866">
        <v>54</v>
      </c>
      <c r="I4866">
        <f t="shared" si="77"/>
        <v>67</v>
      </c>
    </row>
    <row r="4867" spans="1:9">
      <c r="A4867" s="1">
        <v>42433.844444444447</v>
      </c>
      <c r="B4867" s="19">
        <v>42866</v>
      </c>
      <c r="C4867" s="21">
        <v>0.78333333333333333</v>
      </c>
      <c r="D4867" s="20" t="s">
        <v>3045</v>
      </c>
      <c r="E4867" t="s">
        <v>6</v>
      </c>
      <c r="F4867" t="s">
        <v>12</v>
      </c>
      <c r="G4867" t="s">
        <v>170</v>
      </c>
      <c r="H4867">
        <v>7</v>
      </c>
      <c r="I4867">
        <f t="shared" ref="I4867:I4930" si="78">ROUNDUP((H4867*1.24), 0)</f>
        <v>9</v>
      </c>
    </row>
    <row r="4868" spans="1:9">
      <c r="A4868" s="1">
        <v>42433.786805555559</v>
      </c>
      <c r="B4868" s="19">
        <v>42866</v>
      </c>
      <c r="C4868" s="21">
        <v>0.39444444444444443</v>
      </c>
      <c r="D4868" s="20" t="s">
        <v>3035</v>
      </c>
      <c r="E4868" t="s">
        <v>6</v>
      </c>
      <c r="F4868" t="s">
        <v>89</v>
      </c>
      <c r="G4868" t="s">
        <v>174</v>
      </c>
      <c r="H4868">
        <v>2</v>
      </c>
      <c r="I4868">
        <f t="shared" si="78"/>
        <v>3</v>
      </c>
    </row>
    <row r="4869" spans="1:9">
      <c r="A4869" s="1">
        <v>42433.689583333333</v>
      </c>
      <c r="B4869" s="19">
        <v>42866</v>
      </c>
      <c r="C4869" s="21">
        <v>0.91388888888888886</v>
      </c>
      <c r="D4869" s="20" t="s">
        <v>3048</v>
      </c>
      <c r="E4869" t="s">
        <v>0</v>
      </c>
      <c r="F4869" t="s">
        <v>10</v>
      </c>
      <c r="G4869" t="s">
        <v>145</v>
      </c>
      <c r="H4869" t="e">
        <v>#VALUE!</v>
      </c>
      <c r="I4869" t="e">
        <f t="shared" si="78"/>
        <v>#VALUE!</v>
      </c>
    </row>
    <row r="4870" spans="1:9">
      <c r="A4870" s="1">
        <v>42433.584027777775</v>
      </c>
      <c r="B4870" s="19">
        <v>42866</v>
      </c>
      <c r="C4870" s="21">
        <v>0.91319444444444442</v>
      </c>
      <c r="D4870" s="20" t="s">
        <v>3048</v>
      </c>
      <c r="E4870" t="s">
        <v>18</v>
      </c>
      <c r="F4870" t="s">
        <v>100</v>
      </c>
      <c r="G4870" t="s">
        <v>164</v>
      </c>
      <c r="H4870" t="e">
        <v>#VALUE!</v>
      </c>
      <c r="I4870" t="e">
        <f t="shared" si="78"/>
        <v>#VALUE!</v>
      </c>
    </row>
    <row r="4871" spans="1:9">
      <c r="A4871" s="1">
        <v>42433.558333333334</v>
      </c>
      <c r="B4871" s="19">
        <v>42866</v>
      </c>
      <c r="C4871" s="21">
        <v>0.91249999999999998</v>
      </c>
      <c r="D4871" s="20" t="s">
        <v>3048</v>
      </c>
      <c r="E4871" t="s">
        <v>0</v>
      </c>
      <c r="G4871" t="s">
        <v>165</v>
      </c>
      <c r="H4871">
        <v>13</v>
      </c>
      <c r="I4871">
        <f t="shared" si="78"/>
        <v>17</v>
      </c>
    </row>
    <row r="4872" spans="1:9">
      <c r="A4872" s="1">
        <v>42433.542361111111</v>
      </c>
      <c r="B4872" s="19">
        <v>42866</v>
      </c>
      <c r="C4872" s="21">
        <v>0.90416666666666667</v>
      </c>
      <c r="D4872" s="20" t="s">
        <v>3048</v>
      </c>
      <c r="E4872" t="s">
        <v>0</v>
      </c>
      <c r="F4872" t="s">
        <v>10</v>
      </c>
      <c r="G4872" t="s">
        <v>166</v>
      </c>
      <c r="H4872">
        <v>13</v>
      </c>
      <c r="I4872">
        <f t="shared" si="78"/>
        <v>17</v>
      </c>
    </row>
    <row r="4873" spans="1:9">
      <c r="A4873" s="1">
        <v>42433.334027777775</v>
      </c>
      <c r="B4873" s="19">
        <v>42866</v>
      </c>
      <c r="C4873" s="21">
        <v>0.89513888888888893</v>
      </c>
      <c r="D4873" s="20" t="s">
        <v>3048</v>
      </c>
      <c r="E4873" t="s">
        <v>0</v>
      </c>
      <c r="F4873" t="s">
        <v>1</v>
      </c>
      <c r="H4873">
        <v>19</v>
      </c>
      <c r="I4873">
        <f t="shared" si="78"/>
        <v>24</v>
      </c>
    </row>
    <row r="4874" spans="1:9">
      <c r="A4874" s="1">
        <v>42433.220833333333</v>
      </c>
      <c r="B4874" s="19">
        <v>42866</v>
      </c>
      <c r="C4874" s="21">
        <v>0.85277777777777775</v>
      </c>
      <c r="D4874" s="20" t="s">
        <v>3047</v>
      </c>
      <c r="E4874" t="s">
        <v>0</v>
      </c>
      <c r="F4874" t="s">
        <v>1</v>
      </c>
      <c r="H4874">
        <v>19</v>
      </c>
      <c r="I4874">
        <f t="shared" si="78"/>
        <v>24</v>
      </c>
    </row>
    <row r="4875" spans="1:9">
      <c r="A4875" s="1">
        <v>42433.129861111112</v>
      </c>
      <c r="B4875" s="19">
        <v>42866</v>
      </c>
      <c r="C4875" s="21">
        <v>0.85</v>
      </c>
      <c r="D4875" s="20" t="s">
        <v>3047</v>
      </c>
      <c r="E4875" t="s">
        <v>149</v>
      </c>
      <c r="F4875" t="s">
        <v>150</v>
      </c>
      <c r="G4875" t="s">
        <v>169</v>
      </c>
      <c r="H4875">
        <v>5</v>
      </c>
      <c r="I4875">
        <f t="shared" si="78"/>
        <v>7</v>
      </c>
    </row>
    <row r="4876" spans="1:9">
      <c r="A4876" s="1">
        <v>42433.040972222225</v>
      </c>
      <c r="B4876" s="19">
        <v>42866</v>
      </c>
      <c r="C4876" s="21">
        <v>0.76666666666666672</v>
      </c>
      <c r="D4876" s="20" t="s">
        <v>3045</v>
      </c>
      <c r="E4876" t="s">
        <v>0</v>
      </c>
      <c r="F4876" t="s">
        <v>1</v>
      </c>
      <c r="H4876">
        <v>18</v>
      </c>
      <c r="I4876">
        <f t="shared" si="78"/>
        <v>23</v>
      </c>
    </row>
    <row r="4877" spans="1:9">
      <c r="A4877" s="1">
        <v>42433.023611111108</v>
      </c>
      <c r="B4877" s="19">
        <v>42866</v>
      </c>
      <c r="C4877" s="21">
        <v>0.76111111111111107</v>
      </c>
      <c r="D4877" s="20" t="s">
        <v>3045</v>
      </c>
      <c r="E4877" t="s">
        <v>149</v>
      </c>
      <c r="F4877" t="s">
        <v>150</v>
      </c>
      <c r="G4877" t="s">
        <v>171</v>
      </c>
      <c r="H4877" t="e">
        <v>#VALUE!</v>
      </c>
      <c r="I4877" t="e">
        <f t="shared" si="78"/>
        <v>#VALUE!</v>
      </c>
    </row>
    <row r="4878" spans="1:9">
      <c r="A4878" s="1">
        <v>42433.795138888891</v>
      </c>
      <c r="B4878" s="19">
        <v>42866</v>
      </c>
      <c r="C4878" s="21">
        <v>0.67569444444444449</v>
      </c>
      <c r="D4878" s="20" t="s">
        <v>3043</v>
      </c>
      <c r="E4878" t="s">
        <v>0</v>
      </c>
      <c r="F4878" t="s">
        <v>10</v>
      </c>
      <c r="H4878">
        <v>13</v>
      </c>
      <c r="I4878">
        <f t="shared" si="78"/>
        <v>17</v>
      </c>
    </row>
    <row r="4879" spans="1:9">
      <c r="A4879" s="1">
        <v>42433.786805555559</v>
      </c>
      <c r="B4879" s="19">
        <v>42866</v>
      </c>
      <c r="C4879" s="21">
        <v>0.58611111111111114</v>
      </c>
      <c r="D4879" s="20" t="s">
        <v>3040</v>
      </c>
      <c r="E4879" t="s">
        <v>0</v>
      </c>
      <c r="F4879" t="s">
        <v>1</v>
      </c>
      <c r="G4879" t="s">
        <v>9</v>
      </c>
      <c r="H4879">
        <v>13</v>
      </c>
      <c r="I4879">
        <f t="shared" si="78"/>
        <v>17</v>
      </c>
    </row>
    <row r="4880" spans="1:9">
      <c r="A4880" s="1">
        <v>42433.7</v>
      </c>
      <c r="B4880" s="19">
        <v>42866</v>
      </c>
      <c r="C4880" s="21">
        <v>0.45347222222222222</v>
      </c>
      <c r="D4880" s="20" t="s">
        <v>3036</v>
      </c>
      <c r="E4880" t="s">
        <v>0</v>
      </c>
      <c r="F4880" t="s">
        <v>1</v>
      </c>
      <c r="G4880" t="s">
        <v>172</v>
      </c>
      <c r="H4880">
        <v>19</v>
      </c>
      <c r="I4880">
        <f t="shared" si="78"/>
        <v>24</v>
      </c>
    </row>
    <row r="4881" spans="1:9">
      <c r="A4881" s="1">
        <v>42433.511805555558</v>
      </c>
      <c r="B4881" s="19">
        <v>42866</v>
      </c>
      <c r="C4881" s="21">
        <v>0.45</v>
      </c>
      <c r="D4881" s="20" t="s">
        <v>3036</v>
      </c>
      <c r="E4881" t="s">
        <v>149</v>
      </c>
      <c r="F4881" t="s">
        <v>150</v>
      </c>
      <c r="G4881" t="s">
        <v>173</v>
      </c>
      <c r="H4881">
        <v>7</v>
      </c>
      <c r="I4881">
        <f t="shared" si="78"/>
        <v>9</v>
      </c>
    </row>
    <row r="4882" spans="1:9">
      <c r="A4882" s="1">
        <v>42433.429861111108</v>
      </c>
      <c r="B4882" s="19">
        <v>42866</v>
      </c>
      <c r="C4882" s="21">
        <v>0.25347222222222221</v>
      </c>
      <c r="D4882" s="20" t="s">
        <v>3031</v>
      </c>
      <c r="E4882" t="s">
        <v>0</v>
      </c>
      <c r="G4882" t="s">
        <v>32</v>
      </c>
      <c r="H4882">
        <v>13</v>
      </c>
      <c r="I4882">
        <f t="shared" si="78"/>
        <v>17</v>
      </c>
    </row>
    <row r="4883" spans="1:9">
      <c r="A4883" s="1">
        <v>42433.429166666669</v>
      </c>
      <c r="B4883" s="19">
        <v>42867</v>
      </c>
      <c r="C4883" s="21">
        <v>0.96597222222222223</v>
      </c>
      <c r="D4883" s="20" t="s">
        <v>3063</v>
      </c>
      <c r="E4883" t="s">
        <v>2</v>
      </c>
      <c r="F4883" t="s">
        <v>5</v>
      </c>
      <c r="G4883" t="s">
        <v>140</v>
      </c>
      <c r="H4883" t="e">
        <v>#VALUE!</v>
      </c>
      <c r="I4883" t="e">
        <f t="shared" si="78"/>
        <v>#VALUE!</v>
      </c>
    </row>
    <row r="4884" spans="1:9">
      <c r="A4884" s="1">
        <v>42433.23333333333</v>
      </c>
      <c r="B4884" s="19">
        <v>42867</v>
      </c>
      <c r="C4884" s="21">
        <v>0.95694444444444449</v>
      </c>
      <c r="D4884" s="20" t="s">
        <v>3049</v>
      </c>
      <c r="E4884" t="s">
        <v>6</v>
      </c>
      <c r="F4884" t="s">
        <v>15</v>
      </c>
      <c r="G4884" t="s">
        <v>141</v>
      </c>
      <c r="H4884">
        <v>17</v>
      </c>
      <c r="I4884">
        <f t="shared" si="78"/>
        <v>22</v>
      </c>
    </row>
    <row r="4885" spans="1:9">
      <c r="A4885" s="1">
        <v>42433.1875</v>
      </c>
      <c r="B4885" s="19">
        <v>42867</v>
      </c>
      <c r="C4885" s="21">
        <v>0.93194444444444446</v>
      </c>
      <c r="D4885" s="20" t="s">
        <v>3049</v>
      </c>
      <c r="E4885" t="s">
        <v>6</v>
      </c>
      <c r="F4885" t="s">
        <v>21</v>
      </c>
      <c r="G4885" t="s">
        <v>142</v>
      </c>
      <c r="H4885">
        <v>48</v>
      </c>
      <c r="I4885">
        <f t="shared" si="78"/>
        <v>60</v>
      </c>
    </row>
    <row r="4886" spans="1:9">
      <c r="A4886" s="1">
        <v>42433</v>
      </c>
      <c r="B4886" s="19">
        <v>42867</v>
      </c>
      <c r="C4886" s="21">
        <v>0.91666666666666663</v>
      </c>
      <c r="D4886" s="20" t="s">
        <v>3049</v>
      </c>
      <c r="E4886" t="s">
        <v>6</v>
      </c>
      <c r="F4886" t="s">
        <v>15</v>
      </c>
      <c r="G4886" t="s">
        <v>143</v>
      </c>
      <c r="H4886">
        <v>13</v>
      </c>
      <c r="I4886">
        <f t="shared" si="78"/>
        <v>17</v>
      </c>
    </row>
    <row r="4887" spans="1:9">
      <c r="A4887" s="68">
        <v>42432.979861111111</v>
      </c>
      <c r="B4887" s="19">
        <v>42867</v>
      </c>
      <c r="C4887" s="21">
        <v>0.90833333333333333</v>
      </c>
      <c r="D4887" s="20" t="s">
        <v>3048</v>
      </c>
      <c r="E4887" t="s">
        <v>6</v>
      </c>
      <c r="F4887" t="s">
        <v>15</v>
      </c>
      <c r="G4887" t="s">
        <v>147</v>
      </c>
      <c r="H4887">
        <v>25</v>
      </c>
      <c r="I4887">
        <f t="shared" si="78"/>
        <v>31</v>
      </c>
    </row>
    <row r="4888" spans="1:9">
      <c r="A4888" s="1">
        <v>42432.897916666669</v>
      </c>
      <c r="B4888" s="19">
        <v>42867</v>
      </c>
      <c r="C4888" s="21">
        <v>0.87569444444444444</v>
      </c>
      <c r="D4888" s="20" t="s">
        <v>3048</v>
      </c>
      <c r="E4888" t="s">
        <v>6</v>
      </c>
      <c r="F4888" t="s">
        <v>15</v>
      </c>
      <c r="G4888" t="s">
        <v>148</v>
      </c>
      <c r="H4888">
        <v>75</v>
      </c>
      <c r="I4888">
        <f t="shared" si="78"/>
        <v>93</v>
      </c>
    </row>
    <row r="4889" spans="1:9">
      <c r="A4889" s="1">
        <v>42432.883333333331</v>
      </c>
      <c r="B4889" s="19">
        <v>42867</v>
      </c>
      <c r="C4889" s="21">
        <v>0.8354166666666667</v>
      </c>
      <c r="D4889" s="20" t="s">
        <v>3047</v>
      </c>
      <c r="E4889" t="s">
        <v>2</v>
      </c>
      <c r="F4889" t="s">
        <v>5</v>
      </c>
      <c r="H4889">
        <v>75</v>
      </c>
      <c r="I4889">
        <f t="shared" si="78"/>
        <v>93</v>
      </c>
    </row>
    <row r="4890" spans="1:9">
      <c r="A4890" s="1">
        <v>42432.859722222223</v>
      </c>
      <c r="B4890" s="19">
        <v>42867</v>
      </c>
      <c r="C4890" s="21">
        <v>0.8208333333333333</v>
      </c>
      <c r="D4890" s="20" t="s">
        <v>3046</v>
      </c>
      <c r="E4890" t="s">
        <v>2</v>
      </c>
      <c r="F4890" t="s">
        <v>3</v>
      </c>
      <c r="H4890">
        <v>13</v>
      </c>
      <c r="I4890">
        <f t="shared" si="78"/>
        <v>17</v>
      </c>
    </row>
    <row r="4891" spans="1:9">
      <c r="A4891" s="1">
        <v>42432.717361111114</v>
      </c>
      <c r="B4891" s="19">
        <v>42867</v>
      </c>
      <c r="C4891" s="21">
        <v>0.79652777777777772</v>
      </c>
      <c r="D4891" s="20" t="s">
        <v>3046</v>
      </c>
      <c r="E4891" t="s">
        <v>6</v>
      </c>
      <c r="F4891" t="s">
        <v>12</v>
      </c>
      <c r="G4891" t="s">
        <v>152</v>
      </c>
      <c r="H4891">
        <v>38</v>
      </c>
      <c r="I4891">
        <f t="shared" si="78"/>
        <v>48</v>
      </c>
    </row>
    <row r="4892" spans="1:9">
      <c r="A4892" s="1">
        <v>42432.694444444445</v>
      </c>
      <c r="B4892" s="19">
        <v>42867</v>
      </c>
      <c r="C4892" s="21">
        <v>0.69861111111111107</v>
      </c>
      <c r="D4892" s="20" t="s">
        <v>3043</v>
      </c>
      <c r="E4892" t="s">
        <v>6</v>
      </c>
      <c r="F4892" t="s">
        <v>15</v>
      </c>
      <c r="G4892" t="s">
        <v>148</v>
      </c>
      <c r="H4892">
        <v>206</v>
      </c>
      <c r="I4892">
        <f t="shared" si="78"/>
        <v>256</v>
      </c>
    </row>
    <row r="4893" spans="1:9">
      <c r="A4893" s="1">
        <v>42432.662499999999</v>
      </c>
      <c r="B4893" s="19">
        <v>42867</v>
      </c>
      <c r="C4893" s="21">
        <v>0.60972222222222228</v>
      </c>
      <c r="D4893" s="20" t="s">
        <v>3040</v>
      </c>
      <c r="E4893" t="s">
        <v>6</v>
      </c>
      <c r="F4893" t="s">
        <v>26</v>
      </c>
      <c r="G4893" t="s">
        <v>153</v>
      </c>
      <c r="H4893">
        <v>271</v>
      </c>
      <c r="I4893">
        <f t="shared" si="78"/>
        <v>337</v>
      </c>
    </row>
    <row r="4894" spans="1:9">
      <c r="A4894" s="1">
        <v>42432.580555555556</v>
      </c>
      <c r="B4894" s="19">
        <v>42867</v>
      </c>
      <c r="C4894" s="21">
        <v>0.6</v>
      </c>
      <c r="D4894" s="20" t="s">
        <v>3040</v>
      </c>
      <c r="E4894" t="s">
        <v>6</v>
      </c>
      <c r="F4894" t="s">
        <v>15</v>
      </c>
      <c r="G4894" t="s">
        <v>154</v>
      </c>
      <c r="H4894">
        <v>13</v>
      </c>
      <c r="I4894">
        <f t="shared" si="78"/>
        <v>17</v>
      </c>
    </row>
    <row r="4895" spans="1:9">
      <c r="A4895" s="1">
        <v>42432.337500000001</v>
      </c>
      <c r="B4895" s="19">
        <v>42867</v>
      </c>
      <c r="C4895" s="21">
        <v>0.4465277777777778</v>
      </c>
      <c r="D4895" s="20" t="s">
        <v>3036</v>
      </c>
      <c r="E4895" t="s">
        <v>6</v>
      </c>
      <c r="F4895" t="s">
        <v>21</v>
      </c>
      <c r="G4895" t="s">
        <v>157</v>
      </c>
      <c r="H4895">
        <v>13</v>
      </c>
      <c r="I4895">
        <f t="shared" si="78"/>
        <v>17</v>
      </c>
    </row>
    <row r="4896" spans="1:9">
      <c r="A4896" s="1">
        <v>42432.240972222222</v>
      </c>
      <c r="B4896" s="19">
        <v>42867</v>
      </c>
      <c r="C4896" s="21">
        <v>0.27986111111111112</v>
      </c>
      <c r="D4896" s="20" t="s">
        <v>3031</v>
      </c>
      <c r="E4896" t="s">
        <v>6</v>
      </c>
      <c r="F4896" t="s">
        <v>76</v>
      </c>
      <c r="G4896" t="s">
        <v>65</v>
      </c>
      <c r="H4896">
        <v>3</v>
      </c>
      <c r="I4896">
        <f t="shared" si="78"/>
        <v>4</v>
      </c>
    </row>
    <row r="4897" spans="1:9">
      <c r="A4897" s="1">
        <v>42432.166666666664</v>
      </c>
      <c r="B4897" s="19">
        <v>42867</v>
      </c>
      <c r="C4897" s="21">
        <v>0.25208333333333333</v>
      </c>
      <c r="D4897" s="20" t="s">
        <v>3031</v>
      </c>
      <c r="E4897" t="s">
        <v>6</v>
      </c>
      <c r="F4897" t="s">
        <v>21</v>
      </c>
      <c r="G4897" t="s">
        <v>161</v>
      </c>
      <c r="H4897">
        <v>31</v>
      </c>
      <c r="I4897">
        <f t="shared" si="78"/>
        <v>39</v>
      </c>
    </row>
    <row r="4898" spans="1:9">
      <c r="A4898" s="1">
        <v>42432.123611111114</v>
      </c>
      <c r="B4898" s="19">
        <v>42867</v>
      </c>
      <c r="C4898" s="21">
        <v>1.5277777777777777E-2</v>
      </c>
      <c r="D4898" s="20" t="s">
        <v>3050</v>
      </c>
      <c r="E4898" t="s">
        <v>2</v>
      </c>
      <c r="F4898" t="s">
        <v>5</v>
      </c>
      <c r="G4898" t="s">
        <v>162</v>
      </c>
      <c r="H4898">
        <v>2</v>
      </c>
      <c r="I4898">
        <f t="shared" si="78"/>
        <v>3</v>
      </c>
    </row>
    <row r="4899" spans="1:9">
      <c r="A4899" s="1">
        <v>42432.05972222222</v>
      </c>
      <c r="B4899" s="19">
        <v>42867</v>
      </c>
      <c r="C4899" s="21">
        <v>0.92361111111111116</v>
      </c>
      <c r="D4899" s="20" t="s">
        <v>3049</v>
      </c>
      <c r="E4899" t="s">
        <v>0</v>
      </c>
      <c r="G4899" t="s">
        <v>32</v>
      </c>
      <c r="H4899">
        <v>13</v>
      </c>
      <c r="I4899">
        <f t="shared" si="78"/>
        <v>17</v>
      </c>
    </row>
    <row r="4900" spans="1:9">
      <c r="A4900" s="1">
        <v>42432.920138888891</v>
      </c>
      <c r="B4900" s="19">
        <v>42867</v>
      </c>
      <c r="C4900" s="21">
        <v>0.91597222222222219</v>
      </c>
      <c r="D4900" s="20" t="s">
        <v>3048</v>
      </c>
      <c r="E4900" t="s">
        <v>18</v>
      </c>
      <c r="F4900" t="s">
        <v>100</v>
      </c>
      <c r="G4900" t="s">
        <v>144</v>
      </c>
      <c r="H4900" t="e">
        <v>#VALUE!</v>
      </c>
      <c r="I4900" t="e">
        <f t="shared" si="78"/>
        <v>#VALUE!</v>
      </c>
    </row>
    <row r="4901" spans="1:9">
      <c r="A4901" s="1">
        <v>42432.893055555556</v>
      </c>
      <c r="B4901" s="19">
        <v>42867</v>
      </c>
      <c r="C4901" s="21">
        <v>0.91527777777777775</v>
      </c>
      <c r="D4901" s="20" t="s">
        <v>3048</v>
      </c>
      <c r="E4901" t="s">
        <v>0</v>
      </c>
      <c r="F4901" t="s">
        <v>10</v>
      </c>
      <c r="G4901" t="s">
        <v>145</v>
      </c>
      <c r="H4901">
        <v>13</v>
      </c>
      <c r="I4901">
        <f t="shared" si="78"/>
        <v>17</v>
      </c>
    </row>
    <row r="4902" spans="1:9">
      <c r="A4902" s="1">
        <v>42432.82708333333</v>
      </c>
      <c r="B4902" s="19">
        <v>42867</v>
      </c>
      <c r="C4902" s="21">
        <v>0.91249999999999998</v>
      </c>
      <c r="D4902" s="20" t="s">
        <v>3048</v>
      </c>
      <c r="E4902" t="s">
        <v>0</v>
      </c>
      <c r="F4902" t="s">
        <v>10</v>
      </c>
      <c r="G4902" t="s">
        <v>146</v>
      </c>
      <c r="H4902">
        <v>13</v>
      </c>
      <c r="I4902">
        <f t="shared" si="78"/>
        <v>17</v>
      </c>
    </row>
    <row r="4903" spans="1:9">
      <c r="A4903" s="1">
        <v>42432.756944444445</v>
      </c>
      <c r="B4903" s="19">
        <v>42867</v>
      </c>
      <c r="C4903" s="21">
        <v>0.82430555555555551</v>
      </c>
      <c r="D4903" s="20" t="s">
        <v>3046</v>
      </c>
      <c r="E4903" t="s">
        <v>149</v>
      </c>
      <c r="F4903" t="s">
        <v>150</v>
      </c>
      <c r="G4903" t="s">
        <v>151</v>
      </c>
      <c r="H4903">
        <v>19</v>
      </c>
      <c r="I4903">
        <f t="shared" si="78"/>
        <v>24</v>
      </c>
    </row>
    <row r="4904" spans="1:9">
      <c r="A4904" s="1">
        <v>42432.654861111114</v>
      </c>
      <c r="B4904" s="19">
        <v>42867</v>
      </c>
      <c r="C4904" s="21">
        <v>0.58333333333333337</v>
      </c>
      <c r="D4904" s="20" t="s">
        <v>3040</v>
      </c>
      <c r="E4904" t="s">
        <v>0</v>
      </c>
      <c r="F4904" t="s">
        <v>1</v>
      </c>
      <c r="G4904" t="s">
        <v>9</v>
      </c>
      <c r="H4904">
        <v>13</v>
      </c>
      <c r="I4904">
        <f t="shared" si="78"/>
        <v>17</v>
      </c>
    </row>
    <row r="4905" spans="1:9">
      <c r="A4905" s="1">
        <v>42432.588194444441</v>
      </c>
      <c r="B4905" s="19">
        <v>42867</v>
      </c>
      <c r="C4905" s="21">
        <v>0.5131944444444444</v>
      </c>
      <c r="D4905" s="20" t="s">
        <v>3038</v>
      </c>
      <c r="E4905" t="s">
        <v>33</v>
      </c>
      <c r="F4905" t="s">
        <v>155</v>
      </c>
      <c r="G4905" t="s">
        <v>156</v>
      </c>
      <c r="H4905">
        <v>13</v>
      </c>
      <c r="I4905">
        <f t="shared" si="78"/>
        <v>17</v>
      </c>
    </row>
    <row r="4906" spans="1:9">
      <c r="A4906" s="1">
        <v>42432.42083333333</v>
      </c>
      <c r="B4906" s="19">
        <v>42867</v>
      </c>
      <c r="C4906" s="21">
        <v>0.29652777777777778</v>
      </c>
      <c r="D4906" s="20" t="s">
        <v>3033</v>
      </c>
      <c r="E4906" t="s">
        <v>18</v>
      </c>
      <c r="F4906" t="s">
        <v>71</v>
      </c>
      <c r="G4906" t="s">
        <v>158</v>
      </c>
      <c r="H4906" t="e">
        <v>#VALUE!</v>
      </c>
      <c r="I4906" t="e">
        <f t="shared" si="78"/>
        <v>#VALUE!</v>
      </c>
    </row>
    <row r="4907" spans="1:9">
      <c r="A4907" s="1">
        <v>42432.299305555556</v>
      </c>
      <c r="B4907" s="19">
        <v>42867</v>
      </c>
      <c r="C4907" s="21">
        <v>0.29444444444444445</v>
      </c>
      <c r="D4907" s="20" t="s">
        <v>3033</v>
      </c>
      <c r="E4907" t="s">
        <v>77</v>
      </c>
      <c r="F4907" t="s">
        <v>159</v>
      </c>
      <c r="H4907">
        <v>7</v>
      </c>
      <c r="I4907">
        <f t="shared" si="78"/>
        <v>9</v>
      </c>
    </row>
    <row r="4908" spans="1:9">
      <c r="A4908" s="1">
        <v>42432.271527777775</v>
      </c>
      <c r="B4908" s="19">
        <v>42867</v>
      </c>
      <c r="C4908" s="21">
        <v>0.26527777777777778</v>
      </c>
      <c r="D4908" s="20" t="s">
        <v>3031</v>
      </c>
      <c r="E4908" t="s">
        <v>77</v>
      </c>
      <c r="G4908" t="s">
        <v>160</v>
      </c>
      <c r="H4908">
        <v>7</v>
      </c>
      <c r="I4908">
        <f t="shared" si="78"/>
        <v>9</v>
      </c>
    </row>
    <row r="4909" spans="1:9">
      <c r="A4909" s="1">
        <v>42432.182638888888</v>
      </c>
      <c r="B4909" s="19">
        <v>42867</v>
      </c>
      <c r="C4909" s="21">
        <v>0.25277777777777777</v>
      </c>
      <c r="D4909" s="20" t="s">
        <v>3031</v>
      </c>
      <c r="E4909" t="s">
        <v>0</v>
      </c>
      <c r="G4909" t="s">
        <v>32</v>
      </c>
      <c r="H4909">
        <v>13</v>
      </c>
      <c r="I4909">
        <f t="shared" si="78"/>
        <v>17</v>
      </c>
    </row>
    <row r="4910" spans="1:9">
      <c r="A4910" s="1">
        <v>42432.029166666667</v>
      </c>
      <c r="B4910" s="19">
        <v>42868</v>
      </c>
      <c r="C4910" s="21">
        <v>0.18958333333333333</v>
      </c>
      <c r="D4910" s="20" t="s">
        <v>3054</v>
      </c>
      <c r="E4910" t="s">
        <v>2</v>
      </c>
      <c r="F4910" t="s">
        <v>56</v>
      </c>
      <c r="G4910" t="s">
        <v>57</v>
      </c>
      <c r="H4910">
        <v>33</v>
      </c>
      <c r="I4910">
        <f t="shared" si="78"/>
        <v>41</v>
      </c>
    </row>
    <row r="4911" spans="1:9">
      <c r="A4911" s="68">
        <v>42431.972222222219</v>
      </c>
      <c r="B4911" s="19">
        <v>42868</v>
      </c>
      <c r="C4911" s="21">
        <v>0.15555555555555556</v>
      </c>
      <c r="D4911" s="20" t="s">
        <v>3053</v>
      </c>
      <c r="E4911" t="s">
        <v>2</v>
      </c>
      <c r="F4911" t="s">
        <v>5</v>
      </c>
      <c r="G4911" t="s">
        <v>135</v>
      </c>
      <c r="H4911">
        <v>20</v>
      </c>
      <c r="I4911">
        <f t="shared" si="78"/>
        <v>25</v>
      </c>
    </row>
    <row r="4912" spans="1:9">
      <c r="A4912" s="68">
        <v>42431.947222222225</v>
      </c>
      <c r="B4912" s="19">
        <v>42868</v>
      </c>
      <c r="C4912" s="21">
        <v>0.14305555555555555</v>
      </c>
      <c r="D4912" s="20" t="s">
        <v>3053</v>
      </c>
      <c r="E4912" t="s">
        <v>6</v>
      </c>
      <c r="F4912" t="s">
        <v>7</v>
      </c>
      <c r="G4912" t="s">
        <v>136</v>
      </c>
      <c r="H4912">
        <v>23</v>
      </c>
      <c r="I4912">
        <f t="shared" si="78"/>
        <v>29</v>
      </c>
    </row>
    <row r="4913" spans="1:9">
      <c r="A4913" s="68">
        <v>42431.783333333333</v>
      </c>
      <c r="B4913" s="19">
        <v>42868</v>
      </c>
      <c r="C4913" s="21">
        <v>4.3749999999999997E-2</v>
      </c>
      <c r="D4913" s="20" t="s">
        <v>3051</v>
      </c>
      <c r="E4913" t="s">
        <v>6</v>
      </c>
      <c r="F4913" t="s">
        <v>12</v>
      </c>
      <c r="G4913" t="s">
        <v>138</v>
      </c>
      <c r="H4913" t="e">
        <v>#VALUE!</v>
      </c>
      <c r="I4913" t="e">
        <f t="shared" si="78"/>
        <v>#VALUE!</v>
      </c>
    </row>
    <row r="4914" spans="1:9">
      <c r="A4914" s="68">
        <v>42431.674305555556</v>
      </c>
      <c r="B4914" s="19">
        <v>42868</v>
      </c>
      <c r="C4914" s="21">
        <v>0.13819444444444445</v>
      </c>
      <c r="D4914" s="20" t="s">
        <v>3053</v>
      </c>
      <c r="E4914" t="s">
        <v>33</v>
      </c>
      <c r="F4914" t="s">
        <v>44</v>
      </c>
      <c r="G4914" t="s">
        <v>137</v>
      </c>
      <c r="H4914">
        <v>7</v>
      </c>
      <c r="I4914">
        <f t="shared" si="78"/>
        <v>9</v>
      </c>
    </row>
    <row r="4915" spans="1:9">
      <c r="A4915" s="68">
        <v>42431.673611111109</v>
      </c>
      <c r="B4915" s="19">
        <v>42868</v>
      </c>
      <c r="C4915" s="21">
        <v>3.8194444444444448E-2</v>
      </c>
      <c r="D4915" s="20" t="s">
        <v>3050</v>
      </c>
      <c r="E4915" t="s">
        <v>0</v>
      </c>
      <c r="G4915" t="s">
        <v>139</v>
      </c>
      <c r="H4915">
        <v>7</v>
      </c>
      <c r="I4915">
        <f t="shared" si="78"/>
        <v>9</v>
      </c>
    </row>
    <row r="4916" spans="1:9">
      <c r="A4916" s="68">
        <v>42431.659722222219</v>
      </c>
      <c r="B4916" s="19">
        <v>42869</v>
      </c>
      <c r="C4916" s="21">
        <v>0.93680555555555556</v>
      </c>
      <c r="D4916" s="20" t="s">
        <v>3049</v>
      </c>
      <c r="E4916" t="s">
        <v>6</v>
      </c>
      <c r="F4916" t="s">
        <v>12</v>
      </c>
      <c r="G4916" t="s">
        <v>131</v>
      </c>
      <c r="H4916">
        <v>25</v>
      </c>
      <c r="I4916">
        <f t="shared" si="78"/>
        <v>31</v>
      </c>
    </row>
    <row r="4917" spans="1:9">
      <c r="A4917" s="68">
        <v>42431.237500000003</v>
      </c>
      <c r="B4917" s="19">
        <v>42869</v>
      </c>
      <c r="C4917" s="21">
        <v>0.93611111111111112</v>
      </c>
      <c r="D4917" s="20" t="s">
        <v>3049</v>
      </c>
      <c r="E4917" t="s">
        <v>6</v>
      </c>
      <c r="F4917" t="s">
        <v>7</v>
      </c>
      <c r="G4917" t="s">
        <v>132</v>
      </c>
      <c r="H4917">
        <v>7</v>
      </c>
      <c r="I4917">
        <f t="shared" si="78"/>
        <v>9</v>
      </c>
    </row>
    <row r="4918" spans="1:9">
      <c r="A4918" s="68">
        <v>42431.201388888891</v>
      </c>
      <c r="B4918" s="19">
        <v>42869</v>
      </c>
      <c r="C4918" s="21">
        <v>0.92291666666666672</v>
      </c>
      <c r="D4918" s="20" t="s">
        <v>3049</v>
      </c>
      <c r="E4918" t="s">
        <v>6</v>
      </c>
      <c r="F4918" t="s">
        <v>15</v>
      </c>
      <c r="G4918" t="s">
        <v>133</v>
      </c>
      <c r="H4918">
        <v>7</v>
      </c>
      <c r="I4918">
        <f t="shared" si="78"/>
        <v>9</v>
      </c>
    </row>
    <row r="4919" spans="1:9">
      <c r="A4919" s="68">
        <v>42431.095138888886</v>
      </c>
      <c r="B4919" s="19">
        <v>42869</v>
      </c>
      <c r="C4919" s="21">
        <v>0.92152777777777772</v>
      </c>
      <c r="D4919" s="20" t="s">
        <v>3049</v>
      </c>
      <c r="E4919" t="s">
        <v>0</v>
      </c>
      <c r="G4919" t="s">
        <v>134</v>
      </c>
      <c r="H4919">
        <v>25</v>
      </c>
      <c r="I4919">
        <f t="shared" si="78"/>
        <v>31</v>
      </c>
    </row>
    <row r="4920" spans="1:9">
      <c r="A4920" s="68">
        <v>42431.04583333333</v>
      </c>
      <c r="B4920" s="19">
        <v>42870</v>
      </c>
      <c r="C4920" s="21">
        <v>0.5625</v>
      </c>
      <c r="D4920" s="20" t="s">
        <v>3039</v>
      </c>
      <c r="E4920" t="s">
        <v>6</v>
      </c>
      <c r="F4920" t="s">
        <v>26</v>
      </c>
      <c r="G4920" t="s">
        <v>65</v>
      </c>
      <c r="H4920">
        <v>13</v>
      </c>
      <c r="I4920">
        <f t="shared" si="78"/>
        <v>17</v>
      </c>
    </row>
    <row r="4921" spans="1:9">
      <c r="A4921" s="68">
        <v>42431.015277777777</v>
      </c>
      <c r="B4921" s="19">
        <v>42870</v>
      </c>
      <c r="C4921" s="21">
        <v>0.35694444444444445</v>
      </c>
      <c r="D4921" s="20" t="s">
        <v>3034</v>
      </c>
      <c r="E4921" t="s">
        <v>2</v>
      </c>
      <c r="F4921" t="s">
        <v>48</v>
      </c>
      <c r="G4921" t="s">
        <v>125</v>
      </c>
      <c r="H4921" t="e">
        <v>#VALUE!</v>
      </c>
      <c r="I4921" t="e">
        <f t="shared" si="78"/>
        <v>#VALUE!</v>
      </c>
    </row>
    <row r="4922" spans="1:9">
      <c r="A4922" s="68">
        <v>42431.981944444444</v>
      </c>
      <c r="B4922" s="19">
        <v>42870</v>
      </c>
      <c r="C4922" s="21">
        <v>0.28958333333333336</v>
      </c>
      <c r="D4922" s="20" t="s">
        <v>3031</v>
      </c>
      <c r="E4922" t="s">
        <v>6</v>
      </c>
      <c r="F4922" t="s">
        <v>21</v>
      </c>
      <c r="G4922" t="s">
        <v>74</v>
      </c>
      <c r="H4922" t="e">
        <v>#VALUE!</v>
      </c>
      <c r="I4922" t="e">
        <f t="shared" si="78"/>
        <v>#VALUE!</v>
      </c>
    </row>
    <row r="4923" spans="1:9">
      <c r="A4923" s="68">
        <v>42431.961805555555</v>
      </c>
      <c r="B4923" s="19">
        <v>42870</v>
      </c>
      <c r="C4923" s="21">
        <v>3.9583333333333331E-2</v>
      </c>
      <c r="D4923" s="20" t="s">
        <v>3050</v>
      </c>
      <c r="E4923" t="s">
        <v>6</v>
      </c>
      <c r="F4923" t="s">
        <v>15</v>
      </c>
      <c r="G4923" t="s">
        <v>126</v>
      </c>
      <c r="H4923">
        <v>9</v>
      </c>
      <c r="I4923">
        <f t="shared" si="78"/>
        <v>12</v>
      </c>
    </row>
    <row r="4924" spans="1:9">
      <c r="A4924" s="68">
        <v>42431.927777777775</v>
      </c>
      <c r="B4924" s="19">
        <v>42870</v>
      </c>
      <c r="C4924" s="21">
        <v>3.4027777777777775E-2</v>
      </c>
      <c r="D4924" s="20" t="s">
        <v>3050</v>
      </c>
      <c r="E4924" t="s">
        <v>6</v>
      </c>
      <c r="F4924" t="s">
        <v>21</v>
      </c>
      <c r="G4924" t="s">
        <v>127</v>
      </c>
      <c r="H4924" t="e">
        <v>#VALUE!</v>
      </c>
      <c r="I4924" t="e">
        <f t="shared" si="78"/>
        <v>#VALUE!</v>
      </c>
    </row>
    <row r="4925" spans="1:9">
      <c r="A4925" s="68">
        <v>42431.805555555555</v>
      </c>
      <c r="B4925" s="19">
        <v>42870</v>
      </c>
      <c r="C4925" s="21">
        <v>2.9861111111111113E-2</v>
      </c>
      <c r="D4925" s="20" t="s">
        <v>3050</v>
      </c>
      <c r="E4925" t="s">
        <v>2</v>
      </c>
      <c r="F4925" t="s">
        <v>5</v>
      </c>
      <c r="H4925">
        <v>7</v>
      </c>
      <c r="I4925">
        <f t="shared" si="78"/>
        <v>9</v>
      </c>
    </row>
    <row r="4926" spans="1:9">
      <c r="A4926" s="68">
        <v>42431.790972222225</v>
      </c>
      <c r="B4926" s="19">
        <v>42870</v>
      </c>
      <c r="C4926" s="21">
        <v>2.5000000000000001E-2</v>
      </c>
      <c r="D4926" s="20" t="s">
        <v>3050</v>
      </c>
      <c r="E4926" t="s">
        <v>6</v>
      </c>
      <c r="F4926" t="s">
        <v>21</v>
      </c>
      <c r="G4926" t="s">
        <v>128</v>
      </c>
      <c r="H4926">
        <v>8</v>
      </c>
      <c r="I4926">
        <f t="shared" si="78"/>
        <v>10</v>
      </c>
    </row>
    <row r="4927" spans="1:9">
      <c r="A4927" s="68">
        <v>42431.719444444447</v>
      </c>
      <c r="B4927" s="19">
        <v>42870</v>
      </c>
      <c r="C4927" s="21">
        <v>1.7361111111111112E-2</v>
      </c>
      <c r="D4927" s="20" t="s">
        <v>3050</v>
      </c>
      <c r="E4927" t="s">
        <v>2</v>
      </c>
      <c r="F4927" t="s">
        <v>5</v>
      </c>
      <c r="H4927">
        <v>7</v>
      </c>
      <c r="I4927">
        <f t="shared" si="78"/>
        <v>9</v>
      </c>
    </row>
    <row r="4928" spans="1:9">
      <c r="A4928" s="68">
        <v>42431.695138888892</v>
      </c>
      <c r="B4928" s="19">
        <v>42870</v>
      </c>
      <c r="C4928" s="21">
        <v>1.5277777777777777E-2</v>
      </c>
      <c r="D4928" s="20" t="s">
        <v>3050</v>
      </c>
      <c r="E4928" t="s">
        <v>6</v>
      </c>
      <c r="F4928" t="s">
        <v>21</v>
      </c>
      <c r="G4928" t="s">
        <v>129</v>
      </c>
      <c r="H4928">
        <v>4</v>
      </c>
      <c r="I4928">
        <f t="shared" si="78"/>
        <v>5</v>
      </c>
    </row>
    <row r="4929" spans="1:9">
      <c r="A4929" s="68">
        <v>42431.660416666666</v>
      </c>
      <c r="B4929" s="19">
        <v>42870</v>
      </c>
      <c r="C4929" s="21">
        <v>8.3333333333333332E-3</v>
      </c>
      <c r="D4929" s="20" t="s">
        <v>3050</v>
      </c>
      <c r="E4929" t="s">
        <v>6</v>
      </c>
      <c r="F4929" t="s">
        <v>7</v>
      </c>
      <c r="G4929" t="s">
        <v>130</v>
      </c>
      <c r="H4929">
        <v>13</v>
      </c>
      <c r="I4929">
        <f t="shared" si="78"/>
        <v>17</v>
      </c>
    </row>
    <row r="4930" spans="1:9">
      <c r="A4930" s="68">
        <v>42431.375694444447</v>
      </c>
      <c r="B4930" s="19">
        <v>42870</v>
      </c>
      <c r="C4930" s="21">
        <v>0.91736111111111107</v>
      </c>
      <c r="D4930" s="20" t="s">
        <v>3049</v>
      </c>
      <c r="E4930" t="s">
        <v>0</v>
      </c>
      <c r="G4930" t="s">
        <v>32</v>
      </c>
      <c r="H4930">
        <v>13</v>
      </c>
      <c r="I4930">
        <f t="shared" si="78"/>
        <v>17</v>
      </c>
    </row>
    <row r="4931" spans="1:9">
      <c r="A4931" s="68">
        <v>42431.31527777778</v>
      </c>
      <c r="B4931" s="19">
        <v>42870</v>
      </c>
      <c r="C4931" s="21">
        <v>0.59166666666666667</v>
      </c>
      <c r="D4931" s="20" t="s">
        <v>3040</v>
      </c>
      <c r="E4931" t="s">
        <v>18</v>
      </c>
      <c r="F4931" t="s">
        <v>100</v>
      </c>
      <c r="G4931" t="s">
        <v>124</v>
      </c>
      <c r="H4931" t="e">
        <v>#VALUE!</v>
      </c>
      <c r="I4931" t="e">
        <f t="shared" ref="I4931:I4994" si="79">ROUNDUP((H4931*1.24), 0)</f>
        <v>#VALUE!</v>
      </c>
    </row>
    <row r="4932" spans="1:9">
      <c r="A4932" s="68">
        <v>42431.052777777775</v>
      </c>
      <c r="B4932" s="19">
        <v>42870</v>
      </c>
      <c r="C4932" s="21">
        <v>0.5854166666666667</v>
      </c>
      <c r="D4932" s="20" t="s">
        <v>3040</v>
      </c>
      <c r="E4932" t="s">
        <v>0</v>
      </c>
      <c r="G4932" t="s">
        <v>32</v>
      </c>
      <c r="H4932">
        <v>13</v>
      </c>
      <c r="I4932">
        <f t="shared" si="79"/>
        <v>17</v>
      </c>
    </row>
    <row r="4933" spans="1:9">
      <c r="A4933" s="68">
        <v>42431.041666666664</v>
      </c>
      <c r="B4933" s="19">
        <v>42870</v>
      </c>
      <c r="C4933" s="21">
        <v>0.45902777777777776</v>
      </c>
      <c r="D4933" s="20" t="s">
        <v>3037</v>
      </c>
      <c r="E4933" t="s">
        <v>18</v>
      </c>
      <c r="F4933" t="s">
        <v>19</v>
      </c>
      <c r="H4933">
        <v>13</v>
      </c>
      <c r="I4933">
        <f t="shared" si="79"/>
        <v>17</v>
      </c>
    </row>
    <row r="4934" spans="1:9">
      <c r="A4934" s="68">
        <v>42431.006249999999</v>
      </c>
      <c r="B4934" s="19">
        <v>42870</v>
      </c>
      <c r="C4934" s="21">
        <v>0.25069444444444444</v>
      </c>
      <c r="D4934" s="20" t="s">
        <v>3031</v>
      </c>
      <c r="E4934" t="s">
        <v>0</v>
      </c>
      <c r="F4934" t="s">
        <v>1</v>
      </c>
      <c r="G4934" t="s">
        <v>9</v>
      </c>
      <c r="H4934">
        <v>38</v>
      </c>
      <c r="I4934">
        <f t="shared" si="79"/>
        <v>48</v>
      </c>
    </row>
    <row r="4935" spans="1:9">
      <c r="A4935" s="68">
        <v>42430.989583333336</v>
      </c>
      <c r="B4935" s="19">
        <v>42871</v>
      </c>
      <c r="C4935" s="21">
        <v>0.97638888888888886</v>
      </c>
      <c r="D4935" s="20" t="s">
        <v>3063</v>
      </c>
      <c r="E4935" t="s">
        <v>2</v>
      </c>
      <c r="F4935" t="s">
        <v>5</v>
      </c>
      <c r="H4935">
        <v>87</v>
      </c>
      <c r="I4935">
        <f t="shared" si="79"/>
        <v>108</v>
      </c>
    </row>
    <row r="4936" spans="1:9">
      <c r="A4936" s="68">
        <v>42430.950694444444</v>
      </c>
      <c r="B4936" s="19">
        <v>42871</v>
      </c>
      <c r="C4936" s="21">
        <v>0.96111111111111114</v>
      </c>
      <c r="D4936" s="20" t="s">
        <v>3063</v>
      </c>
      <c r="E4936" t="s">
        <v>6</v>
      </c>
      <c r="F4936" t="s">
        <v>15</v>
      </c>
      <c r="G4936" t="s">
        <v>115</v>
      </c>
      <c r="H4936">
        <v>28</v>
      </c>
      <c r="I4936">
        <f t="shared" si="79"/>
        <v>35</v>
      </c>
    </row>
    <row r="4937" spans="1:9">
      <c r="A4937" s="68">
        <v>42430.893750000003</v>
      </c>
      <c r="B4937" s="19">
        <v>42871</v>
      </c>
      <c r="C4937" s="21">
        <v>0.71111111111111114</v>
      </c>
      <c r="D4937" s="20" t="s">
        <v>3044</v>
      </c>
      <c r="E4937" t="s">
        <v>6</v>
      </c>
      <c r="F4937" t="s">
        <v>21</v>
      </c>
      <c r="G4937" t="s">
        <v>116</v>
      </c>
      <c r="H4937" t="e">
        <v>#VALUE!</v>
      </c>
      <c r="I4937" t="e">
        <f t="shared" si="79"/>
        <v>#VALUE!</v>
      </c>
    </row>
    <row r="4938" spans="1:9">
      <c r="A4938" s="68">
        <v>42430.880555555559</v>
      </c>
      <c r="B4938" s="19">
        <v>42871</v>
      </c>
      <c r="C4938" s="21">
        <v>0.59583333333333333</v>
      </c>
      <c r="D4938" s="20" t="s">
        <v>3040</v>
      </c>
      <c r="E4938" t="s">
        <v>6</v>
      </c>
      <c r="F4938" t="s">
        <v>15</v>
      </c>
      <c r="G4938" t="s">
        <v>118</v>
      </c>
      <c r="H4938" t="e">
        <v>#VALUE!</v>
      </c>
      <c r="I4938" t="e">
        <f t="shared" si="79"/>
        <v>#VALUE!</v>
      </c>
    </row>
    <row r="4939" spans="1:9">
      <c r="A4939" s="68">
        <v>42430.861111111109</v>
      </c>
      <c r="B4939" s="19">
        <v>42871</v>
      </c>
      <c r="C4939" s="21">
        <v>0.52430555555555558</v>
      </c>
      <c r="D4939" s="20" t="s">
        <v>3038</v>
      </c>
      <c r="E4939" t="s">
        <v>6</v>
      </c>
      <c r="F4939" t="s">
        <v>15</v>
      </c>
      <c r="G4939" t="s">
        <v>119</v>
      </c>
      <c r="H4939">
        <v>19</v>
      </c>
      <c r="I4939">
        <f t="shared" si="79"/>
        <v>24</v>
      </c>
    </row>
    <row r="4940" spans="1:9">
      <c r="A4940" s="68">
        <v>42430.773611111108</v>
      </c>
      <c r="B4940" s="19">
        <v>42871</v>
      </c>
      <c r="C4940" s="21">
        <v>0.51111111111111107</v>
      </c>
      <c r="D4940" s="20" t="s">
        <v>3038</v>
      </c>
      <c r="E4940" t="s">
        <v>6</v>
      </c>
      <c r="F4940" t="s">
        <v>76</v>
      </c>
      <c r="G4940" t="s">
        <v>65</v>
      </c>
      <c r="H4940">
        <v>7</v>
      </c>
      <c r="I4940">
        <f t="shared" si="79"/>
        <v>9</v>
      </c>
    </row>
    <row r="4941" spans="1:9">
      <c r="A4941" s="68">
        <v>42430.695833333331</v>
      </c>
      <c r="B4941" s="19">
        <v>42871</v>
      </c>
      <c r="C4941" s="21">
        <v>0.46527777777777779</v>
      </c>
      <c r="D4941" s="20" t="s">
        <v>3037</v>
      </c>
      <c r="E4941" t="s">
        <v>6</v>
      </c>
      <c r="F4941" t="s">
        <v>76</v>
      </c>
      <c r="G4941" t="s">
        <v>65</v>
      </c>
      <c r="H4941">
        <v>7</v>
      </c>
      <c r="I4941">
        <f t="shared" si="79"/>
        <v>9</v>
      </c>
    </row>
    <row r="4942" spans="1:9">
      <c r="A4942" s="68">
        <v>42430.670138888891</v>
      </c>
      <c r="B4942" s="19">
        <v>42871</v>
      </c>
      <c r="C4942" s="21">
        <v>0.38472222222222224</v>
      </c>
      <c r="D4942" s="20" t="s">
        <v>3035</v>
      </c>
      <c r="E4942" t="s">
        <v>6</v>
      </c>
      <c r="F4942" t="s">
        <v>7</v>
      </c>
      <c r="G4942" t="s">
        <v>120</v>
      </c>
      <c r="H4942">
        <v>7</v>
      </c>
      <c r="I4942">
        <f t="shared" si="79"/>
        <v>9</v>
      </c>
    </row>
    <row r="4943" spans="1:9">
      <c r="A4943" s="68">
        <v>42430.661805555559</v>
      </c>
      <c r="B4943" s="19">
        <v>42871</v>
      </c>
      <c r="C4943" s="21">
        <v>0.35486111111111113</v>
      </c>
      <c r="D4943" s="20" t="s">
        <v>3034</v>
      </c>
      <c r="E4943" t="s">
        <v>6</v>
      </c>
      <c r="F4943" t="s">
        <v>76</v>
      </c>
      <c r="G4943" t="s">
        <v>120</v>
      </c>
      <c r="H4943">
        <v>7</v>
      </c>
      <c r="I4943">
        <f t="shared" si="79"/>
        <v>9</v>
      </c>
    </row>
    <row r="4944" spans="1:9">
      <c r="A4944" s="68">
        <v>42430.651388888888</v>
      </c>
      <c r="B4944" s="19">
        <v>42871</v>
      </c>
      <c r="C4944" s="21">
        <v>0.32916666666666666</v>
      </c>
      <c r="D4944" s="20" t="s">
        <v>3033</v>
      </c>
      <c r="E4944" t="s">
        <v>2</v>
      </c>
      <c r="F4944" t="s">
        <v>48</v>
      </c>
      <c r="H4944">
        <v>7</v>
      </c>
      <c r="I4944">
        <f t="shared" si="79"/>
        <v>9</v>
      </c>
    </row>
    <row r="4945" spans="1:9">
      <c r="A4945" s="68">
        <v>42430.648611111108</v>
      </c>
      <c r="B4945" s="19">
        <v>42871</v>
      </c>
      <c r="C4945" s="21">
        <v>0.32847222222222222</v>
      </c>
      <c r="D4945" s="20" t="s">
        <v>3033</v>
      </c>
      <c r="E4945" t="s">
        <v>2</v>
      </c>
      <c r="F4945" t="s">
        <v>5</v>
      </c>
      <c r="H4945">
        <v>7</v>
      </c>
      <c r="I4945">
        <f t="shared" si="79"/>
        <v>9</v>
      </c>
    </row>
    <row r="4946" spans="1:9">
      <c r="A4946" s="68">
        <v>42430.243055555555</v>
      </c>
      <c r="B4946" s="19">
        <v>42871</v>
      </c>
      <c r="C4946" s="21">
        <v>0.31319444444444444</v>
      </c>
      <c r="D4946" s="20" t="s">
        <v>3033</v>
      </c>
      <c r="E4946" t="s">
        <v>6</v>
      </c>
      <c r="F4946" t="s">
        <v>12</v>
      </c>
      <c r="G4946" t="s">
        <v>121</v>
      </c>
      <c r="H4946">
        <v>7</v>
      </c>
      <c r="I4946">
        <f t="shared" si="79"/>
        <v>9</v>
      </c>
    </row>
    <row r="4947" spans="1:9">
      <c r="A4947" s="68">
        <v>42430.213888888888</v>
      </c>
      <c r="B4947" s="19">
        <v>42871</v>
      </c>
      <c r="C4947" s="21">
        <v>0.27569444444444446</v>
      </c>
      <c r="D4947" s="20" t="s">
        <v>3031</v>
      </c>
      <c r="E4947" t="s">
        <v>6</v>
      </c>
      <c r="F4947" t="s">
        <v>12</v>
      </c>
      <c r="G4947" t="s">
        <v>121</v>
      </c>
      <c r="H4947">
        <v>7</v>
      </c>
      <c r="I4947">
        <f t="shared" si="79"/>
        <v>9</v>
      </c>
    </row>
    <row r="4948" spans="1:9">
      <c r="A4948" s="68">
        <v>42430.17083333333</v>
      </c>
      <c r="B4948" s="19">
        <v>42871</v>
      </c>
      <c r="C4948" s="21">
        <v>0.25069444444444444</v>
      </c>
      <c r="D4948" s="20" t="s">
        <v>3031</v>
      </c>
      <c r="E4948" t="s">
        <v>6</v>
      </c>
      <c r="F4948" t="s">
        <v>21</v>
      </c>
      <c r="G4948" t="s">
        <v>122</v>
      </c>
      <c r="H4948">
        <v>149</v>
      </c>
      <c r="I4948">
        <f t="shared" si="79"/>
        <v>185</v>
      </c>
    </row>
    <row r="4949" spans="1:9">
      <c r="A4949" s="68">
        <v>42430.033333333333</v>
      </c>
      <c r="B4949" s="19">
        <v>42871</v>
      </c>
      <c r="C4949" s="21">
        <v>0.22847222222222222</v>
      </c>
      <c r="D4949" s="20" t="s">
        <v>3055</v>
      </c>
      <c r="E4949" t="s">
        <v>6</v>
      </c>
      <c r="F4949" t="s">
        <v>15</v>
      </c>
      <c r="G4949" t="s">
        <v>123</v>
      </c>
      <c r="H4949">
        <v>7</v>
      </c>
      <c r="I4949">
        <f t="shared" si="79"/>
        <v>9</v>
      </c>
    </row>
    <row r="4950" spans="1:9">
      <c r="A4950" s="68">
        <v>42430.972222222219</v>
      </c>
      <c r="B4950" s="19">
        <v>42871</v>
      </c>
      <c r="C4950" s="21">
        <v>0.22430555555555556</v>
      </c>
      <c r="D4950" s="20" t="s">
        <v>3055</v>
      </c>
      <c r="E4950" t="s">
        <v>6</v>
      </c>
      <c r="F4950" t="s">
        <v>26</v>
      </c>
      <c r="G4950" t="s">
        <v>65</v>
      </c>
      <c r="H4950">
        <v>7</v>
      </c>
      <c r="I4950">
        <f t="shared" si="79"/>
        <v>9</v>
      </c>
    </row>
    <row r="4951" spans="1:9">
      <c r="A4951" s="68">
        <v>42430.87777777778</v>
      </c>
      <c r="B4951" s="19">
        <v>42871</v>
      </c>
      <c r="C4951" s="21">
        <v>0.91597222222222219</v>
      </c>
      <c r="D4951" s="20" t="s">
        <v>3048</v>
      </c>
      <c r="E4951" t="s">
        <v>0</v>
      </c>
      <c r="G4951" t="s">
        <v>32</v>
      </c>
      <c r="H4951">
        <v>13</v>
      </c>
      <c r="I4951">
        <f t="shared" si="79"/>
        <v>17</v>
      </c>
    </row>
    <row r="4952" spans="1:9">
      <c r="A4952" s="68">
        <v>42430.844444444447</v>
      </c>
      <c r="B4952" s="19">
        <v>42871</v>
      </c>
      <c r="C4952" s="21">
        <v>0.59861111111111109</v>
      </c>
      <c r="D4952" s="20" t="s">
        <v>3040</v>
      </c>
      <c r="E4952" t="s">
        <v>18</v>
      </c>
      <c r="F4952" t="s">
        <v>100</v>
      </c>
      <c r="G4952" t="s">
        <v>117</v>
      </c>
      <c r="H4952" t="e">
        <v>#VALUE!</v>
      </c>
      <c r="I4952" t="e">
        <f t="shared" si="79"/>
        <v>#VALUE!</v>
      </c>
    </row>
    <row r="4953" spans="1:9">
      <c r="A4953" s="68">
        <v>42430.807638888888</v>
      </c>
      <c r="B4953" s="19">
        <v>42871</v>
      </c>
      <c r="C4953" s="21">
        <v>0.58263888888888893</v>
      </c>
      <c r="D4953" s="20" t="s">
        <v>3039</v>
      </c>
      <c r="E4953" t="s">
        <v>0</v>
      </c>
      <c r="G4953" t="s">
        <v>32</v>
      </c>
      <c r="H4953">
        <v>13</v>
      </c>
      <c r="I4953">
        <f t="shared" si="79"/>
        <v>17</v>
      </c>
    </row>
    <row r="4954" spans="1:9">
      <c r="A4954" s="68">
        <v>42430.802083333336</v>
      </c>
      <c r="B4954" s="19">
        <v>42871</v>
      </c>
      <c r="C4954" s="21">
        <v>0.25069444444444444</v>
      </c>
      <c r="D4954" s="20" t="s">
        <v>3031</v>
      </c>
      <c r="E4954" t="s">
        <v>0</v>
      </c>
      <c r="F4954" t="s">
        <v>1</v>
      </c>
      <c r="G4954" t="s">
        <v>9</v>
      </c>
      <c r="H4954">
        <v>13</v>
      </c>
      <c r="I4954">
        <f t="shared" si="79"/>
        <v>17</v>
      </c>
    </row>
    <row r="4955" spans="1:9">
      <c r="A4955" s="68">
        <v>42430.801388888889</v>
      </c>
      <c r="B4955" s="19">
        <v>42872</v>
      </c>
      <c r="C4955" s="21">
        <v>0.81736111111111109</v>
      </c>
      <c r="D4955" s="20" t="s">
        <v>3046</v>
      </c>
      <c r="E4955" t="s">
        <v>6</v>
      </c>
      <c r="F4955" t="s">
        <v>21</v>
      </c>
      <c r="G4955" t="s">
        <v>98</v>
      </c>
      <c r="H4955">
        <v>8</v>
      </c>
      <c r="I4955">
        <f t="shared" si="79"/>
        <v>10</v>
      </c>
    </row>
    <row r="4956" spans="1:9">
      <c r="A4956" s="68">
        <v>42430.786805555559</v>
      </c>
      <c r="B4956" s="19">
        <v>42872</v>
      </c>
      <c r="C4956" s="21">
        <v>0.77986111111111112</v>
      </c>
      <c r="D4956" s="20" t="s">
        <v>3045</v>
      </c>
      <c r="E4956" t="s">
        <v>6</v>
      </c>
      <c r="F4956" t="s">
        <v>76</v>
      </c>
      <c r="G4956" t="s">
        <v>99</v>
      </c>
      <c r="H4956" t="e">
        <v>#VALUE!</v>
      </c>
      <c r="I4956" t="e">
        <f t="shared" si="79"/>
        <v>#VALUE!</v>
      </c>
    </row>
    <row r="4957" spans="1:9">
      <c r="A4957" s="68">
        <v>42430.727083333331</v>
      </c>
      <c r="B4957" s="19">
        <v>42872</v>
      </c>
      <c r="C4957" s="21">
        <v>0.59722222222222221</v>
      </c>
      <c r="D4957" s="20" t="s">
        <v>3040</v>
      </c>
      <c r="E4957" t="s">
        <v>6</v>
      </c>
      <c r="F4957" t="s">
        <v>76</v>
      </c>
      <c r="G4957" t="s">
        <v>99</v>
      </c>
      <c r="H4957" t="e">
        <v>#VALUE!</v>
      </c>
      <c r="I4957" t="e">
        <f t="shared" si="79"/>
        <v>#VALUE!</v>
      </c>
    </row>
    <row r="4958" spans="1:9">
      <c r="A4958" s="68">
        <v>42430.723611111112</v>
      </c>
      <c r="B4958" s="19">
        <v>42872</v>
      </c>
      <c r="C4958" s="21">
        <v>0.56597222222222221</v>
      </c>
      <c r="D4958" s="20" t="s">
        <v>3039</v>
      </c>
      <c r="E4958" t="s">
        <v>2</v>
      </c>
      <c r="F4958" t="s">
        <v>48</v>
      </c>
      <c r="G4958" t="s">
        <v>102</v>
      </c>
      <c r="H4958">
        <v>19</v>
      </c>
      <c r="I4958">
        <f t="shared" si="79"/>
        <v>24</v>
      </c>
    </row>
    <row r="4959" spans="1:9">
      <c r="A4959" s="68">
        <v>42430.72152777778</v>
      </c>
      <c r="B4959" s="19">
        <v>42872</v>
      </c>
      <c r="C4959" s="21">
        <v>0.50624999999999998</v>
      </c>
      <c r="D4959" s="20" t="s">
        <v>3038</v>
      </c>
      <c r="E4959" t="s">
        <v>2</v>
      </c>
      <c r="F4959" t="s">
        <v>48</v>
      </c>
      <c r="G4959" t="s">
        <v>102</v>
      </c>
      <c r="H4959">
        <v>75</v>
      </c>
      <c r="I4959">
        <f t="shared" si="79"/>
        <v>93</v>
      </c>
    </row>
    <row r="4960" spans="1:9">
      <c r="A4960" s="68">
        <v>42430.672222222223</v>
      </c>
      <c r="B4960" s="19">
        <v>42872</v>
      </c>
      <c r="C4960" s="21">
        <v>0.43611111111111112</v>
      </c>
      <c r="D4960" s="20" t="s">
        <v>3036</v>
      </c>
      <c r="E4960" t="s">
        <v>6</v>
      </c>
      <c r="F4960" t="s">
        <v>15</v>
      </c>
      <c r="G4960" t="s">
        <v>103</v>
      </c>
      <c r="H4960">
        <v>9</v>
      </c>
      <c r="I4960">
        <f t="shared" si="79"/>
        <v>12</v>
      </c>
    </row>
    <row r="4961" spans="1:9">
      <c r="A4961" s="68">
        <v>42430.634027777778</v>
      </c>
      <c r="B4961" s="19">
        <v>42872</v>
      </c>
      <c r="C4961" s="21">
        <v>0.42986111111111114</v>
      </c>
      <c r="D4961" s="20" t="s">
        <v>3036</v>
      </c>
      <c r="E4961" t="s">
        <v>6</v>
      </c>
      <c r="F4961" t="s">
        <v>15</v>
      </c>
      <c r="G4961" t="s">
        <v>104</v>
      </c>
      <c r="H4961">
        <v>25</v>
      </c>
      <c r="I4961">
        <f t="shared" si="79"/>
        <v>31</v>
      </c>
    </row>
    <row r="4962" spans="1:9">
      <c r="A4962" s="68">
        <v>42430.629861111112</v>
      </c>
      <c r="B4962" s="19">
        <v>42872</v>
      </c>
      <c r="C4962" s="21">
        <v>0.41736111111111113</v>
      </c>
      <c r="D4962" s="20" t="s">
        <v>3036</v>
      </c>
      <c r="E4962" t="s">
        <v>6</v>
      </c>
      <c r="F4962" t="s">
        <v>76</v>
      </c>
      <c r="G4962" t="s">
        <v>65</v>
      </c>
      <c r="H4962">
        <v>7</v>
      </c>
      <c r="I4962">
        <f t="shared" si="79"/>
        <v>9</v>
      </c>
    </row>
    <row r="4963" spans="1:9">
      <c r="A4963" s="68">
        <v>42430.421527777777</v>
      </c>
      <c r="B4963" s="19">
        <v>42872</v>
      </c>
      <c r="C4963" s="21">
        <v>0.33958333333333335</v>
      </c>
      <c r="D4963" s="20" t="s">
        <v>3034</v>
      </c>
      <c r="E4963" t="s">
        <v>2</v>
      </c>
      <c r="F4963" t="s">
        <v>56</v>
      </c>
      <c r="G4963" t="s">
        <v>105</v>
      </c>
      <c r="H4963">
        <v>137</v>
      </c>
      <c r="I4963">
        <f t="shared" si="79"/>
        <v>170</v>
      </c>
    </row>
    <row r="4964" spans="1:9">
      <c r="A4964" s="68">
        <v>42430.376388888886</v>
      </c>
      <c r="B4964" s="19">
        <v>42872</v>
      </c>
      <c r="C4964" s="21">
        <v>0.32430555555555557</v>
      </c>
      <c r="D4964" s="20" t="s">
        <v>3033</v>
      </c>
      <c r="E4964" t="s">
        <v>2</v>
      </c>
      <c r="F4964" t="s">
        <v>5</v>
      </c>
      <c r="H4964">
        <v>7</v>
      </c>
      <c r="I4964">
        <f t="shared" si="79"/>
        <v>9</v>
      </c>
    </row>
    <row r="4965" spans="1:9">
      <c r="A4965" s="68">
        <v>42430.361805555556</v>
      </c>
      <c r="B4965" s="19">
        <v>42872</v>
      </c>
      <c r="C4965" s="21">
        <v>0.32361111111111113</v>
      </c>
      <c r="D4965" s="20" t="s">
        <v>3033</v>
      </c>
      <c r="E4965" t="s">
        <v>2</v>
      </c>
      <c r="F4965" t="s">
        <v>48</v>
      </c>
      <c r="G4965" t="s">
        <v>106</v>
      </c>
      <c r="H4965">
        <v>13</v>
      </c>
      <c r="I4965">
        <f t="shared" si="79"/>
        <v>17</v>
      </c>
    </row>
    <row r="4966" spans="1:9">
      <c r="A4966" s="68">
        <v>42430.214583333334</v>
      </c>
      <c r="B4966" s="19">
        <v>42872</v>
      </c>
      <c r="C4966" s="21">
        <v>0.25763888888888886</v>
      </c>
      <c r="D4966" s="20" t="s">
        <v>3031</v>
      </c>
      <c r="E4966" t="s">
        <v>6</v>
      </c>
      <c r="F4966" t="s">
        <v>15</v>
      </c>
      <c r="G4966" t="s">
        <v>108</v>
      </c>
      <c r="H4966">
        <v>298</v>
      </c>
      <c r="I4966">
        <f t="shared" si="79"/>
        <v>370</v>
      </c>
    </row>
    <row r="4967" spans="1:9">
      <c r="A4967" s="68">
        <v>42428.988194444442</v>
      </c>
      <c r="B4967" s="19">
        <v>42872</v>
      </c>
      <c r="C4967" s="21">
        <v>0.21319444444444444</v>
      </c>
      <c r="D4967" s="20" t="s">
        <v>3055</v>
      </c>
      <c r="E4967" t="s">
        <v>6</v>
      </c>
      <c r="F4967" t="s">
        <v>15</v>
      </c>
      <c r="G4967" t="s">
        <v>110</v>
      </c>
      <c r="H4967">
        <v>13</v>
      </c>
      <c r="I4967">
        <f t="shared" si="79"/>
        <v>17</v>
      </c>
    </row>
    <row r="4968" spans="1:9">
      <c r="A4968" s="68">
        <v>42428.852777777778</v>
      </c>
      <c r="B4968" s="19">
        <v>42872</v>
      </c>
      <c r="C4968" s="21">
        <v>0.16250000000000001</v>
      </c>
      <c r="D4968" s="20" t="s">
        <v>3053</v>
      </c>
      <c r="E4968" t="s">
        <v>2</v>
      </c>
      <c r="F4968" t="s">
        <v>5</v>
      </c>
      <c r="G4968" t="s">
        <v>111</v>
      </c>
      <c r="H4968">
        <v>75</v>
      </c>
      <c r="I4968">
        <f t="shared" si="79"/>
        <v>93</v>
      </c>
    </row>
    <row r="4969" spans="1:9">
      <c r="A4969" s="68">
        <v>42428.822222222225</v>
      </c>
      <c r="B4969" s="19">
        <v>42872</v>
      </c>
      <c r="C4969" s="21">
        <v>0.12569444444444444</v>
      </c>
      <c r="D4969" s="20" t="s">
        <v>3053</v>
      </c>
      <c r="E4969" t="s">
        <v>6</v>
      </c>
      <c r="F4969" t="s">
        <v>15</v>
      </c>
      <c r="G4969" t="s">
        <v>112</v>
      </c>
      <c r="H4969">
        <v>75</v>
      </c>
      <c r="I4969">
        <f t="shared" si="79"/>
        <v>93</v>
      </c>
    </row>
    <row r="4970" spans="1:9">
      <c r="A4970" s="68">
        <v>42428.819444444445</v>
      </c>
      <c r="B4970" s="19">
        <v>42872</v>
      </c>
      <c r="C4970" s="21">
        <v>7.9861111111111105E-2</v>
      </c>
      <c r="D4970" s="20" t="s">
        <v>3051</v>
      </c>
      <c r="E4970" t="s">
        <v>2</v>
      </c>
      <c r="F4970" t="s">
        <v>5</v>
      </c>
      <c r="G4970" t="s">
        <v>113</v>
      </c>
      <c r="H4970">
        <v>2</v>
      </c>
      <c r="I4970">
        <f t="shared" si="79"/>
        <v>3</v>
      </c>
    </row>
    <row r="4971" spans="1:9">
      <c r="A4971" s="68">
        <v>42428.818749999999</v>
      </c>
      <c r="B4971" s="19">
        <v>42872</v>
      </c>
      <c r="C4971" s="21">
        <v>4.3055555555555555E-2</v>
      </c>
      <c r="D4971" s="20" t="s">
        <v>3051</v>
      </c>
      <c r="E4971" t="s">
        <v>6</v>
      </c>
      <c r="F4971" t="s">
        <v>15</v>
      </c>
      <c r="G4971" t="s">
        <v>114</v>
      </c>
      <c r="H4971">
        <v>2</v>
      </c>
      <c r="I4971">
        <f t="shared" si="79"/>
        <v>3</v>
      </c>
    </row>
    <row r="4972" spans="1:9">
      <c r="A4972" s="68">
        <v>42428.801388888889</v>
      </c>
      <c r="B4972" s="19">
        <v>42872</v>
      </c>
      <c r="C4972" s="21">
        <v>0.58680555555555558</v>
      </c>
      <c r="D4972" s="20" t="s">
        <v>3040</v>
      </c>
      <c r="E4972" t="s">
        <v>18</v>
      </c>
      <c r="F4972" t="s">
        <v>100</v>
      </c>
      <c r="G4972" t="s">
        <v>101</v>
      </c>
      <c r="H4972" t="e">
        <v>#VALUE!</v>
      </c>
      <c r="I4972" t="e">
        <f t="shared" si="79"/>
        <v>#VALUE!</v>
      </c>
    </row>
    <row r="4973" spans="1:9">
      <c r="A4973" s="68">
        <v>42428.586111111108</v>
      </c>
      <c r="B4973" s="19">
        <v>42872</v>
      </c>
      <c r="C4973" s="21">
        <v>0.58194444444444449</v>
      </c>
      <c r="D4973" s="20" t="s">
        <v>3039</v>
      </c>
      <c r="E4973" t="s">
        <v>0</v>
      </c>
      <c r="G4973" t="s">
        <v>32</v>
      </c>
      <c r="H4973">
        <v>13</v>
      </c>
      <c r="I4973">
        <f t="shared" si="79"/>
        <v>17</v>
      </c>
    </row>
    <row r="4974" spans="1:9">
      <c r="A4974" s="68">
        <v>42428.584027777775</v>
      </c>
      <c r="B4974" s="19">
        <v>42872</v>
      </c>
      <c r="C4974" s="21">
        <v>0.34097222222222223</v>
      </c>
      <c r="D4974" s="20" t="s">
        <v>3034</v>
      </c>
      <c r="H4974">
        <v>0</v>
      </c>
      <c r="I4974">
        <f t="shared" si="79"/>
        <v>0</v>
      </c>
    </row>
    <row r="4975" spans="1:9">
      <c r="A4975" s="68">
        <v>42428.270138888889</v>
      </c>
      <c r="B4975" s="19">
        <v>42872</v>
      </c>
      <c r="C4975" s="21">
        <v>0.29236111111111113</v>
      </c>
      <c r="D4975" s="20" t="s">
        <v>3033</v>
      </c>
      <c r="E4975" t="s">
        <v>18</v>
      </c>
      <c r="F4975" t="s">
        <v>100</v>
      </c>
      <c r="G4975" t="s">
        <v>107</v>
      </c>
      <c r="H4975" t="e">
        <v>#VALUE!</v>
      </c>
      <c r="I4975" t="e">
        <f t="shared" si="79"/>
        <v>#VALUE!</v>
      </c>
    </row>
    <row r="4976" spans="1:9">
      <c r="A4976" s="68">
        <v>42428.928472222222</v>
      </c>
      <c r="B4976" s="19">
        <v>42872</v>
      </c>
      <c r="C4976" s="21">
        <v>0.25208333333333333</v>
      </c>
      <c r="D4976" s="20" t="s">
        <v>3031</v>
      </c>
      <c r="E4976" t="s">
        <v>0</v>
      </c>
      <c r="F4976" t="s">
        <v>1</v>
      </c>
      <c r="G4976" t="s">
        <v>9</v>
      </c>
      <c r="H4976">
        <v>13</v>
      </c>
      <c r="I4976">
        <f t="shared" si="79"/>
        <v>17</v>
      </c>
    </row>
    <row r="4977" spans="1:9">
      <c r="A4977" s="68">
        <v>42428.927083333336</v>
      </c>
      <c r="B4977" s="19">
        <v>42872</v>
      </c>
      <c r="C4977" s="21">
        <v>0.22152777777777777</v>
      </c>
      <c r="D4977" s="20" t="s">
        <v>3055</v>
      </c>
      <c r="E4977" t="s">
        <v>33</v>
      </c>
      <c r="F4977" t="s">
        <v>44</v>
      </c>
      <c r="G4977" t="s">
        <v>109</v>
      </c>
      <c r="H4977">
        <v>38</v>
      </c>
      <c r="I4977">
        <f t="shared" si="79"/>
        <v>48</v>
      </c>
    </row>
    <row r="4978" spans="1:9">
      <c r="A4978" s="68">
        <v>42428.888888888891</v>
      </c>
      <c r="B4978" s="19">
        <v>42873</v>
      </c>
      <c r="C4978" s="21">
        <v>0.97152777777777777</v>
      </c>
      <c r="D4978" s="20" t="s">
        <v>3063</v>
      </c>
      <c r="E4978" t="s">
        <v>6</v>
      </c>
      <c r="F4978" t="s">
        <v>12</v>
      </c>
      <c r="G4978" t="s">
        <v>94</v>
      </c>
      <c r="H4978">
        <v>2</v>
      </c>
      <c r="I4978">
        <f t="shared" si="79"/>
        <v>3</v>
      </c>
    </row>
    <row r="4979" spans="1:9">
      <c r="A4979" s="68">
        <v>42428.819444444445</v>
      </c>
      <c r="B4979" s="19">
        <v>42873</v>
      </c>
      <c r="C4979" s="21">
        <v>0.96458333333333335</v>
      </c>
      <c r="D4979" s="20" t="s">
        <v>3063</v>
      </c>
      <c r="E4979" t="s">
        <v>2</v>
      </c>
      <c r="F4979" t="s">
        <v>5</v>
      </c>
      <c r="H4979">
        <v>62</v>
      </c>
      <c r="I4979">
        <f t="shared" si="79"/>
        <v>77</v>
      </c>
    </row>
    <row r="4980" spans="1:9">
      <c r="A4980" s="68">
        <v>42428.578472222223</v>
      </c>
      <c r="B4980" s="19">
        <v>42873</v>
      </c>
      <c r="C4980" s="21">
        <v>0.94513888888888886</v>
      </c>
      <c r="D4980" s="20" t="s">
        <v>3049</v>
      </c>
      <c r="E4980" t="s">
        <v>6</v>
      </c>
      <c r="F4980" t="s">
        <v>46</v>
      </c>
      <c r="G4980" t="s">
        <v>82</v>
      </c>
      <c r="H4980">
        <v>35</v>
      </c>
      <c r="I4980">
        <f t="shared" si="79"/>
        <v>44</v>
      </c>
    </row>
    <row r="4981" spans="1:9">
      <c r="A4981" s="68">
        <v>42428.408333333333</v>
      </c>
      <c r="B4981" s="19">
        <v>42873</v>
      </c>
      <c r="C4981" s="21">
        <v>0.20208333333333334</v>
      </c>
      <c r="D4981" s="20" t="s">
        <v>3054</v>
      </c>
      <c r="E4981" t="s">
        <v>2</v>
      </c>
      <c r="F4981" t="s">
        <v>5</v>
      </c>
      <c r="G4981" t="s">
        <v>95</v>
      </c>
      <c r="H4981">
        <v>87</v>
      </c>
      <c r="I4981">
        <f t="shared" si="79"/>
        <v>108</v>
      </c>
    </row>
    <row r="4982" spans="1:9">
      <c r="A4982" s="68">
        <v>42428.408333333333</v>
      </c>
      <c r="B4982" s="19">
        <v>42873</v>
      </c>
      <c r="C4982" s="21">
        <v>0.1986111111111111</v>
      </c>
      <c r="D4982" s="20" t="s">
        <v>3054</v>
      </c>
      <c r="E4982" t="s">
        <v>6</v>
      </c>
      <c r="F4982" t="s">
        <v>76</v>
      </c>
      <c r="G4982" t="s">
        <v>96</v>
      </c>
      <c r="H4982">
        <v>7</v>
      </c>
      <c r="I4982">
        <f t="shared" si="79"/>
        <v>9</v>
      </c>
    </row>
    <row r="4983" spans="1:9">
      <c r="A4983" s="1">
        <v>42425.845138888886</v>
      </c>
      <c r="B4983" s="19">
        <v>42873</v>
      </c>
      <c r="C4983" s="21">
        <v>0.18402777777777779</v>
      </c>
      <c r="D4983" s="20" t="s">
        <v>3054</v>
      </c>
      <c r="E4983" t="s">
        <v>2</v>
      </c>
      <c r="F4983" t="s">
        <v>5</v>
      </c>
      <c r="H4983">
        <v>13</v>
      </c>
      <c r="I4983">
        <f t="shared" si="79"/>
        <v>17</v>
      </c>
    </row>
    <row r="4984" spans="1:9">
      <c r="A4984" s="1">
        <v>42425.627083333333</v>
      </c>
      <c r="B4984" s="19">
        <v>42873</v>
      </c>
      <c r="C4984" s="21">
        <v>0.10972222222222222</v>
      </c>
      <c r="D4984" s="20" t="s">
        <v>3052</v>
      </c>
      <c r="E4984" t="s">
        <v>6</v>
      </c>
      <c r="F4984" t="s">
        <v>76</v>
      </c>
      <c r="G4984" t="s">
        <v>97</v>
      </c>
      <c r="H4984">
        <v>121</v>
      </c>
      <c r="I4984">
        <f t="shared" si="79"/>
        <v>151</v>
      </c>
    </row>
    <row r="4985" spans="1:9">
      <c r="A4985" s="1">
        <v>42425.5</v>
      </c>
      <c r="B4985" s="19">
        <v>42873</v>
      </c>
      <c r="C4985" s="21">
        <v>5.9027777777777776E-2</v>
      </c>
      <c r="D4985" s="20" t="s">
        <v>3051</v>
      </c>
      <c r="E4985" t="s">
        <v>6</v>
      </c>
      <c r="F4985" t="s">
        <v>76</v>
      </c>
      <c r="H4985">
        <v>9</v>
      </c>
      <c r="I4985">
        <f t="shared" si="79"/>
        <v>12</v>
      </c>
    </row>
    <row r="4986" spans="1:9">
      <c r="A4986" s="1">
        <v>42425.46875</v>
      </c>
      <c r="B4986" s="19">
        <v>42873</v>
      </c>
      <c r="C4986" s="21">
        <v>0.92291666666666672</v>
      </c>
      <c r="D4986" s="20" t="s">
        <v>3049</v>
      </c>
      <c r="E4986" t="s">
        <v>0</v>
      </c>
      <c r="G4986" t="s">
        <v>32</v>
      </c>
      <c r="H4986">
        <v>13</v>
      </c>
      <c r="I4986">
        <f t="shared" si="79"/>
        <v>17</v>
      </c>
    </row>
    <row r="4987" spans="1:9">
      <c r="A4987" s="76">
        <v>42425.443055555559</v>
      </c>
      <c r="B4987" s="19">
        <v>42873</v>
      </c>
      <c r="C4987" s="21">
        <v>5.9027777777777776E-2</v>
      </c>
      <c r="D4987" s="20" t="s">
        <v>3051</v>
      </c>
      <c r="E4987" t="s">
        <v>0</v>
      </c>
      <c r="G4987" t="s">
        <v>32</v>
      </c>
      <c r="H4987">
        <v>13</v>
      </c>
      <c r="I4987">
        <f t="shared" si="79"/>
        <v>17</v>
      </c>
    </row>
    <row r="4988" spans="1:9" ht="43.2">
      <c r="A4988" s="75">
        <v>42425.397916666669</v>
      </c>
      <c r="B4988" s="19">
        <v>42874</v>
      </c>
      <c r="C4988" s="21">
        <v>0.91666666666666663</v>
      </c>
      <c r="D4988" s="20" t="s">
        <v>3049</v>
      </c>
      <c r="E4988" t="s">
        <v>6</v>
      </c>
      <c r="G4988" s="2" t="s">
        <v>85</v>
      </c>
      <c r="H4988">
        <v>0</v>
      </c>
      <c r="I4988">
        <f t="shared" si="79"/>
        <v>0</v>
      </c>
    </row>
    <row r="4989" spans="1:9">
      <c r="A4989" s="75">
        <v>42425.30972222222</v>
      </c>
      <c r="B4989" s="19">
        <v>42874</v>
      </c>
      <c r="C4989" s="21">
        <v>0.88749999999999996</v>
      </c>
      <c r="D4989" s="20" t="s">
        <v>3048</v>
      </c>
      <c r="E4989" t="s">
        <v>2</v>
      </c>
      <c r="F4989" t="s">
        <v>5</v>
      </c>
      <c r="G4989" t="s">
        <v>86</v>
      </c>
      <c r="H4989">
        <v>53</v>
      </c>
      <c r="I4989">
        <f t="shared" si="79"/>
        <v>66</v>
      </c>
    </row>
    <row r="4990" spans="1:9">
      <c r="A4990" s="75">
        <v>42425.28125</v>
      </c>
      <c r="B4990" s="19">
        <v>42874</v>
      </c>
      <c r="C4990" s="21">
        <v>0.86250000000000004</v>
      </c>
      <c r="D4990" s="20" t="s">
        <v>3047</v>
      </c>
      <c r="E4990" t="s">
        <v>6</v>
      </c>
      <c r="F4990" t="s">
        <v>15</v>
      </c>
      <c r="G4990" t="s">
        <v>87</v>
      </c>
      <c r="H4990">
        <v>45</v>
      </c>
      <c r="I4990">
        <f t="shared" si="79"/>
        <v>56</v>
      </c>
    </row>
    <row r="4991" spans="1:9">
      <c r="A4991" s="76">
        <v>42425.768055555556</v>
      </c>
      <c r="B4991" s="19">
        <v>42874</v>
      </c>
      <c r="C4991" s="21">
        <v>0.52777777777777779</v>
      </c>
      <c r="D4991" s="20" t="s">
        <v>3038</v>
      </c>
      <c r="E4991" t="s">
        <v>6</v>
      </c>
      <c r="F4991" t="s">
        <v>89</v>
      </c>
      <c r="G4991" t="s">
        <v>90</v>
      </c>
      <c r="H4991">
        <v>19</v>
      </c>
      <c r="I4991">
        <f t="shared" si="79"/>
        <v>24</v>
      </c>
    </row>
    <row r="4992" spans="1:9">
      <c r="A4992" s="1">
        <v>42425.699305555558</v>
      </c>
      <c r="B4992" s="19">
        <v>42874</v>
      </c>
      <c r="C4992" s="21">
        <v>0.46805555555555556</v>
      </c>
      <c r="D4992" s="20" t="s">
        <v>3037</v>
      </c>
      <c r="E4992" t="s">
        <v>2</v>
      </c>
      <c r="F4992" t="s">
        <v>5</v>
      </c>
      <c r="G4992" t="s">
        <v>91</v>
      </c>
      <c r="H4992">
        <v>44</v>
      </c>
      <c r="I4992">
        <f t="shared" si="79"/>
        <v>55</v>
      </c>
    </row>
    <row r="4993" spans="1:9">
      <c r="A4993" s="1">
        <v>42425.682638888888</v>
      </c>
      <c r="B4993" s="19">
        <v>42874</v>
      </c>
      <c r="C4993" s="21">
        <v>0.3527777777777778</v>
      </c>
      <c r="D4993" s="20" t="s">
        <v>3034</v>
      </c>
      <c r="E4993" t="s">
        <v>6</v>
      </c>
      <c r="F4993" t="s">
        <v>15</v>
      </c>
      <c r="G4993" t="s">
        <v>27</v>
      </c>
      <c r="H4993">
        <v>19</v>
      </c>
      <c r="I4993">
        <f t="shared" si="79"/>
        <v>24</v>
      </c>
    </row>
    <row r="4994" spans="1:9">
      <c r="A4994" s="1">
        <v>42425.563888888886</v>
      </c>
      <c r="B4994" s="19">
        <v>42874</v>
      </c>
      <c r="C4994" s="21">
        <v>0.3263888888888889</v>
      </c>
      <c r="D4994" s="20" t="s">
        <v>3033</v>
      </c>
      <c r="E4994" t="s">
        <v>6</v>
      </c>
      <c r="F4994" t="s">
        <v>46</v>
      </c>
      <c r="G4994" t="s">
        <v>27</v>
      </c>
      <c r="H4994">
        <v>38</v>
      </c>
      <c r="I4994">
        <f t="shared" si="79"/>
        <v>48</v>
      </c>
    </row>
    <row r="4995" spans="1:9">
      <c r="A4995" s="75">
        <v>42425.263888888891</v>
      </c>
      <c r="B4995" s="19">
        <v>42874</v>
      </c>
      <c r="C4995" s="21">
        <v>0.32083333333333336</v>
      </c>
      <c r="D4995" s="20" t="s">
        <v>3033</v>
      </c>
      <c r="E4995" t="s">
        <v>2</v>
      </c>
      <c r="F4995" t="s">
        <v>48</v>
      </c>
      <c r="H4995">
        <v>7</v>
      </c>
      <c r="I4995">
        <f t="shared" ref="I4995:I5058" si="80">ROUNDUP((H4995*1.24), 0)</f>
        <v>9</v>
      </c>
    </row>
    <row r="4996" spans="1:9">
      <c r="A4996" s="75">
        <v>42425.259027777778</v>
      </c>
      <c r="B4996" s="19">
        <v>42874</v>
      </c>
      <c r="C4996" s="21">
        <v>0.31874999999999998</v>
      </c>
      <c r="D4996" s="20" t="s">
        <v>3033</v>
      </c>
      <c r="E4996" t="s">
        <v>6</v>
      </c>
      <c r="F4996" t="s">
        <v>46</v>
      </c>
      <c r="G4996" t="s">
        <v>27</v>
      </c>
      <c r="H4996">
        <v>7</v>
      </c>
      <c r="I4996">
        <f t="shared" si="80"/>
        <v>9</v>
      </c>
    </row>
    <row r="4997" spans="1:9">
      <c r="A4997" s="1">
        <v>42424.896527777775</v>
      </c>
      <c r="B4997" s="19">
        <v>42874</v>
      </c>
      <c r="C4997" s="21">
        <v>0.27013888888888887</v>
      </c>
      <c r="D4997" s="20" t="s">
        <v>3031</v>
      </c>
      <c r="E4997" t="s">
        <v>2</v>
      </c>
      <c r="F4997" t="s">
        <v>5</v>
      </c>
      <c r="H4997">
        <v>75</v>
      </c>
      <c r="I4997">
        <f t="shared" si="80"/>
        <v>93</v>
      </c>
    </row>
    <row r="4998" spans="1:9">
      <c r="A4998" s="1">
        <v>42424.752083333333</v>
      </c>
      <c r="B4998" s="19">
        <v>42874</v>
      </c>
      <c r="C4998" s="21">
        <v>0.26458333333333334</v>
      </c>
      <c r="D4998" s="20" t="s">
        <v>3031</v>
      </c>
      <c r="E4998" t="s">
        <v>6</v>
      </c>
      <c r="F4998" t="s">
        <v>46</v>
      </c>
      <c r="G4998" t="s">
        <v>27</v>
      </c>
      <c r="H4998">
        <v>75</v>
      </c>
      <c r="I4998">
        <f t="shared" si="80"/>
        <v>93</v>
      </c>
    </row>
    <row r="4999" spans="1:9">
      <c r="A4999" s="1">
        <v>42424.751388888886</v>
      </c>
      <c r="B4999" s="19">
        <v>42874</v>
      </c>
      <c r="C4999" s="21">
        <v>0.21319444444444444</v>
      </c>
      <c r="D4999" s="20" t="s">
        <v>3055</v>
      </c>
      <c r="E4999" t="s">
        <v>6</v>
      </c>
      <c r="F4999" t="s">
        <v>46</v>
      </c>
      <c r="G4999" t="s">
        <v>92</v>
      </c>
      <c r="H4999">
        <v>15</v>
      </c>
      <c r="I4999">
        <f t="shared" si="80"/>
        <v>19</v>
      </c>
    </row>
    <row r="5000" spans="1:9">
      <c r="A5000" s="1">
        <v>42424.581250000003</v>
      </c>
      <c r="B5000" s="19">
        <v>42874</v>
      </c>
      <c r="C5000" s="21">
        <v>5.1388888888888887E-2</v>
      </c>
      <c r="D5000" s="20" t="s">
        <v>3051</v>
      </c>
      <c r="E5000" t="s">
        <v>6</v>
      </c>
      <c r="F5000" t="s">
        <v>12</v>
      </c>
      <c r="G5000" t="s">
        <v>93</v>
      </c>
      <c r="H5000">
        <v>9</v>
      </c>
      <c r="I5000">
        <f t="shared" si="80"/>
        <v>12</v>
      </c>
    </row>
    <row r="5001" spans="1:9">
      <c r="A5001" s="1">
        <v>42424.580555555556</v>
      </c>
      <c r="B5001" s="19">
        <v>42874</v>
      </c>
      <c r="C5001" s="21">
        <v>6.2500000000000003E-3</v>
      </c>
      <c r="D5001" s="20" t="s">
        <v>3050</v>
      </c>
      <c r="E5001" t="s">
        <v>6</v>
      </c>
      <c r="F5001" t="s">
        <v>76</v>
      </c>
      <c r="G5001" t="s">
        <v>65</v>
      </c>
      <c r="H5001">
        <v>2</v>
      </c>
      <c r="I5001">
        <f t="shared" si="80"/>
        <v>3</v>
      </c>
    </row>
    <row r="5002" spans="1:9">
      <c r="A5002" s="1">
        <v>42424.572222222225</v>
      </c>
      <c r="B5002" s="19">
        <v>42874</v>
      </c>
      <c r="C5002" s="21">
        <v>0.92222222222222228</v>
      </c>
      <c r="D5002" s="20" t="s">
        <v>3049</v>
      </c>
      <c r="E5002" t="s">
        <v>0</v>
      </c>
      <c r="F5002" t="s">
        <v>10</v>
      </c>
      <c r="G5002" t="s">
        <v>84</v>
      </c>
      <c r="H5002">
        <v>13</v>
      </c>
      <c r="I5002">
        <f t="shared" si="80"/>
        <v>17</v>
      </c>
    </row>
    <row r="5003" spans="1:9">
      <c r="A5003" s="1">
        <v>42424.513888888891</v>
      </c>
      <c r="B5003" s="19">
        <v>42874</v>
      </c>
      <c r="C5003" s="21">
        <v>0.91736111111111107</v>
      </c>
      <c r="D5003" s="20" t="s">
        <v>3049</v>
      </c>
      <c r="E5003" t="s">
        <v>0</v>
      </c>
      <c r="G5003" t="s">
        <v>32</v>
      </c>
      <c r="H5003">
        <v>13</v>
      </c>
      <c r="I5003">
        <f t="shared" si="80"/>
        <v>17</v>
      </c>
    </row>
    <row r="5004" spans="1:9">
      <c r="A5004" s="1">
        <v>42424.46875</v>
      </c>
      <c r="B5004" s="19">
        <v>42874</v>
      </c>
      <c r="C5004" s="21">
        <v>0.91041666666666665</v>
      </c>
      <c r="D5004" s="20" t="s">
        <v>3048</v>
      </c>
      <c r="E5004" t="s">
        <v>0</v>
      </c>
      <c r="F5004" t="s">
        <v>10</v>
      </c>
      <c r="G5004" t="s">
        <v>84</v>
      </c>
      <c r="H5004">
        <v>13</v>
      </c>
      <c r="I5004">
        <f t="shared" si="80"/>
        <v>17</v>
      </c>
    </row>
    <row r="5005" spans="1:9">
      <c r="A5005" s="1">
        <v>42424.454861111109</v>
      </c>
      <c r="B5005" s="19">
        <v>42874</v>
      </c>
      <c r="C5005" s="21">
        <v>0.68472222222222223</v>
      </c>
      <c r="D5005" s="20" t="s">
        <v>3043</v>
      </c>
      <c r="E5005" t="s">
        <v>33</v>
      </c>
      <c r="G5005" t="s">
        <v>88</v>
      </c>
      <c r="H5005">
        <v>7</v>
      </c>
      <c r="I5005">
        <f t="shared" si="80"/>
        <v>9</v>
      </c>
    </row>
    <row r="5006" spans="1:9">
      <c r="A5006" s="1">
        <v>42424.321527777778</v>
      </c>
      <c r="B5006" s="19">
        <v>42874</v>
      </c>
      <c r="C5006" s="21">
        <v>0.58125000000000004</v>
      </c>
      <c r="D5006" s="20" t="s">
        <v>3039</v>
      </c>
      <c r="E5006" t="s">
        <v>0</v>
      </c>
      <c r="G5006" t="s">
        <v>32</v>
      </c>
      <c r="H5006">
        <v>13</v>
      </c>
      <c r="I5006">
        <f t="shared" si="80"/>
        <v>17</v>
      </c>
    </row>
    <row r="5007" spans="1:9">
      <c r="A5007" s="1">
        <v>42424.320833333331</v>
      </c>
      <c r="B5007" s="19">
        <v>42874</v>
      </c>
      <c r="C5007" s="21">
        <v>0.56874999999999998</v>
      </c>
      <c r="D5007" s="20" t="s">
        <v>3039</v>
      </c>
      <c r="E5007" t="s">
        <v>77</v>
      </c>
      <c r="F5007" t="s">
        <v>78</v>
      </c>
      <c r="G5007" t="s">
        <v>79</v>
      </c>
      <c r="H5007">
        <v>13</v>
      </c>
      <c r="I5007">
        <f t="shared" si="80"/>
        <v>17</v>
      </c>
    </row>
    <row r="5008" spans="1:9">
      <c r="A5008" s="1">
        <v>42424.27847222222</v>
      </c>
      <c r="B5008" s="77">
        <v>42874</v>
      </c>
      <c r="C5008" s="78">
        <v>0.25</v>
      </c>
      <c r="D5008" s="79" t="s">
        <v>3031</v>
      </c>
      <c r="E5008" s="80" t="s">
        <v>0</v>
      </c>
      <c r="F5008" s="80" t="s">
        <v>1</v>
      </c>
      <c r="G5008" s="80" t="s">
        <v>53</v>
      </c>
      <c r="H5008" s="80">
        <v>13</v>
      </c>
      <c r="I5008">
        <f t="shared" si="80"/>
        <v>17</v>
      </c>
    </row>
    <row r="5009" spans="1:9">
      <c r="A5009" s="1">
        <v>42424.792361111111</v>
      </c>
      <c r="B5009" s="19">
        <v>42875</v>
      </c>
      <c r="C5009" s="21">
        <v>0.21458333333333332</v>
      </c>
      <c r="D5009" s="20" t="s">
        <v>3055</v>
      </c>
      <c r="E5009" t="s">
        <v>6</v>
      </c>
      <c r="F5009" t="s">
        <v>76</v>
      </c>
      <c r="G5009" t="s">
        <v>81</v>
      </c>
      <c r="H5009">
        <v>62</v>
      </c>
      <c r="I5009">
        <f t="shared" si="80"/>
        <v>77</v>
      </c>
    </row>
    <row r="5010" spans="1:9">
      <c r="A5010" s="1">
        <v>42424.73333333333</v>
      </c>
      <c r="B5010" s="19">
        <v>42875</v>
      </c>
      <c r="C5010" s="21">
        <v>0.17569444444444443</v>
      </c>
      <c r="D5010" s="20" t="s">
        <v>3054</v>
      </c>
      <c r="E5010" t="s">
        <v>2</v>
      </c>
      <c r="F5010" t="s">
        <v>5</v>
      </c>
      <c r="H5010">
        <v>62</v>
      </c>
      <c r="I5010">
        <f t="shared" si="80"/>
        <v>77</v>
      </c>
    </row>
    <row r="5011" spans="1:9">
      <c r="A5011" s="1">
        <v>42424.709027777775</v>
      </c>
      <c r="B5011" s="19">
        <v>42875</v>
      </c>
      <c r="C5011" s="21">
        <v>0.15763888888888888</v>
      </c>
      <c r="D5011" s="20" t="s">
        <v>3053</v>
      </c>
      <c r="E5011" t="s">
        <v>6</v>
      </c>
      <c r="F5011" t="s">
        <v>76</v>
      </c>
      <c r="G5011" t="s">
        <v>82</v>
      </c>
      <c r="H5011">
        <v>34</v>
      </c>
      <c r="I5011">
        <f t="shared" si="80"/>
        <v>43</v>
      </c>
    </row>
    <row r="5012" spans="1:9">
      <c r="A5012" s="1">
        <v>42424.700694444444</v>
      </c>
      <c r="B5012" s="19">
        <v>42875</v>
      </c>
      <c r="C5012" s="21">
        <v>0.15347222222222223</v>
      </c>
      <c r="D5012" s="20" t="s">
        <v>3053</v>
      </c>
      <c r="E5012" t="s">
        <v>6</v>
      </c>
      <c r="F5012" t="s">
        <v>21</v>
      </c>
      <c r="G5012" t="s">
        <v>83</v>
      </c>
      <c r="H5012">
        <v>9</v>
      </c>
      <c r="I5012">
        <f t="shared" si="80"/>
        <v>12</v>
      </c>
    </row>
    <row r="5013" spans="1:9">
      <c r="A5013" s="1">
        <v>42424.619444444441</v>
      </c>
      <c r="B5013" s="19">
        <v>42875</v>
      </c>
      <c r="C5013" s="21">
        <v>0.1388888888888889</v>
      </c>
      <c r="D5013" s="20" t="s">
        <v>3053</v>
      </c>
      <c r="E5013" t="s">
        <v>2</v>
      </c>
      <c r="F5013" t="s">
        <v>56</v>
      </c>
      <c r="H5013">
        <v>25</v>
      </c>
      <c r="I5013">
        <f t="shared" si="80"/>
        <v>31</v>
      </c>
    </row>
    <row r="5014" spans="1:9">
      <c r="A5014" s="1">
        <v>42424.529166666667</v>
      </c>
      <c r="B5014" s="19">
        <v>42876</v>
      </c>
      <c r="C5014" s="21">
        <v>0.97638888888888886</v>
      </c>
      <c r="D5014" s="20" t="s">
        <v>3063</v>
      </c>
      <c r="E5014" t="s">
        <v>6</v>
      </c>
      <c r="F5014" t="s">
        <v>76</v>
      </c>
      <c r="H5014">
        <v>31</v>
      </c>
      <c r="I5014">
        <f t="shared" si="80"/>
        <v>39</v>
      </c>
    </row>
    <row r="5015" spans="1:9">
      <c r="A5015" s="1">
        <v>42424.48333333333</v>
      </c>
      <c r="B5015" s="19">
        <v>42876</v>
      </c>
      <c r="C5015" s="21">
        <v>0.96527777777777779</v>
      </c>
      <c r="D5015" s="20" t="s">
        <v>3063</v>
      </c>
      <c r="E5015" t="s">
        <v>2</v>
      </c>
      <c r="F5015" t="s">
        <v>5</v>
      </c>
      <c r="H5015">
        <v>38</v>
      </c>
      <c r="I5015">
        <f t="shared" si="80"/>
        <v>48</v>
      </c>
    </row>
    <row r="5016" spans="1:9">
      <c r="A5016" s="1">
        <v>42424.468055555553</v>
      </c>
      <c r="B5016" s="19">
        <v>42876</v>
      </c>
      <c r="C5016" s="21">
        <v>0.9291666666666667</v>
      </c>
      <c r="D5016" s="20" t="s">
        <v>3049</v>
      </c>
      <c r="E5016" t="s">
        <v>6</v>
      </c>
      <c r="F5016" t="s">
        <v>15</v>
      </c>
      <c r="G5016" t="s">
        <v>80</v>
      </c>
      <c r="H5016">
        <v>75</v>
      </c>
      <c r="I5016">
        <f t="shared" si="80"/>
        <v>93</v>
      </c>
    </row>
    <row r="5017" spans="1:9">
      <c r="A5017" s="1">
        <v>42424.375694444447</v>
      </c>
      <c r="B5017" s="19">
        <v>42876</v>
      </c>
      <c r="C5017" s="21">
        <v>0.96319444444444446</v>
      </c>
      <c r="D5017" s="20" t="s">
        <v>3063</v>
      </c>
      <c r="E5017" t="s">
        <v>77</v>
      </c>
      <c r="F5017" t="s">
        <v>78</v>
      </c>
      <c r="G5017" t="s">
        <v>79</v>
      </c>
      <c r="H5017">
        <v>25</v>
      </c>
      <c r="I5017">
        <f t="shared" si="80"/>
        <v>31</v>
      </c>
    </row>
    <row r="5018" spans="1:9">
      <c r="A5018" s="1">
        <v>42424.356249999997</v>
      </c>
      <c r="B5018" s="19">
        <v>42876</v>
      </c>
      <c r="C5018" s="21">
        <v>0.91874999999999996</v>
      </c>
      <c r="D5018" s="20" t="s">
        <v>3049</v>
      </c>
      <c r="E5018" t="s">
        <v>0</v>
      </c>
      <c r="F5018" t="s">
        <v>10</v>
      </c>
      <c r="G5018" t="s">
        <v>9</v>
      </c>
      <c r="H5018">
        <v>13</v>
      </c>
      <c r="I5018">
        <f t="shared" si="80"/>
        <v>17</v>
      </c>
    </row>
    <row r="5019" spans="1:9">
      <c r="A5019" s="1">
        <v>42424.34652777778</v>
      </c>
      <c r="B5019" s="19">
        <v>42877</v>
      </c>
      <c r="C5019" s="21">
        <v>0.8881944444444444</v>
      </c>
      <c r="D5019" s="20" t="s">
        <v>3048</v>
      </c>
      <c r="E5019" t="s">
        <v>6</v>
      </c>
      <c r="F5019" t="s">
        <v>46</v>
      </c>
      <c r="G5019" t="s">
        <v>54</v>
      </c>
      <c r="H5019">
        <v>25</v>
      </c>
      <c r="I5019">
        <f t="shared" si="80"/>
        <v>31</v>
      </c>
    </row>
    <row r="5020" spans="1:9">
      <c r="A5020" s="1">
        <v>42424.306944444441</v>
      </c>
      <c r="B5020" s="19">
        <v>42877</v>
      </c>
      <c r="C5020" s="21">
        <v>0.87152777777777779</v>
      </c>
      <c r="D5020" s="20" t="s">
        <v>3047</v>
      </c>
      <c r="E5020" t="s">
        <v>2</v>
      </c>
      <c r="F5020" t="s">
        <v>56</v>
      </c>
      <c r="G5020" t="s">
        <v>57</v>
      </c>
      <c r="H5020">
        <v>15</v>
      </c>
      <c r="I5020">
        <f t="shared" si="80"/>
        <v>19</v>
      </c>
    </row>
    <row r="5021" spans="1:9">
      <c r="A5021" s="1">
        <v>42423.908333333333</v>
      </c>
      <c r="B5021" s="19">
        <v>42877</v>
      </c>
      <c r="C5021" s="21">
        <v>0.85347222222222219</v>
      </c>
      <c r="D5021" s="20" t="s">
        <v>3047</v>
      </c>
      <c r="E5021" t="s">
        <v>6</v>
      </c>
      <c r="F5021" t="s">
        <v>15</v>
      </c>
      <c r="G5021" t="s">
        <v>58</v>
      </c>
      <c r="H5021">
        <v>31</v>
      </c>
      <c r="I5021">
        <f t="shared" si="80"/>
        <v>39</v>
      </c>
    </row>
    <row r="5022" spans="1:9">
      <c r="A5022" s="1">
        <v>42423.908333333333</v>
      </c>
      <c r="B5022" s="19">
        <v>42877</v>
      </c>
      <c r="C5022" s="21">
        <v>0.79374999999999996</v>
      </c>
      <c r="D5022" s="20" t="s">
        <v>3046</v>
      </c>
      <c r="E5022" t="s">
        <v>6</v>
      </c>
      <c r="F5022" t="s">
        <v>46</v>
      </c>
      <c r="G5022" t="s">
        <v>60</v>
      </c>
      <c r="H5022">
        <v>224</v>
      </c>
      <c r="I5022">
        <f t="shared" si="80"/>
        <v>278</v>
      </c>
    </row>
    <row r="5023" spans="1:9">
      <c r="A5023" s="1">
        <v>42423.854166666664</v>
      </c>
      <c r="B5023" s="19">
        <v>42877</v>
      </c>
      <c r="C5023" s="21">
        <v>0.76666666666666672</v>
      </c>
      <c r="D5023" s="20" t="s">
        <v>3045</v>
      </c>
      <c r="E5023" t="s">
        <v>6</v>
      </c>
      <c r="F5023" t="s">
        <v>61</v>
      </c>
      <c r="G5023" t="s">
        <v>47</v>
      </c>
      <c r="H5023">
        <v>18</v>
      </c>
      <c r="I5023">
        <f t="shared" si="80"/>
        <v>23</v>
      </c>
    </row>
    <row r="5024" spans="1:9">
      <c r="A5024" s="1">
        <v>42423.824999999997</v>
      </c>
      <c r="B5024" s="19">
        <v>42877</v>
      </c>
      <c r="C5024" s="21">
        <v>0.67986111111111114</v>
      </c>
      <c r="D5024" s="20" t="s">
        <v>3043</v>
      </c>
      <c r="E5024" t="s">
        <v>6</v>
      </c>
      <c r="F5024" t="s">
        <v>46</v>
      </c>
      <c r="G5024" t="s">
        <v>63</v>
      </c>
      <c r="H5024">
        <v>7</v>
      </c>
      <c r="I5024">
        <f t="shared" si="80"/>
        <v>9</v>
      </c>
    </row>
    <row r="5025" spans="1:9">
      <c r="A5025" s="1">
        <v>42423.785416666666</v>
      </c>
      <c r="B5025" s="19">
        <v>42877</v>
      </c>
      <c r="C5025" s="21">
        <v>0.64652777777777781</v>
      </c>
      <c r="D5025" s="20" t="s">
        <v>3042</v>
      </c>
      <c r="E5025" t="s">
        <v>6</v>
      </c>
      <c r="F5025" t="s">
        <v>46</v>
      </c>
      <c r="G5025" t="s">
        <v>65</v>
      </c>
      <c r="H5025">
        <v>7</v>
      </c>
      <c r="I5025">
        <f t="shared" si="80"/>
        <v>9</v>
      </c>
    </row>
    <row r="5026" spans="1:9">
      <c r="A5026" s="1">
        <v>42423.734027777777</v>
      </c>
      <c r="B5026" s="19">
        <v>42877</v>
      </c>
      <c r="C5026" s="21">
        <v>0.61805555555555558</v>
      </c>
      <c r="D5026" s="20" t="s">
        <v>3040</v>
      </c>
      <c r="E5026" t="s">
        <v>6</v>
      </c>
      <c r="F5026" t="s">
        <v>46</v>
      </c>
      <c r="G5026" t="s">
        <v>65</v>
      </c>
      <c r="H5026">
        <v>5</v>
      </c>
      <c r="I5026">
        <f t="shared" si="80"/>
        <v>7</v>
      </c>
    </row>
    <row r="5027" spans="1:9">
      <c r="A5027" s="1">
        <v>42423.709722222222</v>
      </c>
      <c r="B5027" s="19">
        <v>42877</v>
      </c>
      <c r="C5027" s="21">
        <v>0.47638888888888886</v>
      </c>
      <c r="D5027" s="20" t="s">
        <v>3037</v>
      </c>
      <c r="E5027" t="s">
        <v>6</v>
      </c>
      <c r="F5027" t="s">
        <v>15</v>
      </c>
      <c r="G5027" t="s">
        <v>66</v>
      </c>
      <c r="H5027">
        <v>7</v>
      </c>
      <c r="I5027">
        <f t="shared" si="80"/>
        <v>9</v>
      </c>
    </row>
    <row r="5028" spans="1:9">
      <c r="A5028" s="1">
        <v>42423.567361111112</v>
      </c>
      <c r="B5028" s="19">
        <v>42877</v>
      </c>
      <c r="C5028" s="21">
        <v>0.45347222222222222</v>
      </c>
      <c r="D5028" s="20" t="s">
        <v>3036</v>
      </c>
      <c r="E5028" t="s">
        <v>2</v>
      </c>
      <c r="F5028" t="s">
        <v>48</v>
      </c>
      <c r="G5028" t="s">
        <v>67</v>
      </c>
      <c r="H5028">
        <v>27</v>
      </c>
      <c r="I5028">
        <f t="shared" si="80"/>
        <v>34</v>
      </c>
    </row>
    <row r="5029" spans="1:9">
      <c r="A5029" s="1">
        <v>42423.567361111112</v>
      </c>
      <c r="B5029" s="19">
        <v>42877</v>
      </c>
      <c r="C5029" s="21">
        <v>0.45069444444444445</v>
      </c>
      <c r="D5029" s="20" t="s">
        <v>3036</v>
      </c>
      <c r="E5029" t="s">
        <v>6</v>
      </c>
      <c r="F5029" t="s">
        <v>12</v>
      </c>
      <c r="G5029" t="s">
        <v>68</v>
      </c>
      <c r="H5029">
        <v>5</v>
      </c>
      <c r="I5029">
        <f t="shared" si="80"/>
        <v>7</v>
      </c>
    </row>
    <row r="5030" spans="1:9">
      <c r="A5030" s="1">
        <v>42423.395138888889</v>
      </c>
      <c r="B5030" s="19">
        <v>42877</v>
      </c>
      <c r="C5030" s="21">
        <v>0.41597222222222224</v>
      </c>
      <c r="D5030" s="20" t="s">
        <v>3035</v>
      </c>
      <c r="E5030" t="s">
        <v>2</v>
      </c>
      <c r="F5030" t="s">
        <v>48</v>
      </c>
      <c r="G5030" t="s">
        <v>51</v>
      </c>
      <c r="H5030">
        <v>25</v>
      </c>
      <c r="I5030">
        <f t="shared" si="80"/>
        <v>31</v>
      </c>
    </row>
    <row r="5031" spans="1:9">
      <c r="A5031" s="1">
        <v>42423.395138888889</v>
      </c>
      <c r="B5031" s="19">
        <v>42877</v>
      </c>
      <c r="C5031" s="21">
        <v>0.4</v>
      </c>
      <c r="D5031" s="20" t="s">
        <v>3035</v>
      </c>
      <c r="E5031" t="s">
        <v>6</v>
      </c>
      <c r="F5031" t="s">
        <v>12</v>
      </c>
      <c r="G5031" t="s">
        <v>68</v>
      </c>
      <c r="H5031">
        <v>30</v>
      </c>
      <c r="I5031">
        <f t="shared" si="80"/>
        <v>38</v>
      </c>
    </row>
    <row r="5032" spans="1:9">
      <c r="A5032" s="1">
        <v>42423.384722222225</v>
      </c>
      <c r="B5032" s="19">
        <v>42877</v>
      </c>
      <c r="C5032" s="21">
        <v>0.34375</v>
      </c>
      <c r="D5032" s="20" t="s">
        <v>3034</v>
      </c>
      <c r="E5032" t="s">
        <v>6</v>
      </c>
      <c r="F5032" t="s">
        <v>46</v>
      </c>
      <c r="G5032" t="s">
        <v>69</v>
      </c>
      <c r="H5032">
        <v>149</v>
      </c>
      <c r="I5032">
        <f t="shared" si="80"/>
        <v>185</v>
      </c>
    </row>
    <row r="5033" spans="1:9">
      <c r="A5033" s="1">
        <v>42423.384722222225</v>
      </c>
      <c r="B5033" s="19">
        <v>42877</v>
      </c>
      <c r="C5033" s="21">
        <v>0.26111111111111113</v>
      </c>
      <c r="D5033" s="20" t="s">
        <v>3031</v>
      </c>
      <c r="E5033" t="s">
        <v>6</v>
      </c>
      <c r="F5033" t="s">
        <v>15</v>
      </c>
      <c r="G5033" t="s">
        <v>70</v>
      </c>
      <c r="H5033">
        <v>112</v>
      </c>
      <c r="I5033">
        <f t="shared" si="80"/>
        <v>139</v>
      </c>
    </row>
    <row r="5034" spans="1:9">
      <c r="A5034" s="1">
        <v>42423.364583333336</v>
      </c>
      <c r="B5034" s="19">
        <v>42877</v>
      </c>
      <c r="C5034" s="21">
        <v>0.2076388888888889</v>
      </c>
      <c r="D5034" s="20" t="s">
        <v>3054</v>
      </c>
      <c r="E5034" t="s">
        <v>6</v>
      </c>
      <c r="F5034" t="s">
        <v>15</v>
      </c>
      <c r="G5034" t="s">
        <v>74</v>
      </c>
      <c r="H5034">
        <v>76</v>
      </c>
      <c r="I5034">
        <f t="shared" si="80"/>
        <v>95</v>
      </c>
    </row>
    <row r="5035" spans="1:9">
      <c r="A5035" s="1">
        <v>42423.364583333336</v>
      </c>
      <c r="B5035" s="19">
        <v>42877</v>
      </c>
      <c r="C5035" s="21">
        <v>0.91736111111111107</v>
      </c>
      <c r="D5035" s="20" t="s">
        <v>3049</v>
      </c>
      <c r="E5035" t="s">
        <v>0</v>
      </c>
      <c r="F5035" t="s">
        <v>1</v>
      </c>
      <c r="G5035" t="s">
        <v>53</v>
      </c>
      <c r="H5035">
        <v>15</v>
      </c>
      <c r="I5035">
        <f t="shared" si="80"/>
        <v>19</v>
      </c>
    </row>
    <row r="5036" spans="1:9">
      <c r="A5036" s="1">
        <v>42423.34652777778</v>
      </c>
      <c r="B5036" s="19">
        <v>42877</v>
      </c>
      <c r="C5036" s="21">
        <v>0.87152777777777779</v>
      </c>
      <c r="D5036" s="20" t="s">
        <v>3047</v>
      </c>
      <c r="E5036" t="s">
        <v>0</v>
      </c>
      <c r="G5036" t="s">
        <v>55</v>
      </c>
      <c r="H5036">
        <v>2</v>
      </c>
      <c r="I5036">
        <f t="shared" si="80"/>
        <v>3</v>
      </c>
    </row>
    <row r="5037" spans="1:9">
      <c r="A5037" s="1">
        <v>42423.34652777778</v>
      </c>
      <c r="B5037" s="19">
        <v>42877</v>
      </c>
      <c r="C5037" s="21">
        <v>0.83333333333333337</v>
      </c>
      <c r="D5037" s="20" t="s">
        <v>3047</v>
      </c>
      <c r="E5037" t="s">
        <v>0</v>
      </c>
      <c r="F5037" t="s">
        <v>10</v>
      </c>
      <c r="G5037" t="s">
        <v>59</v>
      </c>
      <c r="H5037">
        <v>13</v>
      </c>
      <c r="I5037">
        <f t="shared" si="80"/>
        <v>17</v>
      </c>
    </row>
    <row r="5038" spans="1:9">
      <c r="A5038" s="1">
        <v>42423.275694444441</v>
      </c>
      <c r="B5038" s="19">
        <v>42877</v>
      </c>
      <c r="C5038" s="21">
        <v>0.75138888888888888</v>
      </c>
      <c r="D5038" s="20" t="s">
        <v>3045</v>
      </c>
      <c r="E5038" t="s">
        <v>33</v>
      </c>
      <c r="F5038" t="s">
        <v>34</v>
      </c>
      <c r="G5038" t="s">
        <v>62</v>
      </c>
      <c r="H5038">
        <v>7</v>
      </c>
      <c r="I5038">
        <f t="shared" si="80"/>
        <v>9</v>
      </c>
    </row>
    <row r="5039" spans="1:9">
      <c r="A5039" s="1">
        <v>42423.275694444441</v>
      </c>
      <c r="B5039" s="19">
        <v>42877</v>
      </c>
      <c r="C5039" s="21">
        <v>0.66527777777777775</v>
      </c>
      <c r="D5039" s="20" t="s">
        <v>3042</v>
      </c>
      <c r="E5039" t="s">
        <v>0</v>
      </c>
      <c r="F5039" t="s">
        <v>10</v>
      </c>
      <c r="G5039" t="s">
        <v>64</v>
      </c>
      <c r="H5039">
        <v>13</v>
      </c>
      <c r="I5039">
        <f t="shared" si="80"/>
        <v>17</v>
      </c>
    </row>
    <row r="5040" spans="1:9">
      <c r="A5040" s="1">
        <v>42423.39166666667</v>
      </c>
      <c r="B5040" s="19">
        <v>42877</v>
      </c>
      <c r="C5040" s="21">
        <v>0.58263888888888893</v>
      </c>
      <c r="D5040" s="20" t="s">
        <v>3039</v>
      </c>
      <c r="E5040" t="s">
        <v>0</v>
      </c>
      <c r="G5040" t="s">
        <v>32</v>
      </c>
      <c r="H5040">
        <v>13</v>
      </c>
      <c r="I5040">
        <f t="shared" si="80"/>
        <v>17</v>
      </c>
    </row>
    <row r="5041" spans="1:9">
      <c r="A5041" s="1">
        <v>42423.39166666667</v>
      </c>
      <c r="B5041" s="19">
        <v>42877</v>
      </c>
      <c r="C5041" s="21">
        <v>0.25138888888888888</v>
      </c>
      <c r="D5041" s="20" t="s">
        <v>3031</v>
      </c>
      <c r="E5041" t="s">
        <v>18</v>
      </c>
      <c r="F5041" t="s">
        <v>71</v>
      </c>
      <c r="G5041" t="s">
        <v>72</v>
      </c>
      <c r="H5041">
        <v>131</v>
      </c>
      <c r="I5041">
        <f t="shared" si="80"/>
        <v>163</v>
      </c>
    </row>
    <row r="5042" spans="1:9">
      <c r="A5042" s="1">
        <v>42423.390277777777</v>
      </c>
      <c r="B5042" s="19">
        <v>42877</v>
      </c>
      <c r="C5042" s="21">
        <v>0.25</v>
      </c>
      <c r="D5042" s="20" t="s">
        <v>3031</v>
      </c>
      <c r="E5042" t="s">
        <v>0</v>
      </c>
      <c r="G5042" t="s">
        <v>73</v>
      </c>
      <c r="H5042">
        <v>19</v>
      </c>
      <c r="I5042">
        <f t="shared" si="80"/>
        <v>24</v>
      </c>
    </row>
    <row r="5043" spans="1:9">
      <c r="A5043" s="1">
        <v>42423.390277777777</v>
      </c>
      <c r="B5043" s="19">
        <v>42877</v>
      </c>
      <c r="C5043" s="21">
        <v>1.6666666666666666E-2</v>
      </c>
      <c r="D5043" s="20" t="s">
        <v>3050</v>
      </c>
      <c r="E5043" t="s">
        <v>0</v>
      </c>
      <c r="F5043" t="s">
        <v>75</v>
      </c>
      <c r="H5043">
        <v>3</v>
      </c>
      <c r="I5043">
        <f t="shared" si="80"/>
        <v>4</v>
      </c>
    </row>
    <row r="5044" spans="1:9" ht="28.8">
      <c r="A5044" s="1">
        <v>42423.256944444445</v>
      </c>
      <c r="B5044" s="19">
        <v>42878</v>
      </c>
      <c r="C5044" s="21">
        <v>0.92083333333333328</v>
      </c>
      <c r="D5044" s="20" t="s">
        <v>3049</v>
      </c>
      <c r="E5044" t="s">
        <v>6</v>
      </c>
      <c r="F5044" t="s">
        <v>7</v>
      </c>
      <c r="G5044" s="2" t="s">
        <v>39</v>
      </c>
      <c r="H5044">
        <v>69</v>
      </c>
      <c r="I5044">
        <f t="shared" si="80"/>
        <v>86</v>
      </c>
    </row>
    <row r="5045" spans="1:9">
      <c r="A5045" s="1">
        <v>42423.256944444445</v>
      </c>
      <c r="B5045" s="19">
        <v>42878</v>
      </c>
      <c r="C5045" s="21">
        <v>0.90625</v>
      </c>
      <c r="D5045" s="20" t="s">
        <v>3048</v>
      </c>
      <c r="E5045" t="s">
        <v>6</v>
      </c>
      <c r="F5045" t="s">
        <v>7</v>
      </c>
      <c r="G5045" t="s">
        <v>40</v>
      </c>
      <c r="H5045">
        <v>7</v>
      </c>
      <c r="I5045">
        <f t="shared" si="80"/>
        <v>9</v>
      </c>
    </row>
    <row r="5046" spans="1:9">
      <c r="A5046" s="1">
        <v>42422.734027777777</v>
      </c>
      <c r="B5046" s="19">
        <v>42878</v>
      </c>
      <c r="C5046" s="21">
        <v>0.86527777777777781</v>
      </c>
      <c r="D5046" s="20" t="s">
        <v>3047</v>
      </c>
      <c r="E5046" t="s">
        <v>6</v>
      </c>
      <c r="F5046" t="s">
        <v>21</v>
      </c>
      <c r="G5046" t="s">
        <v>41</v>
      </c>
      <c r="H5046">
        <v>29</v>
      </c>
      <c r="I5046">
        <f t="shared" si="80"/>
        <v>36</v>
      </c>
    </row>
    <row r="5047" spans="1:9">
      <c r="A5047" s="1">
        <v>42422.581250000003</v>
      </c>
      <c r="B5047" s="19">
        <v>42878</v>
      </c>
      <c r="C5047" s="21">
        <v>0.80208333333333337</v>
      </c>
      <c r="D5047" s="20" t="s">
        <v>3046</v>
      </c>
      <c r="E5047" t="s">
        <v>6</v>
      </c>
      <c r="F5047" t="s">
        <v>15</v>
      </c>
      <c r="G5047" t="s">
        <v>43</v>
      </c>
      <c r="H5047">
        <v>3</v>
      </c>
      <c r="I5047">
        <f t="shared" si="80"/>
        <v>4</v>
      </c>
    </row>
    <row r="5048" spans="1:9">
      <c r="A5048" s="1">
        <v>42422.570138888892</v>
      </c>
      <c r="B5048" s="19">
        <v>42878</v>
      </c>
      <c r="C5048" s="21">
        <v>0.66249999999999998</v>
      </c>
      <c r="D5048" s="20" t="s">
        <v>3042</v>
      </c>
      <c r="E5048" t="s">
        <v>6</v>
      </c>
      <c r="F5048" t="s">
        <v>12</v>
      </c>
      <c r="G5048" t="s">
        <v>45</v>
      </c>
      <c r="H5048">
        <v>3</v>
      </c>
      <c r="I5048">
        <f t="shared" si="80"/>
        <v>4</v>
      </c>
    </row>
    <row r="5049" spans="1:9">
      <c r="A5049" s="1">
        <v>42422.551388888889</v>
      </c>
      <c r="B5049" s="19">
        <v>42878</v>
      </c>
      <c r="C5049" s="21">
        <v>0.60833333333333328</v>
      </c>
      <c r="D5049" s="20" t="s">
        <v>3040</v>
      </c>
      <c r="E5049" t="s">
        <v>2</v>
      </c>
      <c r="F5049" t="s">
        <v>5</v>
      </c>
      <c r="H5049">
        <v>80</v>
      </c>
      <c r="I5049">
        <f t="shared" si="80"/>
        <v>100</v>
      </c>
    </row>
    <row r="5050" spans="1:9">
      <c r="A5050" s="1">
        <v>42422.55</v>
      </c>
      <c r="B5050" s="19">
        <v>42878</v>
      </c>
      <c r="C5050" s="21">
        <v>0.59166666666666667</v>
      </c>
      <c r="D5050" s="20" t="s">
        <v>3040</v>
      </c>
      <c r="E5050" t="s">
        <v>6</v>
      </c>
      <c r="F5050" t="s">
        <v>46</v>
      </c>
      <c r="G5050" t="s">
        <v>47</v>
      </c>
      <c r="H5050">
        <v>13</v>
      </c>
      <c r="I5050">
        <f t="shared" si="80"/>
        <v>17</v>
      </c>
    </row>
    <row r="5051" spans="1:9">
      <c r="A5051" s="1">
        <v>42422.549305555556</v>
      </c>
      <c r="B5051" s="19">
        <v>42878</v>
      </c>
      <c r="C5051" s="21">
        <v>0.57430555555555551</v>
      </c>
      <c r="D5051" s="20" t="s">
        <v>3039</v>
      </c>
      <c r="E5051" t="s">
        <v>2</v>
      </c>
      <c r="F5051" t="s">
        <v>48</v>
      </c>
      <c r="G5051" t="s">
        <v>49</v>
      </c>
      <c r="H5051">
        <v>17</v>
      </c>
      <c r="I5051">
        <f t="shared" si="80"/>
        <v>22</v>
      </c>
    </row>
    <row r="5052" spans="1:9">
      <c r="A5052" s="1">
        <v>42422.548611111109</v>
      </c>
      <c r="B5052" s="19">
        <v>42878</v>
      </c>
      <c r="C5052" s="21">
        <v>0.56388888888888888</v>
      </c>
      <c r="D5052" s="20" t="s">
        <v>3039</v>
      </c>
      <c r="E5052" t="s">
        <v>6</v>
      </c>
      <c r="F5052" t="s">
        <v>46</v>
      </c>
      <c r="G5052" t="s">
        <v>50</v>
      </c>
      <c r="H5052">
        <v>9</v>
      </c>
      <c r="I5052">
        <f t="shared" si="80"/>
        <v>12</v>
      </c>
    </row>
    <row r="5053" spans="1:9">
      <c r="A5053" s="1">
        <v>42422.546527777777</v>
      </c>
      <c r="B5053" s="19">
        <v>42878</v>
      </c>
      <c r="C5053" s="21">
        <v>0.50555555555555554</v>
      </c>
      <c r="D5053" s="20" t="s">
        <v>3038</v>
      </c>
      <c r="E5053" t="s">
        <v>6</v>
      </c>
      <c r="F5053" t="s">
        <v>46</v>
      </c>
      <c r="G5053" t="s">
        <v>50</v>
      </c>
      <c r="H5053">
        <v>7</v>
      </c>
      <c r="I5053">
        <f t="shared" si="80"/>
        <v>9</v>
      </c>
    </row>
    <row r="5054" spans="1:9">
      <c r="A5054" s="1">
        <v>42422.54583333333</v>
      </c>
      <c r="B5054" s="19">
        <v>42878</v>
      </c>
      <c r="C5054" s="21">
        <v>0.4777777777777778</v>
      </c>
      <c r="D5054" s="20" t="s">
        <v>3037</v>
      </c>
      <c r="E5054" t="s">
        <v>6</v>
      </c>
      <c r="F5054" t="s">
        <v>46</v>
      </c>
      <c r="G5054" t="s">
        <v>50</v>
      </c>
      <c r="H5054">
        <v>8</v>
      </c>
      <c r="I5054">
        <f t="shared" si="80"/>
        <v>10</v>
      </c>
    </row>
    <row r="5055" spans="1:9">
      <c r="A5055" s="1">
        <v>42422.539583333331</v>
      </c>
      <c r="B5055" s="19">
        <v>42878</v>
      </c>
      <c r="C5055" s="21">
        <v>0.41805555555555557</v>
      </c>
      <c r="D5055" s="20" t="s">
        <v>3036</v>
      </c>
      <c r="E5055" t="s">
        <v>2</v>
      </c>
      <c r="F5055" t="s">
        <v>48</v>
      </c>
      <c r="G5055" t="s">
        <v>51</v>
      </c>
      <c r="H5055">
        <v>4</v>
      </c>
      <c r="I5055">
        <f t="shared" si="80"/>
        <v>5</v>
      </c>
    </row>
    <row r="5056" spans="1:9">
      <c r="A5056" s="1">
        <v>42422.538888888892</v>
      </c>
      <c r="B5056" s="19">
        <v>42878</v>
      </c>
      <c r="C5056" s="21">
        <v>0.1736111111111111</v>
      </c>
      <c r="D5056" s="20" t="s">
        <v>3054</v>
      </c>
      <c r="E5056" t="s">
        <v>6</v>
      </c>
      <c r="F5056" t="s">
        <v>46</v>
      </c>
      <c r="H5056">
        <v>7</v>
      </c>
      <c r="I5056">
        <f t="shared" si="80"/>
        <v>9</v>
      </c>
    </row>
    <row r="5057" spans="1:9">
      <c r="A5057" s="1">
        <v>42422.538194444445</v>
      </c>
      <c r="B5057" s="19">
        <v>42878</v>
      </c>
      <c r="C5057" s="21">
        <v>0.92083333333333328</v>
      </c>
      <c r="D5057" s="20" t="s">
        <v>3049</v>
      </c>
      <c r="E5057" t="s">
        <v>0</v>
      </c>
      <c r="F5057" t="s">
        <v>1</v>
      </c>
      <c r="G5057" t="s">
        <v>9</v>
      </c>
      <c r="H5057">
        <v>13</v>
      </c>
      <c r="I5057">
        <f t="shared" si="80"/>
        <v>17</v>
      </c>
    </row>
    <row r="5058" spans="1:9">
      <c r="A5058" s="1">
        <v>42422.819444444445</v>
      </c>
      <c r="B5058" s="19">
        <v>42878</v>
      </c>
      <c r="C5058" s="21">
        <v>0.86458333333333337</v>
      </c>
      <c r="D5058" s="20" t="s">
        <v>3047</v>
      </c>
      <c r="E5058" t="s">
        <v>0</v>
      </c>
      <c r="G5058" t="s">
        <v>42</v>
      </c>
      <c r="H5058">
        <v>10</v>
      </c>
      <c r="I5058">
        <f t="shared" si="80"/>
        <v>13</v>
      </c>
    </row>
    <row r="5059" spans="1:9">
      <c r="A5059" s="1">
        <v>42422.750694444447</v>
      </c>
      <c r="B5059" s="19">
        <v>42878</v>
      </c>
      <c r="C5059" s="21">
        <v>0.78888888888888886</v>
      </c>
      <c r="D5059" s="20" t="s">
        <v>3045</v>
      </c>
      <c r="E5059" t="s">
        <v>33</v>
      </c>
      <c r="F5059" t="s">
        <v>44</v>
      </c>
      <c r="H5059">
        <v>7</v>
      </c>
      <c r="I5059">
        <f t="shared" ref="I5059:I5096" si="81">ROUNDUP((H5059*1.24), 0)</f>
        <v>9</v>
      </c>
    </row>
    <row r="5060" spans="1:9">
      <c r="A5060" s="1">
        <v>42422.722916666666</v>
      </c>
      <c r="B5060" s="19">
        <v>42878</v>
      </c>
      <c r="C5060" s="21">
        <v>0.58402777777777781</v>
      </c>
      <c r="D5060" s="20" t="s">
        <v>3040</v>
      </c>
      <c r="E5060" t="s">
        <v>0</v>
      </c>
      <c r="G5060" t="s">
        <v>32</v>
      </c>
      <c r="H5060">
        <v>13</v>
      </c>
      <c r="I5060">
        <f t="shared" si="81"/>
        <v>17</v>
      </c>
    </row>
    <row r="5061" spans="1:9">
      <c r="A5061" s="1">
        <v>42422.693055555559</v>
      </c>
      <c r="B5061" s="19">
        <v>42878</v>
      </c>
      <c r="C5061" s="21">
        <v>0.33124999999999999</v>
      </c>
      <c r="D5061" s="20" t="s">
        <v>3033</v>
      </c>
      <c r="E5061" t="s">
        <v>0</v>
      </c>
      <c r="G5061" t="s">
        <v>52</v>
      </c>
      <c r="H5061">
        <v>13</v>
      </c>
      <c r="I5061">
        <f t="shared" si="81"/>
        <v>17</v>
      </c>
    </row>
    <row r="5062" spans="1:9">
      <c r="A5062" s="1">
        <v>42422.666666666664</v>
      </c>
      <c r="B5062" s="19">
        <v>42879</v>
      </c>
      <c r="C5062" s="21">
        <v>0.75902777777777775</v>
      </c>
      <c r="D5062" s="20" t="s">
        <v>3045</v>
      </c>
      <c r="E5062" t="s">
        <v>6</v>
      </c>
      <c r="F5062" t="s">
        <v>26</v>
      </c>
      <c r="G5062" t="s">
        <v>30</v>
      </c>
      <c r="H5062">
        <v>44</v>
      </c>
      <c r="I5062">
        <f t="shared" si="81"/>
        <v>55</v>
      </c>
    </row>
    <row r="5063" spans="1:9">
      <c r="A5063" s="1">
        <v>42422.65347222222</v>
      </c>
      <c r="B5063" s="19">
        <v>42879</v>
      </c>
      <c r="C5063" s="21">
        <v>0.65763888888888888</v>
      </c>
      <c r="D5063" s="20" t="s">
        <v>3042</v>
      </c>
      <c r="E5063" t="s">
        <v>6</v>
      </c>
      <c r="F5063" t="s">
        <v>7</v>
      </c>
      <c r="G5063" t="s">
        <v>31</v>
      </c>
      <c r="H5063">
        <v>149</v>
      </c>
      <c r="I5063">
        <f t="shared" si="81"/>
        <v>185</v>
      </c>
    </row>
    <row r="5064" spans="1:9">
      <c r="A5064" s="1">
        <v>42422.62777777778</v>
      </c>
      <c r="B5064" s="19">
        <v>42879</v>
      </c>
      <c r="C5064" s="21">
        <v>0.5</v>
      </c>
      <c r="D5064" s="20" t="s">
        <v>3038</v>
      </c>
      <c r="E5064" t="s">
        <v>6</v>
      </c>
      <c r="F5064" t="s">
        <v>21</v>
      </c>
      <c r="G5064" t="s">
        <v>36</v>
      </c>
      <c r="H5064">
        <v>29</v>
      </c>
      <c r="I5064">
        <f t="shared" si="81"/>
        <v>36</v>
      </c>
    </row>
    <row r="5065" spans="1:9">
      <c r="A5065" s="1">
        <v>42422.609027777777</v>
      </c>
      <c r="B5065" s="19">
        <v>42879</v>
      </c>
      <c r="C5065" s="21">
        <v>0.375</v>
      </c>
      <c r="D5065" s="20" t="s">
        <v>3035</v>
      </c>
      <c r="E5065" t="s">
        <v>2</v>
      </c>
      <c r="F5065" t="s">
        <v>3</v>
      </c>
      <c r="G5065" t="s">
        <v>37</v>
      </c>
      <c r="H5065">
        <v>9</v>
      </c>
      <c r="I5065">
        <f t="shared" si="81"/>
        <v>12</v>
      </c>
    </row>
    <row r="5066" spans="1:9">
      <c r="A5066" s="1">
        <v>42422.550694444442</v>
      </c>
      <c r="B5066" s="19">
        <v>42879</v>
      </c>
      <c r="C5066" s="21">
        <v>0.21249999999999999</v>
      </c>
      <c r="D5066" s="20" t="s">
        <v>3055</v>
      </c>
      <c r="E5066" t="s">
        <v>6</v>
      </c>
      <c r="F5066" t="s">
        <v>12</v>
      </c>
      <c r="G5066" t="s">
        <v>38</v>
      </c>
      <c r="H5066">
        <v>7</v>
      </c>
      <c r="I5066">
        <f t="shared" si="81"/>
        <v>9</v>
      </c>
    </row>
    <row r="5067" spans="1:9">
      <c r="A5067" s="1">
        <v>42422.539583333331</v>
      </c>
      <c r="B5067" s="19">
        <v>42879</v>
      </c>
      <c r="C5067" s="21">
        <v>0.91666666666666663</v>
      </c>
      <c r="D5067" s="20" t="s">
        <v>3049</v>
      </c>
      <c r="E5067" t="s">
        <v>0</v>
      </c>
      <c r="F5067" t="s">
        <v>1</v>
      </c>
      <c r="G5067" t="s">
        <v>9</v>
      </c>
      <c r="H5067">
        <v>13</v>
      </c>
      <c r="I5067">
        <f t="shared" si="81"/>
        <v>17</v>
      </c>
    </row>
    <row r="5068" spans="1:9">
      <c r="A5068" s="1">
        <v>42422.039583333331</v>
      </c>
      <c r="B5068" s="19">
        <v>42879</v>
      </c>
      <c r="C5068" s="21">
        <v>0.58402777777777781</v>
      </c>
      <c r="D5068" s="20" t="s">
        <v>3040</v>
      </c>
      <c r="E5068" t="s">
        <v>0</v>
      </c>
      <c r="G5068" t="s">
        <v>32</v>
      </c>
      <c r="H5068">
        <v>13</v>
      </c>
      <c r="I5068">
        <f t="shared" si="81"/>
        <v>17</v>
      </c>
    </row>
    <row r="5069" spans="1:9">
      <c r="A5069" s="1">
        <v>42421.748611111114</v>
      </c>
      <c r="B5069" s="19">
        <v>42879</v>
      </c>
      <c r="C5069" s="21">
        <v>0.51736111111111116</v>
      </c>
      <c r="D5069" s="20" t="s">
        <v>3038</v>
      </c>
      <c r="E5069" t="s">
        <v>33</v>
      </c>
      <c r="F5069" t="s">
        <v>34</v>
      </c>
      <c r="G5069" t="s">
        <v>35</v>
      </c>
      <c r="H5069">
        <v>2</v>
      </c>
      <c r="I5069">
        <f t="shared" si="81"/>
        <v>3</v>
      </c>
    </row>
    <row r="5070" spans="1:9">
      <c r="A5070" s="1">
        <v>42421.599305555559</v>
      </c>
      <c r="B5070" s="19">
        <v>42879</v>
      </c>
      <c r="C5070" s="21">
        <v>0.24861111111111112</v>
      </c>
      <c r="D5070" s="20" t="s">
        <v>3055</v>
      </c>
      <c r="E5070" t="s">
        <v>0</v>
      </c>
      <c r="G5070" t="s">
        <v>32</v>
      </c>
      <c r="H5070">
        <v>13</v>
      </c>
      <c r="I5070">
        <f t="shared" si="81"/>
        <v>17</v>
      </c>
    </row>
    <row r="5071" spans="1:9">
      <c r="A5071" s="1">
        <v>42421.584722222222</v>
      </c>
      <c r="B5071" s="19">
        <v>42880</v>
      </c>
      <c r="C5071" s="21">
        <v>0.83333333333333337</v>
      </c>
      <c r="D5071" s="20" t="s">
        <v>3047</v>
      </c>
      <c r="E5071" t="s">
        <v>6</v>
      </c>
      <c r="F5071" t="s">
        <v>12</v>
      </c>
      <c r="G5071" t="s">
        <v>13</v>
      </c>
      <c r="H5071">
        <v>8</v>
      </c>
      <c r="I5071">
        <f t="shared" si="81"/>
        <v>10</v>
      </c>
    </row>
    <row r="5072" spans="1:9">
      <c r="A5072" s="1">
        <v>42421.584027777775</v>
      </c>
      <c r="B5072" s="19">
        <v>42880</v>
      </c>
      <c r="C5072" s="21">
        <v>0.71666666666666667</v>
      </c>
      <c r="D5072" s="20" t="s">
        <v>3044</v>
      </c>
      <c r="E5072" t="s">
        <v>2</v>
      </c>
      <c r="F5072" t="s">
        <v>5</v>
      </c>
      <c r="G5072" t="s">
        <v>14</v>
      </c>
      <c r="H5072">
        <v>19</v>
      </c>
      <c r="I5072">
        <f t="shared" si="81"/>
        <v>24</v>
      </c>
    </row>
    <row r="5073" spans="1:9">
      <c r="A5073" s="1">
        <v>42421.583333333336</v>
      </c>
      <c r="B5073" s="19">
        <v>42880</v>
      </c>
      <c r="C5073" s="21">
        <v>0.69861111111111107</v>
      </c>
      <c r="D5073" s="20" t="s">
        <v>3043</v>
      </c>
      <c r="E5073" t="s">
        <v>6</v>
      </c>
      <c r="F5073" t="s">
        <v>15</v>
      </c>
      <c r="G5073" t="s">
        <v>16</v>
      </c>
      <c r="H5073">
        <v>33</v>
      </c>
      <c r="I5073">
        <f t="shared" si="81"/>
        <v>41</v>
      </c>
    </row>
    <row r="5074" spans="1:9">
      <c r="A5074" s="1">
        <v>42421.581944444442</v>
      </c>
      <c r="B5074" s="19">
        <v>42880</v>
      </c>
      <c r="C5074" s="21">
        <v>0.6694444444444444</v>
      </c>
      <c r="D5074" s="20" t="s">
        <v>3043</v>
      </c>
      <c r="E5074" t="s">
        <v>6</v>
      </c>
      <c r="F5074" t="s">
        <v>15</v>
      </c>
      <c r="G5074" t="s">
        <v>17</v>
      </c>
      <c r="H5074">
        <v>10</v>
      </c>
      <c r="I5074">
        <f t="shared" si="81"/>
        <v>13</v>
      </c>
    </row>
    <row r="5075" spans="1:9">
      <c r="A5075" s="1">
        <v>42421.57916666667</v>
      </c>
      <c r="B5075" s="19">
        <v>42880</v>
      </c>
      <c r="C5075" s="21">
        <v>0.54097222222222219</v>
      </c>
      <c r="D5075" s="20" t="s">
        <v>3038</v>
      </c>
      <c r="E5075" t="s">
        <v>6</v>
      </c>
      <c r="F5075" t="s">
        <v>15</v>
      </c>
      <c r="G5075" t="s">
        <v>20</v>
      </c>
      <c r="H5075">
        <v>8</v>
      </c>
      <c r="I5075">
        <f t="shared" si="81"/>
        <v>10</v>
      </c>
    </row>
    <row r="5076" spans="1:9">
      <c r="A5076" s="1">
        <v>42421.57916666667</v>
      </c>
      <c r="B5076" s="19">
        <v>42880</v>
      </c>
      <c r="C5076" s="21">
        <v>0.49513888888888891</v>
      </c>
      <c r="D5076" s="20" t="s">
        <v>3037</v>
      </c>
      <c r="E5076" t="s">
        <v>6</v>
      </c>
      <c r="F5076" t="s">
        <v>21</v>
      </c>
      <c r="G5076" t="s">
        <v>22</v>
      </c>
      <c r="H5076">
        <v>9</v>
      </c>
      <c r="I5076">
        <f t="shared" si="81"/>
        <v>12</v>
      </c>
    </row>
    <row r="5077" spans="1:9">
      <c r="A5077" s="1">
        <v>42421.993750000001</v>
      </c>
      <c r="B5077" s="19">
        <v>42880</v>
      </c>
      <c r="C5077" s="21">
        <v>0.47916666666666669</v>
      </c>
      <c r="D5077" s="20" t="s">
        <v>3037</v>
      </c>
      <c r="E5077" t="s">
        <v>6</v>
      </c>
      <c r="F5077" t="s">
        <v>15</v>
      </c>
      <c r="G5077" t="s">
        <v>20</v>
      </c>
      <c r="H5077">
        <v>8</v>
      </c>
      <c r="I5077">
        <f t="shared" si="81"/>
        <v>10</v>
      </c>
    </row>
    <row r="5078" spans="1:9">
      <c r="A5078" s="1">
        <v>42421.975694444445</v>
      </c>
      <c r="B5078" s="19">
        <v>42880</v>
      </c>
      <c r="C5078" s="21">
        <v>0.43402777777777779</v>
      </c>
      <c r="D5078" s="20" t="s">
        <v>3036</v>
      </c>
      <c r="E5078" t="s">
        <v>6</v>
      </c>
      <c r="F5078" t="s">
        <v>21</v>
      </c>
      <c r="G5078" t="s">
        <v>22</v>
      </c>
      <c r="H5078">
        <v>8</v>
      </c>
      <c r="I5078">
        <f t="shared" si="81"/>
        <v>10</v>
      </c>
    </row>
    <row r="5079" spans="1:9">
      <c r="A5079" s="1">
        <v>42421.95</v>
      </c>
      <c r="B5079" s="19">
        <v>42880</v>
      </c>
      <c r="C5079" s="21">
        <v>0.375</v>
      </c>
      <c r="D5079" s="20" t="s">
        <v>3035</v>
      </c>
      <c r="E5079" t="s">
        <v>6</v>
      </c>
      <c r="F5079" t="s">
        <v>15</v>
      </c>
      <c r="G5079" t="s">
        <v>20</v>
      </c>
      <c r="H5079">
        <v>7</v>
      </c>
      <c r="I5079">
        <f t="shared" si="81"/>
        <v>9</v>
      </c>
    </row>
    <row r="5080" spans="1:9">
      <c r="A5080" s="1">
        <v>42421.920138888891</v>
      </c>
      <c r="B5080" s="19">
        <v>42880</v>
      </c>
      <c r="C5080" s="21">
        <v>0.31111111111111112</v>
      </c>
      <c r="D5080" s="20" t="s">
        <v>3033</v>
      </c>
      <c r="E5080" t="s">
        <v>2</v>
      </c>
      <c r="F5080" t="s">
        <v>5</v>
      </c>
      <c r="G5080" t="s">
        <v>23</v>
      </c>
      <c r="H5080">
        <v>28</v>
      </c>
      <c r="I5080">
        <f t="shared" si="81"/>
        <v>35</v>
      </c>
    </row>
    <row r="5081" spans="1:9">
      <c r="A5081" s="1">
        <v>42421.760416666664</v>
      </c>
      <c r="B5081" s="19">
        <v>42880</v>
      </c>
      <c r="C5081" s="21">
        <v>0.30972222222222223</v>
      </c>
      <c r="D5081" s="20" t="s">
        <v>3033</v>
      </c>
      <c r="E5081" t="s">
        <v>6</v>
      </c>
      <c r="F5081" t="s">
        <v>7</v>
      </c>
      <c r="G5081" t="s">
        <v>24</v>
      </c>
      <c r="H5081">
        <v>3</v>
      </c>
      <c r="I5081">
        <f t="shared" si="81"/>
        <v>4</v>
      </c>
    </row>
    <row r="5082" spans="1:9">
      <c r="A5082" s="1">
        <v>42421.717361111114</v>
      </c>
      <c r="B5082" s="19">
        <v>42880</v>
      </c>
      <c r="C5082" s="21">
        <v>0.17152777777777778</v>
      </c>
      <c r="D5082" s="20" t="s">
        <v>3054</v>
      </c>
      <c r="E5082" t="s">
        <v>6</v>
      </c>
      <c r="F5082" t="s">
        <v>26</v>
      </c>
      <c r="G5082" t="s">
        <v>27</v>
      </c>
      <c r="H5082">
        <v>7</v>
      </c>
      <c r="I5082">
        <f t="shared" si="81"/>
        <v>9</v>
      </c>
    </row>
    <row r="5083" spans="1:9">
      <c r="A5083" s="1">
        <v>42421.705555555556</v>
      </c>
      <c r="B5083" s="19">
        <v>42880</v>
      </c>
      <c r="C5083" s="21">
        <v>0.14861111111111111</v>
      </c>
      <c r="D5083" s="20" t="s">
        <v>3053</v>
      </c>
      <c r="E5083" t="s">
        <v>6</v>
      </c>
      <c r="F5083" t="s">
        <v>15</v>
      </c>
      <c r="G5083" t="s">
        <v>28</v>
      </c>
      <c r="H5083">
        <v>30</v>
      </c>
      <c r="I5083">
        <f t="shared" si="81"/>
        <v>38</v>
      </c>
    </row>
    <row r="5084" spans="1:9">
      <c r="A5084" s="1">
        <v>42421.688194444447</v>
      </c>
      <c r="B5084" s="19">
        <v>42880</v>
      </c>
      <c r="C5084" s="21">
        <v>0.14791666666666667</v>
      </c>
      <c r="D5084" s="20" t="s">
        <v>3053</v>
      </c>
      <c r="E5084" t="s">
        <v>6</v>
      </c>
      <c r="F5084" t="s">
        <v>7</v>
      </c>
      <c r="G5084" t="s">
        <v>29</v>
      </c>
      <c r="H5084">
        <v>25</v>
      </c>
      <c r="I5084">
        <f t="shared" si="81"/>
        <v>31</v>
      </c>
    </row>
    <row r="5085" spans="1:9">
      <c r="A5085" s="1">
        <v>42421.59097222222</v>
      </c>
      <c r="B5085" s="19">
        <v>42880</v>
      </c>
      <c r="C5085" s="21">
        <v>0.91874999999999996</v>
      </c>
      <c r="D5085" s="20" t="s">
        <v>3049</v>
      </c>
      <c r="E5085" t="s">
        <v>0</v>
      </c>
      <c r="F5085" t="s">
        <v>1</v>
      </c>
      <c r="G5085" t="s">
        <v>9</v>
      </c>
      <c r="H5085">
        <v>13</v>
      </c>
      <c r="I5085">
        <f t="shared" si="81"/>
        <v>17</v>
      </c>
    </row>
    <row r="5086" spans="1:9">
      <c r="A5086" s="1">
        <v>42421.59097222222</v>
      </c>
      <c r="B5086" s="19">
        <v>42880</v>
      </c>
      <c r="C5086" s="21">
        <v>0.90833333333333333</v>
      </c>
      <c r="D5086" s="20" t="s">
        <v>3048</v>
      </c>
      <c r="E5086" t="s">
        <v>0</v>
      </c>
      <c r="F5086" t="s">
        <v>10</v>
      </c>
      <c r="G5086" t="s">
        <v>11</v>
      </c>
      <c r="H5086">
        <v>13</v>
      </c>
      <c r="I5086">
        <f t="shared" si="81"/>
        <v>17</v>
      </c>
    </row>
    <row r="5087" spans="1:9">
      <c r="A5087" s="1">
        <v>42421.585416666669</v>
      </c>
      <c r="B5087" s="19">
        <v>42880</v>
      </c>
      <c r="C5087" s="21">
        <v>0.65625</v>
      </c>
      <c r="D5087" s="20" t="s">
        <v>3042</v>
      </c>
      <c r="E5087" t="s">
        <v>18</v>
      </c>
      <c r="F5087" t="s">
        <v>19</v>
      </c>
      <c r="H5087">
        <v>10</v>
      </c>
      <c r="I5087">
        <f t="shared" si="81"/>
        <v>13</v>
      </c>
    </row>
    <row r="5088" spans="1:9">
      <c r="A5088" s="1">
        <v>42421.584722222222</v>
      </c>
      <c r="B5088" s="19">
        <v>42880</v>
      </c>
      <c r="C5088" s="21">
        <v>0.60486111111111107</v>
      </c>
      <c r="D5088" s="20" t="s">
        <v>3040</v>
      </c>
      <c r="E5088" t="s">
        <v>0</v>
      </c>
      <c r="H5088">
        <v>13</v>
      </c>
      <c r="I5088">
        <f t="shared" si="81"/>
        <v>17</v>
      </c>
    </row>
    <row r="5089" spans="1:9">
      <c r="A5089" s="1">
        <v>42421.584027777775</v>
      </c>
      <c r="B5089" s="19">
        <v>42880</v>
      </c>
      <c r="C5089" s="21">
        <v>0.39166666666666666</v>
      </c>
      <c r="D5089" s="20" t="s">
        <v>3035</v>
      </c>
      <c r="E5089" t="s">
        <v>18</v>
      </c>
      <c r="F5089" t="s">
        <v>19</v>
      </c>
      <c r="H5089">
        <v>7</v>
      </c>
      <c r="I5089">
        <f t="shared" si="81"/>
        <v>9</v>
      </c>
    </row>
    <row r="5090" spans="1:9">
      <c r="A5090" s="1">
        <v>42421.583333333336</v>
      </c>
      <c r="B5090" s="19">
        <v>42880</v>
      </c>
      <c r="C5090" s="21">
        <v>0.24722222222222223</v>
      </c>
      <c r="D5090" s="20" t="s">
        <v>3055</v>
      </c>
      <c r="E5090" t="s">
        <v>0</v>
      </c>
      <c r="G5090" t="s">
        <v>25</v>
      </c>
      <c r="H5090">
        <v>13</v>
      </c>
      <c r="I5090">
        <f t="shared" si="81"/>
        <v>17</v>
      </c>
    </row>
    <row r="5091" spans="1:9">
      <c r="A5091" s="1">
        <v>42421.582638888889</v>
      </c>
      <c r="B5091" s="19">
        <v>42881</v>
      </c>
      <c r="C5091" s="21">
        <v>0.22500000000000001</v>
      </c>
      <c r="D5091" s="20" t="s">
        <v>3055</v>
      </c>
      <c r="E5091" t="s">
        <v>2</v>
      </c>
      <c r="F5091" t="s">
        <v>3</v>
      </c>
      <c r="G5091" t="s">
        <v>4</v>
      </c>
      <c r="H5091">
        <v>25</v>
      </c>
      <c r="I5091">
        <f t="shared" si="81"/>
        <v>31</v>
      </c>
    </row>
    <row r="5092" spans="1:9">
      <c r="A5092" s="1">
        <v>42421.582638888889</v>
      </c>
      <c r="B5092" s="19">
        <v>42881</v>
      </c>
      <c r="C5092" s="21">
        <v>0.11180555555555556</v>
      </c>
      <c r="D5092" s="20" t="s">
        <v>3052</v>
      </c>
      <c r="E5092" t="s">
        <v>2</v>
      </c>
      <c r="F5092" t="s">
        <v>5</v>
      </c>
      <c r="H5092">
        <v>25</v>
      </c>
      <c r="I5092">
        <f t="shared" si="81"/>
        <v>31</v>
      </c>
    </row>
    <row r="5093" spans="1:9">
      <c r="A5093" s="1">
        <v>42421.579861111109</v>
      </c>
      <c r="B5093" s="19">
        <v>42881</v>
      </c>
      <c r="C5093" s="21">
        <v>8.9583333333333334E-2</v>
      </c>
      <c r="D5093" s="20" t="s">
        <v>3052</v>
      </c>
      <c r="E5093" t="s">
        <v>6</v>
      </c>
      <c r="F5093" t="s">
        <v>7</v>
      </c>
      <c r="G5093" t="s">
        <v>8</v>
      </c>
      <c r="H5093">
        <v>50</v>
      </c>
      <c r="I5093">
        <f t="shared" si="81"/>
        <v>62</v>
      </c>
    </row>
    <row r="5094" spans="1:9">
      <c r="A5094" s="1">
        <v>42421.579861111109</v>
      </c>
      <c r="B5094" s="19">
        <v>42881</v>
      </c>
      <c r="C5094" s="21">
        <v>0.22708333333333333</v>
      </c>
      <c r="D5094" s="20" t="s">
        <v>3055</v>
      </c>
      <c r="E5094" t="s">
        <v>0</v>
      </c>
      <c r="F5094" t="s">
        <v>1</v>
      </c>
      <c r="H5094">
        <v>13</v>
      </c>
      <c r="I5094">
        <f t="shared" si="81"/>
        <v>17</v>
      </c>
    </row>
    <row r="5095" spans="1:9">
      <c r="C5095" s="21"/>
      <c r="G5095" t="s">
        <v>3024</v>
      </c>
      <c r="H5095">
        <v>0</v>
      </c>
      <c r="I5095">
        <f t="shared" si="81"/>
        <v>0</v>
      </c>
    </row>
    <row r="5096" spans="1:9">
      <c r="C5096" s="21"/>
      <c r="G5096" t="s">
        <v>3025</v>
      </c>
      <c r="H5096">
        <v>0</v>
      </c>
      <c r="I5096">
        <f t="shared" si="81"/>
        <v>0</v>
      </c>
    </row>
    <row r="5097" spans="1:9">
      <c r="C5097" s="21"/>
      <c r="G5097" t="s">
        <v>3026</v>
      </c>
    </row>
  </sheetData>
  <autoFilter ref="B1:H5097" xr:uid="{2B24DF69-D4AC-4375-ACB7-0125E6FE3E04}">
    <sortState xmlns:xlrd2="http://schemas.microsoft.com/office/spreadsheetml/2017/richdata2" ref="B2:H5097">
      <sortCondition ref="B1"/>
    </sortState>
  </autoFilter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05C4-3CD6-4DEE-8DAE-9AAD74EF1B09}">
  <dimension ref="A1:V54"/>
  <sheetViews>
    <sheetView zoomScale="85" zoomScaleNormal="85" workbookViewId="0">
      <selection activeCell="G2" sqref="G2"/>
    </sheetView>
  </sheetViews>
  <sheetFormatPr defaultRowHeight="14.4"/>
  <cols>
    <col min="1" max="1" width="17.21875" customWidth="1"/>
    <col min="2" max="2" width="16.21875" customWidth="1"/>
    <col min="6" max="6" width="18.109375" customWidth="1"/>
    <col min="7" max="7" width="12.77734375" customWidth="1"/>
    <col min="8" max="8" width="8.88671875" customWidth="1"/>
    <col min="9" max="9" width="14.44140625" customWidth="1"/>
    <col min="16" max="16" width="17.21875" customWidth="1"/>
  </cols>
  <sheetData>
    <row r="1" spans="1:22" ht="28.8">
      <c r="G1" s="2" t="s">
        <v>3088</v>
      </c>
      <c r="H1" s="2" t="s">
        <v>3089</v>
      </c>
      <c r="I1" t="s">
        <v>3090</v>
      </c>
      <c r="Q1" s="21"/>
      <c r="S1" t="s">
        <v>3064</v>
      </c>
      <c r="T1" t="s">
        <v>3065</v>
      </c>
    </row>
    <row r="2" spans="1:22">
      <c r="A2" s="19">
        <v>42421</v>
      </c>
      <c r="B2" s="20" t="s">
        <v>3063</v>
      </c>
      <c r="C2">
        <v>27</v>
      </c>
      <c r="F2" t="s">
        <v>3142</v>
      </c>
      <c r="G2">
        <f>SUM(C44:C51)</f>
        <v>175</v>
      </c>
      <c r="I2" s="23" t="e">
        <f>(G2/$H$2)*100</f>
        <v>#DIV/0!</v>
      </c>
      <c r="P2" s="19">
        <v>42421</v>
      </c>
      <c r="Q2" s="21">
        <v>0.99375000000000002</v>
      </c>
      <c r="R2" s="20" t="s">
        <v>3063</v>
      </c>
      <c r="S2" t="s">
        <v>2</v>
      </c>
      <c r="U2" t="s">
        <v>3011</v>
      </c>
      <c r="V2">
        <v>27</v>
      </c>
    </row>
    <row r="3" spans="1:22">
      <c r="A3" s="19">
        <v>42421</v>
      </c>
      <c r="B3" s="20" t="s">
        <v>3063</v>
      </c>
      <c r="C3">
        <v>15</v>
      </c>
      <c r="F3" t="s">
        <v>3143</v>
      </c>
      <c r="G3">
        <f>SUM(C44:C45)</f>
        <v>15</v>
      </c>
      <c r="I3" s="23" t="e">
        <f>(G3/$H$2)*100</f>
        <v>#DIV/0!</v>
      </c>
      <c r="P3" s="19">
        <v>42421</v>
      </c>
      <c r="Q3" s="21">
        <v>0.97569444444444442</v>
      </c>
      <c r="R3" s="20" t="s">
        <v>3063</v>
      </c>
      <c r="S3" t="s">
        <v>6</v>
      </c>
      <c r="T3" t="s">
        <v>26</v>
      </c>
      <c r="U3" t="s">
        <v>453</v>
      </c>
      <c r="V3">
        <v>15</v>
      </c>
    </row>
    <row r="4" spans="1:22">
      <c r="A4" s="19">
        <v>42421</v>
      </c>
      <c r="B4" s="20" t="s">
        <v>3049</v>
      </c>
      <c r="C4">
        <v>20</v>
      </c>
      <c r="F4" t="s">
        <v>3144</v>
      </c>
      <c r="G4">
        <f>SUM(C45,C58,C57,C56)</f>
        <v>10</v>
      </c>
      <c r="I4" s="23" t="e">
        <f>(G4/$H$2)*100</f>
        <v>#DIV/0!</v>
      </c>
      <c r="P4" s="19">
        <v>42421</v>
      </c>
      <c r="Q4" s="21">
        <v>0.95</v>
      </c>
      <c r="R4" s="20" t="s">
        <v>3049</v>
      </c>
      <c r="S4" t="s">
        <v>2</v>
      </c>
      <c r="T4" t="s">
        <v>56</v>
      </c>
      <c r="U4" t="s">
        <v>3012</v>
      </c>
      <c r="V4">
        <v>20</v>
      </c>
    </row>
    <row r="5" spans="1:22">
      <c r="A5" s="19">
        <v>42421</v>
      </c>
      <c r="B5" s="20" t="s">
        <v>3049</v>
      </c>
      <c r="C5">
        <v>5</v>
      </c>
      <c r="F5" t="s">
        <v>3145</v>
      </c>
      <c r="G5">
        <v>0</v>
      </c>
      <c r="I5" s="23" t="e">
        <f>(G5/$H$2)*100</f>
        <v>#DIV/0!</v>
      </c>
      <c r="P5" s="19">
        <v>42421</v>
      </c>
      <c r="Q5" s="21">
        <v>0.92013888888888884</v>
      </c>
      <c r="R5" s="20" t="s">
        <v>3049</v>
      </c>
      <c r="S5" t="s">
        <v>2</v>
      </c>
      <c r="U5" t="s">
        <v>3013</v>
      </c>
      <c r="V5">
        <v>5</v>
      </c>
    </row>
    <row r="6" spans="1:22">
      <c r="A6" s="19">
        <v>42421</v>
      </c>
      <c r="B6" s="20" t="s">
        <v>3045</v>
      </c>
      <c r="C6">
        <v>15</v>
      </c>
      <c r="F6" t="s">
        <v>3146</v>
      </c>
      <c r="G6">
        <v>0</v>
      </c>
      <c r="I6" s="23" t="e">
        <f>(G6/$H$2)*100</f>
        <v>#DIV/0!</v>
      </c>
      <c r="P6" s="19">
        <v>42421</v>
      </c>
      <c r="Q6" s="21">
        <v>0.76041666666666663</v>
      </c>
      <c r="R6" s="20" t="s">
        <v>3045</v>
      </c>
      <c r="S6" t="s">
        <v>6</v>
      </c>
      <c r="T6" t="s">
        <v>26</v>
      </c>
      <c r="U6" t="s">
        <v>3014</v>
      </c>
      <c r="V6">
        <v>15</v>
      </c>
    </row>
    <row r="7" spans="1:22">
      <c r="A7" s="19">
        <v>42421</v>
      </c>
      <c r="B7" s="20" t="s">
        <v>3044</v>
      </c>
      <c r="C7">
        <v>15</v>
      </c>
      <c r="F7" t="s">
        <v>3147</v>
      </c>
      <c r="G7">
        <f>SUM(C46:C50)</f>
        <v>130</v>
      </c>
      <c r="I7" s="23" t="e">
        <f>(G7/$H$2)*100</f>
        <v>#DIV/0!</v>
      </c>
      <c r="P7" s="19">
        <v>42421</v>
      </c>
      <c r="Q7" s="21">
        <v>0.71736111111111112</v>
      </c>
      <c r="R7" s="20" t="s">
        <v>3044</v>
      </c>
      <c r="S7" t="s">
        <v>6</v>
      </c>
      <c r="T7" t="s">
        <v>26</v>
      </c>
      <c r="U7" t="s">
        <v>3014</v>
      </c>
      <c r="V7">
        <v>15</v>
      </c>
    </row>
    <row r="8" spans="1:22">
      <c r="A8" s="19">
        <v>42421</v>
      </c>
      <c r="B8" s="20" t="s">
        <v>3043</v>
      </c>
      <c r="C8">
        <v>10</v>
      </c>
      <c r="F8" t="s">
        <v>3148</v>
      </c>
      <c r="G8">
        <v>0</v>
      </c>
      <c r="I8" s="23" t="e">
        <f>(G8/$H$2)*100</f>
        <v>#DIV/0!</v>
      </c>
      <c r="P8" s="19">
        <v>42421</v>
      </c>
      <c r="Q8" s="21">
        <v>0.7055555555555556</v>
      </c>
      <c r="R8" s="20" t="s">
        <v>3043</v>
      </c>
      <c r="S8" t="s">
        <v>6</v>
      </c>
      <c r="T8" t="s">
        <v>26</v>
      </c>
      <c r="U8" t="s">
        <v>3016</v>
      </c>
      <c r="V8">
        <v>10</v>
      </c>
    </row>
    <row r="9" spans="1:22">
      <c r="A9" s="19">
        <v>42421</v>
      </c>
      <c r="B9" s="20" t="s">
        <v>3043</v>
      </c>
      <c r="C9">
        <v>10</v>
      </c>
      <c r="F9" t="s">
        <v>3149</v>
      </c>
      <c r="G9">
        <v>0</v>
      </c>
      <c r="I9" s="23" t="e">
        <f>(G9/$H$2)*100</f>
        <v>#DIV/0!</v>
      </c>
      <c r="P9" s="19">
        <v>42421</v>
      </c>
      <c r="Q9" s="21">
        <v>0.68819444444444444</v>
      </c>
      <c r="R9" s="20" t="s">
        <v>3043</v>
      </c>
      <c r="S9" t="s">
        <v>6</v>
      </c>
      <c r="T9" t="s">
        <v>26</v>
      </c>
      <c r="U9" t="s">
        <v>3016</v>
      </c>
      <c r="V9">
        <v>10</v>
      </c>
    </row>
    <row r="10" spans="1:22">
      <c r="A10" s="19">
        <v>42421</v>
      </c>
      <c r="B10" s="20" t="s">
        <v>3040</v>
      </c>
      <c r="C10">
        <v>40</v>
      </c>
      <c r="F10" t="s">
        <v>3150</v>
      </c>
      <c r="G10">
        <f>SUM(C51)</f>
        <v>30</v>
      </c>
      <c r="I10" s="23" t="e">
        <f>(G10/$H$2)*100</f>
        <v>#DIV/0!</v>
      </c>
      <c r="P10" s="19">
        <v>42421</v>
      </c>
      <c r="Q10" s="21">
        <v>0.59097222222222223</v>
      </c>
      <c r="R10" s="20" t="s">
        <v>3040</v>
      </c>
      <c r="S10" t="s">
        <v>2</v>
      </c>
      <c r="T10" t="s">
        <v>5</v>
      </c>
      <c r="U10" t="s">
        <v>3018</v>
      </c>
      <c r="V10">
        <v>40</v>
      </c>
    </row>
    <row r="11" spans="1:22">
      <c r="A11" s="19">
        <v>42421</v>
      </c>
      <c r="B11" s="20" t="s">
        <v>3040</v>
      </c>
      <c r="C11">
        <v>10</v>
      </c>
      <c r="F11" t="s">
        <v>3151</v>
      </c>
      <c r="G11">
        <f>SUM(C43:C49)</f>
        <v>127</v>
      </c>
      <c r="I11" s="23" t="e">
        <f>(G11/$H$2)*100</f>
        <v>#DIV/0!</v>
      </c>
      <c r="P11" s="19">
        <v>42421</v>
      </c>
      <c r="Q11" s="21">
        <v>0.59097222222222223</v>
      </c>
      <c r="R11" s="20" t="s">
        <v>3040</v>
      </c>
      <c r="S11" t="s">
        <v>2</v>
      </c>
      <c r="T11" t="s">
        <v>5</v>
      </c>
      <c r="U11" t="s">
        <v>3018</v>
      </c>
      <c r="V11">
        <v>10</v>
      </c>
    </row>
    <row r="12" spans="1:22">
      <c r="A12" s="19">
        <v>42421</v>
      </c>
      <c r="B12" s="20" t="s">
        <v>3040</v>
      </c>
      <c r="C12">
        <v>45</v>
      </c>
      <c r="F12" t="s">
        <v>3152</v>
      </c>
      <c r="G12">
        <f>SUM(C37:C44)</f>
        <v>94</v>
      </c>
      <c r="I12" s="23" t="e">
        <f>(G12/$H$2)*100</f>
        <v>#DIV/0!</v>
      </c>
      <c r="P12" s="19">
        <v>42421</v>
      </c>
      <c r="Q12" s="21">
        <v>0.5854166666666667</v>
      </c>
      <c r="R12" s="20" t="s">
        <v>3040</v>
      </c>
      <c r="S12" t="s">
        <v>2</v>
      </c>
      <c r="T12" t="s">
        <v>5</v>
      </c>
      <c r="U12" t="s">
        <v>3018</v>
      </c>
      <c r="V12">
        <v>45</v>
      </c>
    </row>
    <row r="13" spans="1:22">
      <c r="A13" s="19">
        <v>42421</v>
      </c>
      <c r="B13" s="20" t="s">
        <v>3040</v>
      </c>
      <c r="C13">
        <v>10</v>
      </c>
      <c r="F13" t="s">
        <v>3153</v>
      </c>
      <c r="G13">
        <f>SUM(C54)</f>
        <v>10</v>
      </c>
      <c r="I13" s="23" t="e">
        <f>(G13/$H$2)*100</f>
        <v>#DIV/0!</v>
      </c>
      <c r="P13" s="19">
        <v>42421</v>
      </c>
      <c r="Q13" s="21">
        <v>0.58472222222222225</v>
      </c>
      <c r="R13" s="20" t="s">
        <v>3040</v>
      </c>
      <c r="S13" t="s">
        <v>2</v>
      </c>
      <c r="T13" t="s">
        <v>5</v>
      </c>
      <c r="U13" t="s">
        <v>3018</v>
      </c>
      <c r="V13">
        <v>10</v>
      </c>
    </row>
    <row r="14" spans="1:22">
      <c r="A14" s="19">
        <v>42421</v>
      </c>
      <c r="B14" s="20" t="s">
        <v>3040</v>
      </c>
      <c r="C14">
        <v>25</v>
      </c>
      <c r="F14" t="s">
        <v>3154</v>
      </c>
      <c r="G14">
        <f>SUM(C35:C39)</f>
        <v>125</v>
      </c>
      <c r="I14" s="23" t="e">
        <f>(G14/$H$2)*100</f>
        <v>#DIV/0!</v>
      </c>
      <c r="P14" s="19">
        <v>42421</v>
      </c>
      <c r="Q14" s="21">
        <v>0.58402777777777781</v>
      </c>
      <c r="R14" s="20" t="s">
        <v>3040</v>
      </c>
      <c r="S14" t="s">
        <v>6</v>
      </c>
      <c r="T14" t="s">
        <v>7</v>
      </c>
      <c r="U14" t="s">
        <v>3020</v>
      </c>
      <c r="V14">
        <v>25</v>
      </c>
    </row>
    <row r="15" spans="1:22">
      <c r="A15" s="19">
        <v>42421</v>
      </c>
      <c r="B15" s="20" t="s">
        <v>3040</v>
      </c>
      <c r="C15">
        <v>25</v>
      </c>
      <c r="F15" t="s">
        <v>3155</v>
      </c>
      <c r="G15">
        <f>SUM(C31:C36)</f>
        <v>82</v>
      </c>
      <c r="I15" s="23" t="e">
        <f>(G15/$H$2)*100</f>
        <v>#DIV/0!</v>
      </c>
      <c r="P15" s="19">
        <v>42421</v>
      </c>
      <c r="Q15" s="21">
        <v>0.58333333333333337</v>
      </c>
      <c r="R15" s="20" t="s">
        <v>3040</v>
      </c>
      <c r="S15" t="s">
        <v>2</v>
      </c>
      <c r="T15" t="s">
        <v>5</v>
      </c>
      <c r="U15" t="s">
        <v>3018</v>
      </c>
      <c r="V15">
        <v>25</v>
      </c>
    </row>
    <row r="16" spans="1:22">
      <c r="A16" s="19">
        <v>42421</v>
      </c>
      <c r="B16" s="20" t="s">
        <v>3039</v>
      </c>
      <c r="C16">
        <v>17</v>
      </c>
      <c r="F16" t="s">
        <v>3156</v>
      </c>
      <c r="G16">
        <f>SUM(C44,C32)</f>
        <v>15</v>
      </c>
      <c r="I16" s="23" t="e">
        <f>(G16/$H$2)*100</f>
        <v>#DIV/0!</v>
      </c>
      <c r="P16" s="19">
        <v>42421</v>
      </c>
      <c r="Q16" s="21">
        <v>0.58263888888888893</v>
      </c>
      <c r="R16" s="20" t="s">
        <v>3039</v>
      </c>
      <c r="S16" t="s">
        <v>2</v>
      </c>
      <c r="T16" t="s">
        <v>5</v>
      </c>
      <c r="U16" t="s">
        <v>3018</v>
      </c>
      <c r="V16">
        <v>17</v>
      </c>
    </row>
    <row r="17" spans="1:22">
      <c r="A17" s="19">
        <v>42421</v>
      </c>
      <c r="B17" s="20" t="s">
        <v>3039</v>
      </c>
      <c r="C17">
        <v>15</v>
      </c>
      <c r="F17" t="s">
        <v>3157</v>
      </c>
      <c r="G17">
        <f>SUM(C31:C32)</f>
        <v>20</v>
      </c>
      <c r="I17" s="23" t="e">
        <f>(G17/$H$2)*100</f>
        <v>#DIV/0!</v>
      </c>
      <c r="P17" s="19">
        <v>42421</v>
      </c>
      <c r="Q17" s="21">
        <v>0.58263888888888893</v>
      </c>
      <c r="R17" s="20" t="s">
        <v>3039</v>
      </c>
      <c r="S17" t="s">
        <v>6</v>
      </c>
      <c r="T17" t="s">
        <v>7</v>
      </c>
      <c r="U17" t="s">
        <v>3022</v>
      </c>
      <c r="V17">
        <v>15</v>
      </c>
    </row>
    <row r="18" spans="1:22">
      <c r="A18" s="19">
        <v>42421</v>
      </c>
      <c r="B18" s="20" t="s">
        <v>3039</v>
      </c>
      <c r="C18">
        <v>2</v>
      </c>
      <c r="F18" t="s">
        <v>3158</v>
      </c>
      <c r="G18">
        <f>SUM(C31:C32)</f>
        <v>20</v>
      </c>
      <c r="I18" s="23" t="e">
        <f>(G18/$H$2)*100</f>
        <v>#DIV/0!</v>
      </c>
      <c r="P18" s="19">
        <v>42421</v>
      </c>
      <c r="Q18" s="21">
        <v>0.57986111111111116</v>
      </c>
      <c r="R18" s="20" t="s">
        <v>3039</v>
      </c>
      <c r="S18" t="s">
        <v>6</v>
      </c>
      <c r="T18" t="s">
        <v>61</v>
      </c>
      <c r="U18" t="s">
        <v>3023</v>
      </c>
      <c r="V18">
        <v>2</v>
      </c>
    </row>
    <row r="19" spans="1:22">
      <c r="A19" s="19">
        <v>42421</v>
      </c>
      <c r="B19" s="20" t="s">
        <v>3039</v>
      </c>
      <c r="C19">
        <v>25</v>
      </c>
      <c r="F19" t="s">
        <v>3159</v>
      </c>
      <c r="G19">
        <f>SUM(C37)</f>
        <v>45</v>
      </c>
      <c r="I19" s="23" t="e">
        <f>(G19/$H$2)*100</f>
        <v>#DIV/0!</v>
      </c>
      <c r="P19" s="19">
        <v>42421</v>
      </c>
      <c r="Q19" s="21">
        <v>0.57986111111111116</v>
      </c>
      <c r="R19" s="20" t="s">
        <v>3039</v>
      </c>
      <c r="S19" t="s">
        <v>6</v>
      </c>
      <c r="T19" t="s">
        <v>7</v>
      </c>
      <c r="U19" t="s">
        <v>3022</v>
      </c>
      <c r="V19">
        <v>25</v>
      </c>
    </row>
    <row r="20" spans="1:22">
      <c r="A20" s="19">
        <v>42422</v>
      </c>
      <c r="B20" s="20" t="s">
        <v>3046</v>
      </c>
      <c r="C20">
        <v>60</v>
      </c>
      <c r="F20" t="s">
        <v>3160</v>
      </c>
      <c r="G20">
        <f>SUM(C25:C31)</f>
        <v>113</v>
      </c>
      <c r="I20" s="23" t="e">
        <f>(G20/$H$2)*100</f>
        <v>#DIV/0!</v>
      </c>
      <c r="P20" s="19">
        <v>42422</v>
      </c>
      <c r="Q20" s="21">
        <v>0.81944444444444442</v>
      </c>
      <c r="R20" s="20" t="s">
        <v>3046</v>
      </c>
      <c r="S20" t="s">
        <v>6</v>
      </c>
      <c r="T20" t="s">
        <v>46</v>
      </c>
      <c r="U20" t="s">
        <v>2993</v>
      </c>
      <c r="V20">
        <v>60</v>
      </c>
    </row>
    <row r="21" spans="1:22">
      <c r="A21" s="19">
        <v>42422</v>
      </c>
      <c r="B21" s="20" t="s">
        <v>3045</v>
      </c>
      <c r="C21">
        <v>60</v>
      </c>
      <c r="F21" t="s">
        <v>3161</v>
      </c>
      <c r="G21">
        <f>SUM(C23:C26)</f>
        <v>75</v>
      </c>
      <c r="I21" s="23" t="e">
        <f>(G21/$H$2)*100</f>
        <v>#DIV/0!</v>
      </c>
      <c r="P21" s="19">
        <v>42422</v>
      </c>
      <c r="Q21" s="21">
        <v>0.75069444444444444</v>
      </c>
      <c r="R21" s="20" t="s">
        <v>3045</v>
      </c>
      <c r="S21" t="s">
        <v>6</v>
      </c>
      <c r="T21" t="s">
        <v>46</v>
      </c>
      <c r="U21" t="s">
        <v>2994</v>
      </c>
      <c r="V21">
        <v>60</v>
      </c>
    </row>
    <row r="22" spans="1:22">
      <c r="A22" s="19">
        <v>42422</v>
      </c>
      <c r="B22" s="20" t="s">
        <v>3044</v>
      </c>
      <c r="C22">
        <v>40</v>
      </c>
      <c r="F22" t="s">
        <v>3162</v>
      </c>
      <c r="G22">
        <f>SUM(C36:C38)</f>
        <v>85</v>
      </c>
      <c r="H22">
        <v>450</v>
      </c>
      <c r="I22" s="23" t="e">
        <f>(G22/$H$2)*100</f>
        <v>#DIV/0!</v>
      </c>
      <c r="P22" s="19">
        <v>42422</v>
      </c>
      <c r="Q22" s="21">
        <v>0.72291666666666665</v>
      </c>
      <c r="R22" s="20" t="s">
        <v>3044</v>
      </c>
      <c r="S22" t="s">
        <v>6</v>
      </c>
      <c r="T22" t="s">
        <v>46</v>
      </c>
      <c r="U22" t="s">
        <v>2994</v>
      </c>
      <c r="V22">
        <v>40</v>
      </c>
    </row>
    <row r="23" spans="1:22">
      <c r="A23" s="19">
        <v>42422</v>
      </c>
      <c r="B23" s="20" t="s">
        <v>3043</v>
      </c>
      <c r="C23">
        <v>22</v>
      </c>
      <c r="P23" s="19">
        <v>42422</v>
      </c>
      <c r="Q23" s="21">
        <v>0.69305555555555554</v>
      </c>
      <c r="R23" s="20" t="s">
        <v>3043</v>
      </c>
      <c r="S23" t="s">
        <v>6</v>
      </c>
      <c r="T23" t="s">
        <v>46</v>
      </c>
      <c r="U23" t="s">
        <v>2996</v>
      </c>
      <c r="V23">
        <v>22</v>
      </c>
    </row>
    <row r="24" spans="1:22">
      <c r="A24" s="19">
        <v>42422</v>
      </c>
      <c r="B24" s="20" t="s">
        <v>3043</v>
      </c>
      <c r="C24">
        <v>13</v>
      </c>
      <c r="P24" s="19">
        <v>42422</v>
      </c>
      <c r="Q24" s="21">
        <v>0.66666666666666663</v>
      </c>
      <c r="R24" s="20" t="s">
        <v>3043</v>
      </c>
      <c r="S24" t="s">
        <v>6</v>
      </c>
      <c r="T24" t="s">
        <v>89</v>
      </c>
      <c r="U24" t="s">
        <v>2997</v>
      </c>
      <c r="V24">
        <v>13</v>
      </c>
    </row>
    <row r="25" spans="1:22">
      <c r="A25" s="19">
        <v>42422</v>
      </c>
      <c r="B25" s="20" t="s">
        <v>3042</v>
      </c>
      <c r="C25">
        <v>20</v>
      </c>
      <c r="P25" s="19">
        <v>42422</v>
      </c>
      <c r="Q25" s="21">
        <v>0.65347222222222223</v>
      </c>
      <c r="R25" s="20" t="s">
        <v>3042</v>
      </c>
      <c r="S25" t="s">
        <v>6</v>
      </c>
      <c r="T25" t="s">
        <v>89</v>
      </c>
      <c r="U25" t="s">
        <v>2998</v>
      </c>
      <c r="V25">
        <v>20</v>
      </c>
    </row>
    <row r="26" spans="1:22">
      <c r="A26" s="19">
        <v>42422</v>
      </c>
      <c r="B26" s="20" t="s">
        <v>3042</v>
      </c>
      <c r="C26">
        <v>20</v>
      </c>
      <c r="P26" s="19">
        <v>42422</v>
      </c>
      <c r="Q26" s="21">
        <v>0.62777777777777777</v>
      </c>
      <c r="R26" s="20" t="s">
        <v>3042</v>
      </c>
      <c r="S26" t="s">
        <v>6</v>
      </c>
      <c r="T26" t="s">
        <v>26</v>
      </c>
      <c r="U26" t="s">
        <v>2999</v>
      </c>
      <c r="V26">
        <v>20</v>
      </c>
    </row>
    <row r="27" spans="1:22">
      <c r="A27" s="19">
        <v>42422</v>
      </c>
      <c r="B27" s="20" t="s">
        <v>3040</v>
      </c>
      <c r="C27">
        <v>23</v>
      </c>
      <c r="P27" s="19">
        <v>42422</v>
      </c>
      <c r="Q27" s="21">
        <v>0.60902777777777772</v>
      </c>
      <c r="R27" s="20" t="s">
        <v>3040</v>
      </c>
      <c r="S27" t="s">
        <v>6</v>
      </c>
      <c r="T27" t="s">
        <v>26</v>
      </c>
      <c r="U27" t="s">
        <v>2999</v>
      </c>
      <c r="V27">
        <v>23</v>
      </c>
    </row>
    <row r="28" spans="1:22">
      <c r="A28" s="19">
        <v>42422</v>
      </c>
      <c r="B28" s="20" t="s">
        <v>3039</v>
      </c>
      <c r="C28">
        <v>10</v>
      </c>
      <c r="P28" s="19">
        <v>42422</v>
      </c>
      <c r="Q28" s="21">
        <v>0.55069444444444449</v>
      </c>
      <c r="R28" s="20" t="s">
        <v>3039</v>
      </c>
      <c r="S28" t="s">
        <v>6</v>
      </c>
      <c r="T28" t="s">
        <v>26</v>
      </c>
      <c r="U28" t="s">
        <v>3001</v>
      </c>
      <c r="V28">
        <v>10</v>
      </c>
    </row>
    <row r="29" spans="1:22">
      <c r="A29" s="19">
        <v>42422</v>
      </c>
      <c r="B29" s="20" t="s">
        <v>3038</v>
      </c>
      <c r="C29">
        <v>15</v>
      </c>
      <c r="P29" s="19">
        <v>42422</v>
      </c>
      <c r="Q29" s="21">
        <v>0.5395833333333333</v>
      </c>
      <c r="R29" s="20" t="s">
        <v>3038</v>
      </c>
      <c r="S29" t="s">
        <v>2</v>
      </c>
      <c r="T29" t="s">
        <v>3</v>
      </c>
      <c r="U29" t="s">
        <v>3007</v>
      </c>
      <c r="V29">
        <v>15</v>
      </c>
    </row>
    <row r="30" spans="1:22">
      <c r="A30" s="19">
        <v>42422</v>
      </c>
      <c r="B30" s="20" t="s">
        <v>3050</v>
      </c>
      <c r="C30">
        <v>15</v>
      </c>
      <c r="P30" s="19">
        <v>42422</v>
      </c>
      <c r="Q30" s="21">
        <v>3.9583333333333331E-2</v>
      </c>
      <c r="R30" s="20" t="s">
        <v>3050</v>
      </c>
      <c r="S30" t="s">
        <v>6</v>
      </c>
      <c r="T30" t="s">
        <v>26</v>
      </c>
      <c r="U30" t="s">
        <v>453</v>
      </c>
      <c r="V30">
        <v>15</v>
      </c>
    </row>
    <row r="31" spans="1:22">
      <c r="A31" s="19">
        <v>42423</v>
      </c>
      <c r="B31" s="20" t="s">
        <v>3035</v>
      </c>
      <c r="C31">
        <v>10</v>
      </c>
      <c r="P31" s="19">
        <v>42423</v>
      </c>
      <c r="Q31" s="21">
        <v>0.39166666666666666</v>
      </c>
      <c r="R31" s="20" t="s">
        <v>3035</v>
      </c>
      <c r="S31" t="s">
        <v>2</v>
      </c>
      <c r="T31" t="s">
        <v>48</v>
      </c>
      <c r="U31" t="s">
        <v>2990</v>
      </c>
      <c r="V31">
        <v>10</v>
      </c>
    </row>
    <row r="32" spans="1:22">
      <c r="A32" s="19">
        <v>42423</v>
      </c>
      <c r="B32" s="20" t="s">
        <v>3035</v>
      </c>
      <c r="C32">
        <v>10</v>
      </c>
      <c r="P32" s="19">
        <v>42423</v>
      </c>
      <c r="Q32" s="21">
        <v>0.39166666666666666</v>
      </c>
      <c r="R32" s="20" t="s">
        <v>3035</v>
      </c>
      <c r="S32" t="s">
        <v>2</v>
      </c>
      <c r="T32" t="s">
        <v>48</v>
      </c>
      <c r="U32" t="s">
        <v>2990</v>
      </c>
      <c r="V32">
        <v>10</v>
      </c>
    </row>
    <row r="33" spans="1:22">
      <c r="A33" s="19">
        <v>42423</v>
      </c>
      <c r="B33" s="20" t="s">
        <v>3035</v>
      </c>
      <c r="C33">
        <v>1</v>
      </c>
      <c r="P33" s="19">
        <v>42423</v>
      </c>
      <c r="Q33" s="21">
        <v>0.39027777777777778</v>
      </c>
      <c r="R33" s="20" t="s">
        <v>3035</v>
      </c>
      <c r="S33" t="s">
        <v>6</v>
      </c>
      <c r="T33" t="s">
        <v>12</v>
      </c>
      <c r="U33" t="s">
        <v>2991</v>
      </c>
      <c r="V33">
        <v>1</v>
      </c>
    </row>
    <row r="34" spans="1:22">
      <c r="A34" s="19">
        <v>42423</v>
      </c>
      <c r="B34" s="20" t="s">
        <v>3035</v>
      </c>
      <c r="C34">
        <v>1</v>
      </c>
      <c r="P34" s="19">
        <v>42423</v>
      </c>
      <c r="Q34" s="21">
        <v>0.39027777777777778</v>
      </c>
      <c r="R34" s="20" t="s">
        <v>3035</v>
      </c>
      <c r="S34" t="s">
        <v>6</v>
      </c>
      <c r="T34" t="s">
        <v>12</v>
      </c>
      <c r="U34" t="s">
        <v>2991</v>
      </c>
      <c r="V34">
        <v>1</v>
      </c>
    </row>
    <row r="35" spans="1:22">
      <c r="A35" s="19">
        <v>42423</v>
      </c>
      <c r="B35" s="20" t="s">
        <v>3031</v>
      </c>
      <c r="C35">
        <v>30</v>
      </c>
      <c r="P35" s="19">
        <v>42423</v>
      </c>
      <c r="Q35" s="21">
        <v>0.25694444444444442</v>
      </c>
      <c r="R35" s="20" t="s">
        <v>3031</v>
      </c>
      <c r="S35" t="s">
        <v>6</v>
      </c>
      <c r="T35" t="s">
        <v>46</v>
      </c>
      <c r="U35" t="s">
        <v>1918</v>
      </c>
      <c r="V35">
        <v>30</v>
      </c>
    </row>
    <row r="36" spans="1:22">
      <c r="A36" s="19">
        <v>42423</v>
      </c>
      <c r="B36" s="20" t="s">
        <v>3031</v>
      </c>
      <c r="C36">
        <v>30</v>
      </c>
      <c r="P36" s="19">
        <v>42423</v>
      </c>
      <c r="Q36" s="21">
        <v>0.25694444444444442</v>
      </c>
      <c r="R36" s="20" t="s">
        <v>3031</v>
      </c>
      <c r="S36" t="s">
        <v>6</v>
      </c>
      <c r="T36" t="s">
        <v>46</v>
      </c>
      <c r="U36" t="s">
        <v>1918</v>
      </c>
      <c r="V36">
        <v>30</v>
      </c>
    </row>
    <row r="37" spans="1:22">
      <c r="A37" s="19">
        <v>42424</v>
      </c>
      <c r="B37" s="20" t="s">
        <v>3046</v>
      </c>
      <c r="C37">
        <v>45</v>
      </c>
      <c r="P37" s="19">
        <v>42424</v>
      </c>
      <c r="Q37" s="21">
        <v>0.79236111111111107</v>
      </c>
      <c r="R37" s="20" t="s">
        <v>3046</v>
      </c>
      <c r="S37" t="s">
        <v>6</v>
      </c>
      <c r="T37" t="s">
        <v>26</v>
      </c>
      <c r="U37" t="s">
        <v>2975</v>
      </c>
      <c r="V37">
        <v>45</v>
      </c>
    </row>
    <row r="38" spans="1:22">
      <c r="A38" s="19">
        <v>42424</v>
      </c>
      <c r="B38" s="20" t="s">
        <v>3044</v>
      </c>
      <c r="C38">
        <v>10</v>
      </c>
      <c r="P38" s="19">
        <v>42424</v>
      </c>
      <c r="Q38" s="21">
        <v>0.73333333333333328</v>
      </c>
      <c r="R38" s="20" t="s">
        <v>3044</v>
      </c>
      <c r="S38" t="s">
        <v>6</v>
      </c>
      <c r="T38" t="s">
        <v>26</v>
      </c>
      <c r="U38" t="s">
        <v>2978</v>
      </c>
      <c r="V38">
        <v>10</v>
      </c>
    </row>
    <row r="39" spans="1:22">
      <c r="A39" s="19">
        <v>42424</v>
      </c>
      <c r="B39" s="20" t="s">
        <v>3044</v>
      </c>
      <c r="C39">
        <v>10</v>
      </c>
      <c r="P39" s="19">
        <v>42424</v>
      </c>
      <c r="Q39" s="21">
        <v>0.70902777777777781</v>
      </c>
      <c r="R39" s="20" t="s">
        <v>3044</v>
      </c>
      <c r="S39" t="s">
        <v>2</v>
      </c>
      <c r="T39" t="s">
        <v>56</v>
      </c>
      <c r="U39" t="s">
        <v>2979</v>
      </c>
      <c r="V39">
        <v>10</v>
      </c>
    </row>
    <row r="40" spans="1:22">
      <c r="A40" s="19">
        <v>42424</v>
      </c>
      <c r="B40" s="20" t="s">
        <v>3043</v>
      </c>
      <c r="C40">
        <v>10</v>
      </c>
      <c r="P40" s="19">
        <v>42424</v>
      </c>
      <c r="Q40" s="21">
        <v>0.7006944444444444</v>
      </c>
      <c r="R40" s="20" t="s">
        <v>3043</v>
      </c>
      <c r="S40" t="s">
        <v>2</v>
      </c>
      <c r="T40" t="s">
        <v>56</v>
      </c>
      <c r="U40" t="s">
        <v>2979</v>
      </c>
      <c r="V40">
        <v>10</v>
      </c>
    </row>
    <row r="41" spans="1:22">
      <c r="A41" s="19">
        <v>42424</v>
      </c>
      <c r="B41" s="20" t="s">
        <v>3040</v>
      </c>
      <c r="C41">
        <v>7</v>
      </c>
      <c r="P41" s="19">
        <v>42424</v>
      </c>
      <c r="Q41" s="21">
        <v>0.61944444444444446</v>
      </c>
      <c r="R41" s="20" t="s">
        <v>3040</v>
      </c>
      <c r="S41" t="s">
        <v>6</v>
      </c>
      <c r="U41" t="s">
        <v>2755</v>
      </c>
      <c r="V41">
        <v>7</v>
      </c>
    </row>
    <row r="42" spans="1:22">
      <c r="A42" s="19">
        <v>42424</v>
      </c>
      <c r="B42" s="20" t="s">
        <v>3038</v>
      </c>
      <c r="C42">
        <v>5</v>
      </c>
      <c r="P42" s="19">
        <v>42424</v>
      </c>
      <c r="Q42" s="21">
        <v>0.52916666666666667</v>
      </c>
      <c r="R42" s="20" t="s">
        <v>3038</v>
      </c>
      <c r="S42" t="s">
        <v>6</v>
      </c>
      <c r="T42" t="s">
        <v>26</v>
      </c>
      <c r="U42" t="s">
        <v>453</v>
      </c>
      <c r="V42">
        <v>5</v>
      </c>
    </row>
    <row r="43" spans="1:22">
      <c r="A43" s="19">
        <v>42424</v>
      </c>
      <c r="B43" s="20" t="s">
        <v>3037</v>
      </c>
      <c r="C43">
        <v>2</v>
      </c>
      <c r="P43" s="19">
        <v>42424</v>
      </c>
      <c r="Q43" s="21">
        <v>0.48333333333333334</v>
      </c>
      <c r="R43" s="20" t="s">
        <v>3037</v>
      </c>
      <c r="S43" t="s">
        <v>6</v>
      </c>
      <c r="T43" t="s">
        <v>167</v>
      </c>
      <c r="U43" t="s">
        <v>2983</v>
      </c>
      <c r="V43">
        <v>2</v>
      </c>
    </row>
    <row r="44" spans="1:22">
      <c r="A44" s="19">
        <v>42424</v>
      </c>
      <c r="B44" s="20" t="s">
        <v>3037</v>
      </c>
      <c r="C44">
        <v>5</v>
      </c>
      <c r="P44" s="19">
        <v>42424</v>
      </c>
      <c r="Q44" s="21">
        <v>0.46805555555555556</v>
      </c>
      <c r="R44" s="20" t="s">
        <v>3037</v>
      </c>
      <c r="S44" t="s">
        <v>6</v>
      </c>
      <c r="T44" t="s">
        <v>12</v>
      </c>
      <c r="U44" t="s">
        <v>65</v>
      </c>
      <c r="V44">
        <v>5</v>
      </c>
    </row>
    <row r="45" spans="1:22">
      <c r="A45" s="19">
        <v>42424</v>
      </c>
      <c r="B45" s="20" t="s">
        <v>3035</v>
      </c>
      <c r="C45">
        <v>10</v>
      </c>
      <c r="P45" s="19">
        <v>42424</v>
      </c>
      <c r="Q45" s="21">
        <v>0.37569444444444444</v>
      </c>
      <c r="R45" s="20" t="s">
        <v>3035</v>
      </c>
      <c r="S45" t="s">
        <v>2</v>
      </c>
      <c r="T45" t="s">
        <v>48</v>
      </c>
      <c r="U45" t="s">
        <v>2831</v>
      </c>
      <c r="V45">
        <v>10</v>
      </c>
    </row>
    <row r="46" spans="1:22">
      <c r="A46" s="19">
        <v>42424</v>
      </c>
      <c r="B46" s="20" t="s">
        <v>3034</v>
      </c>
      <c r="C46">
        <v>30</v>
      </c>
      <c r="P46" s="19">
        <v>42424</v>
      </c>
      <c r="Q46" s="21">
        <v>0.35625000000000001</v>
      </c>
      <c r="R46" s="20" t="s">
        <v>3034</v>
      </c>
      <c r="S46" t="s">
        <v>6</v>
      </c>
      <c r="T46" t="s">
        <v>26</v>
      </c>
      <c r="U46" t="s">
        <v>453</v>
      </c>
      <c r="V46">
        <v>30</v>
      </c>
    </row>
    <row r="47" spans="1:22">
      <c r="A47" s="19">
        <v>42424</v>
      </c>
      <c r="B47" s="20" t="s">
        <v>3034</v>
      </c>
      <c r="C47">
        <v>10</v>
      </c>
      <c r="P47" s="19">
        <v>42424</v>
      </c>
      <c r="Q47" s="21">
        <v>0.34652777777777777</v>
      </c>
      <c r="R47" s="20" t="s">
        <v>3034</v>
      </c>
      <c r="S47" t="s">
        <v>6</v>
      </c>
      <c r="T47" t="s">
        <v>12</v>
      </c>
      <c r="U47" t="s">
        <v>2984</v>
      </c>
      <c r="V47">
        <v>10</v>
      </c>
    </row>
    <row r="48" spans="1:22">
      <c r="A48" s="19">
        <v>42424</v>
      </c>
      <c r="B48" s="20" t="s">
        <v>3033</v>
      </c>
      <c r="C48">
        <v>10</v>
      </c>
      <c r="P48" s="19">
        <v>42424</v>
      </c>
      <c r="Q48" s="21">
        <v>0.30694444444444446</v>
      </c>
      <c r="R48" s="20" t="s">
        <v>3033</v>
      </c>
      <c r="S48" t="s">
        <v>6</v>
      </c>
      <c r="T48" t="s">
        <v>12</v>
      </c>
      <c r="U48" t="s">
        <v>2986</v>
      </c>
      <c r="V48">
        <v>10</v>
      </c>
    </row>
    <row r="49" spans="1:22">
      <c r="A49" s="19">
        <v>42425</v>
      </c>
      <c r="B49" s="20" t="s">
        <v>3045</v>
      </c>
      <c r="C49">
        <v>60</v>
      </c>
      <c r="P49" s="19">
        <v>42425</v>
      </c>
      <c r="Q49" s="21">
        <v>0.7680555555555556</v>
      </c>
      <c r="R49" s="20" t="s">
        <v>3045</v>
      </c>
      <c r="S49" t="s">
        <v>6</v>
      </c>
      <c r="T49" t="s">
        <v>21</v>
      </c>
      <c r="U49" t="s">
        <v>2969</v>
      </c>
      <c r="V49">
        <v>60</v>
      </c>
    </row>
    <row r="50" spans="1:22">
      <c r="A50" s="19">
        <v>42425</v>
      </c>
      <c r="B50" s="20" t="s">
        <v>3043</v>
      </c>
      <c r="C50">
        <v>20</v>
      </c>
      <c r="P50" s="19">
        <v>42425</v>
      </c>
      <c r="Q50" s="21">
        <v>0.69930555555555551</v>
      </c>
      <c r="R50" s="20" t="s">
        <v>3043</v>
      </c>
      <c r="S50" t="s">
        <v>6</v>
      </c>
      <c r="T50" t="s">
        <v>21</v>
      </c>
      <c r="U50" t="s">
        <v>2969</v>
      </c>
      <c r="V50">
        <v>20</v>
      </c>
    </row>
    <row r="51" spans="1:22">
      <c r="A51" s="19">
        <v>42425</v>
      </c>
      <c r="B51" s="20" t="s">
        <v>3043</v>
      </c>
      <c r="C51">
        <v>30</v>
      </c>
      <c r="P51" s="19">
        <v>42425</v>
      </c>
      <c r="Q51" s="21">
        <v>0.68263888888888891</v>
      </c>
      <c r="R51" s="20" t="s">
        <v>3043</v>
      </c>
      <c r="S51" t="s">
        <v>6</v>
      </c>
      <c r="T51" t="s">
        <v>21</v>
      </c>
      <c r="U51" t="s">
        <v>2969</v>
      </c>
      <c r="V51">
        <v>30</v>
      </c>
    </row>
    <row r="52" spans="1:22">
      <c r="A52" s="19">
        <v>42425</v>
      </c>
      <c r="B52" s="20" t="s">
        <v>3039</v>
      </c>
      <c r="C52">
        <v>10</v>
      </c>
      <c r="P52" s="19">
        <v>42425</v>
      </c>
      <c r="Q52" s="21">
        <v>0.56388888888888888</v>
      </c>
      <c r="R52" s="20" t="s">
        <v>3039</v>
      </c>
      <c r="S52" t="s">
        <v>6</v>
      </c>
      <c r="T52" t="s">
        <v>46</v>
      </c>
      <c r="U52" t="s">
        <v>2970</v>
      </c>
      <c r="V52">
        <v>10</v>
      </c>
    </row>
    <row r="53" spans="1:22">
      <c r="A53" s="72">
        <v>42425</v>
      </c>
      <c r="B53" s="74" t="s">
        <v>3031</v>
      </c>
      <c r="C53" s="67">
        <v>10</v>
      </c>
      <c r="P53" s="72">
        <v>42425</v>
      </c>
      <c r="Q53" s="73">
        <v>0.2638888888888889</v>
      </c>
      <c r="R53" s="74" t="s">
        <v>3031</v>
      </c>
      <c r="S53" s="67" t="s">
        <v>6</v>
      </c>
      <c r="T53" s="67" t="s">
        <v>76</v>
      </c>
      <c r="U53" s="67" t="s">
        <v>2972</v>
      </c>
      <c r="V53" s="67">
        <v>10</v>
      </c>
    </row>
    <row r="54" spans="1:22">
      <c r="A54" s="72">
        <v>42425</v>
      </c>
      <c r="B54" s="74" t="s">
        <v>3031</v>
      </c>
      <c r="C54" s="67">
        <v>10</v>
      </c>
      <c r="P54" s="72">
        <v>42425</v>
      </c>
      <c r="Q54" s="73">
        <v>0.2590277777777778</v>
      </c>
      <c r="R54" s="74" t="s">
        <v>3031</v>
      </c>
      <c r="S54" s="67" t="s">
        <v>6</v>
      </c>
      <c r="T54" s="67" t="s">
        <v>15</v>
      </c>
      <c r="U54" s="67" t="s">
        <v>2973</v>
      </c>
      <c r="V54" s="67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C613-AFAC-4010-B2A5-A6F8284FAFFE}">
  <dimension ref="A41:G105"/>
  <sheetViews>
    <sheetView zoomScale="55" zoomScaleNormal="55" workbookViewId="0">
      <selection activeCell="AC47" sqref="AC47"/>
    </sheetView>
  </sheetViews>
  <sheetFormatPr defaultRowHeight="14.4"/>
  <cols>
    <col min="2" max="2" width="14.77734375" customWidth="1"/>
    <col min="3" max="3" width="14.44140625" customWidth="1"/>
    <col min="5" max="5" width="13.44140625" customWidth="1"/>
  </cols>
  <sheetData>
    <row r="41" spans="3:3">
      <c r="C41" s="24"/>
    </row>
    <row r="42" spans="3:3">
      <c r="C42" s="24"/>
    </row>
    <row r="43" spans="3:3">
      <c r="C43" s="24"/>
    </row>
    <row r="44" spans="3:3">
      <c r="C44" s="24"/>
    </row>
    <row r="45" spans="3:3">
      <c r="C45" s="24"/>
    </row>
    <row r="46" spans="3:3">
      <c r="C46" s="24"/>
    </row>
    <row r="47" spans="3:3">
      <c r="C47" s="24"/>
    </row>
    <row r="48" spans="3:3">
      <c r="C48" s="24"/>
    </row>
    <row r="49" spans="3:5">
      <c r="C49" s="24"/>
    </row>
    <row r="50" spans="3:5">
      <c r="C50" s="24"/>
    </row>
    <row r="51" spans="3:5">
      <c r="C51" s="24"/>
    </row>
    <row r="52" spans="3:5">
      <c r="C52" s="24"/>
    </row>
    <row r="53" spans="3:5">
      <c r="C53" s="24"/>
    </row>
    <row r="54" spans="3:5">
      <c r="C54" s="24"/>
    </row>
    <row r="55" spans="3:5">
      <c r="C55" s="24"/>
    </row>
    <row r="56" spans="3:5">
      <c r="C56" s="24"/>
    </row>
    <row r="57" spans="3:5">
      <c r="C57" s="24"/>
    </row>
    <row r="58" spans="3:5">
      <c r="C58" s="24"/>
    </row>
    <row r="59" spans="3:5">
      <c r="C59" s="24"/>
    </row>
    <row r="60" spans="3:5">
      <c r="C60" s="24"/>
    </row>
    <row r="61" spans="3:5">
      <c r="C61" s="24"/>
    </row>
    <row r="64" spans="3:5" ht="28.8">
      <c r="C64" s="2" t="s">
        <v>3090</v>
      </c>
      <c r="D64" t="s">
        <v>3066</v>
      </c>
      <c r="E64" t="s">
        <v>3087</v>
      </c>
    </row>
    <row r="65" spans="1:5">
      <c r="A65">
        <v>21</v>
      </c>
      <c r="B65" t="s">
        <v>3112</v>
      </c>
      <c r="C65" s="23">
        <v>50</v>
      </c>
      <c r="D65" s="24">
        <v>76.890756302521012</v>
      </c>
      <c r="E65" s="23">
        <v>50.773333333333341</v>
      </c>
    </row>
    <row r="66" spans="1:5">
      <c r="A66">
        <v>20</v>
      </c>
      <c r="B66" t="s">
        <v>3111</v>
      </c>
      <c r="C66" s="23">
        <v>17.333333333333336</v>
      </c>
      <c r="D66" s="24">
        <v>91.428571428571431</v>
      </c>
      <c r="E66" s="23">
        <v>61.707988980716252</v>
      </c>
    </row>
    <row r="67" spans="1:5">
      <c r="A67">
        <v>19</v>
      </c>
      <c r="B67" t="s">
        <v>3110</v>
      </c>
      <c r="C67" s="23">
        <v>4.4444444444444446</v>
      </c>
      <c r="D67" s="24">
        <v>96.529284164858993</v>
      </c>
      <c r="E67" s="23">
        <v>98.346666666666664</v>
      </c>
    </row>
    <row r="68" spans="1:5">
      <c r="A68">
        <v>18</v>
      </c>
      <c r="B68" t="s">
        <v>3109</v>
      </c>
      <c r="C68" s="23">
        <v>0</v>
      </c>
      <c r="D68" s="24">
        <v>97.552447552447546</v>
      </c>
      <c r="E68" s="23">
        <v>61.013333333333328</v>
      </c>
    </row>
    <row r="69" spans="1:5">
      <c r="A69">
        <v>17</v>
      </c>
      <c r="B69" t="s">
        <v>3108</v>
      </c>
      <c r="C69" s="23">
        <v>0</v>
      </c>
      <c r="D69" s="24">
        <v>93.686868686868678</v>
      </c>
      <c r="E69" s="23">
        <v>84.48</v>
      </c>
    </row>
    <row r="70" spans="1:5">
      <c r="A70">
        <v>16</v>
      </c>
      <c r="B70" t="s">
        <v>3107</v>
      </c>
      <c r="C70" s="23">
        <v>34.222222222222221</v>
      </c>
      <c r="D70" s="24">
        <v>91.153846153846146</v>
      </c>
      <c r="E70" s="23">
        <v>75.090252707581229</v>
      </c>
    </row>
    <row r="71" spans="1:5">
      <c r="A71">
        <v>15</v>
      </c>
      <c r="B71" t="s">
        <v>3106</v>
      </c>
      <c r="C71" s="23">
        <v>0</v>
      </c>
      <c r="D71" s="24">
        <v>93.872549019607845</v>
      </c>
      <c r="E71" s="23">
        <v>90.165745856353595</v>
      </c>
    </row>
    <row r="72" spans="1:5">
      <c r="A72">
        <v>14</v>
      </c>
      <c r="B72" t="s">
        <v>3105</v>
      </c>
      <c r="C72" s="23">
        <v>0</v>
      </c>
      <c r="D72" s="24">
        <v>95.882352941176478</v>
      </c>
      <c r="E72" s="23">
        <v>45.033112582781456</v>
      </c>
    </row>
    <row r="73" spans="1:5">
      <c r="A73">
        <v>13</v>
      </c>
      <c r="B73" t="s">
        <v>3104</v>
      </c>
      <c r="C73" s="23">
        <v>13.333333333333334</v>
      </c>
      <c r="D73" s="24">
        <v>92.757660167130922</v>
      </c>
      <c r="E73" s="23">
        <v>76.586666666666673</v>
      </c>
    </row>
    <row r="74" spans="1:5">
      <c r="A74">
        <v>12</v>
      </c>
      <c r="B74" t="s">
        <v>3103</v>
      </c>
      <c r="C74" s="23">
        <v>63.111111111111107</v>
      </c>
      <c r="D74" s="24">
        <v>97.002724795640333</v>
      </c>
      <c r="E74" s="23">
        <v>78.293333333333337</v>
      </c>
    </row>
    <row r="75" spans="1:5">
      <c r="A75">
        <v>11</v>
      </c>
      <c r="B75" t="s">
        <v>3102</v>
      </c>
      <c r="C75" s="23">
        <v>58.888888888888893</v>
      </c>
      <c r="D75" s="24">
        <v>98.730158730158735</v>
      </c>
      <c r="E75" s="23">
        <v>67.2</v>
      </c>
    </row>
    <row r="76" spans="1:5">
      <c r="A76">
        <v>10</v>
      </c>
      <c r="B76" t="s">
        <v>3101</v>
      </c>
      <c r="C76" s="23">
        <v>13.555555555555557</v>
      </c>
      <c r="D76" s="24">
        <v>99.120879120879124</v>
      </c>
      <c r="E76" s="23">
        <v>97.066666666666663</v>
      </c>
    </row>
    <row r="77" spans="1:5">
      <c r="A77">
        <v>9</v>
      </c>
      <c r="B77" t="s">
        <v>3100</v>
      </c>
      <c r="C77" s="23">
        <v>7.5555555555555554</v>
      </c>
      <c r="D77" s="24">
        <v>96.498905908096276</v>
      </c>
      <c r="E77" s="23">
        <v>97.493333333333325</v>
      </c>
    </row>
    <row r="78" spans="1:5">
      <c r="A78">
        <v>8</v>
      </c>
      <c r="B78" t="s">
        <v>3099</v>
      </c>
      <c r="C78" s="23">
        <v>23.555555555555554</v>
      </c>
      <c r="D78" s="24">
        <v>94.308943089430898</v>
      </c>
      <c r="E78" s="23">
        <v>78.72</v>
      </c>
    </row>
    <row r="79" spans="1:5">
      <c r="A79">
        <v>7</v>
      </c>
      <c r="B79" t="s">
        <v>3098</v>
      </c>
      <c r="C79" s="23">
        <v>13.333333333333334</v>
      </c>
      <c r="D79" s="24">
        <v>92.533936651583716</v>
      </c>
      <c r="E79" s="23">
        <v>94.293333333333322</v>
      </c>
    </row>
    <row r="80" spans="1:5">
      <c r="A80">
        <v>6</v>
      </c>
      <c r="B80" t="s">
        <v>3097</v>
      </c>
      <c r="C80" s="23">
        <v>6.666666666666667</v>
      </c>
      <c r="D80" s="24">
        <v>95.964125560538122</v>
      </c>
      <c r="E80" s="23">
        <v>95.146666666666675</v>
      </c>
    </row>
    <row r="81" spans="1:5">
      <c r="A81">
        <v>5</v>
      </c>
      <c r="B81" t="s">
        <v>3096</v>
      </c>
      <c r="C81" s="23">
        <v>34.444444444444443</v>
      </c>
      <c r="D81" s="24">
        <v>90.163934426229503</v>
      </c>
      <c r="E81" s="23">
        <v>78.08</v>
      </c>
    </row>
    <row r="82" spans="1:5">
      <c r="A82">
        <v>4</v>
      </c>
      <c r="B82" t="s">
        <v>3095</v>
      </c>
      <c r="C82" s="23">
        <v>1.1111111111111112</v>
      </c>
      <c r="D82" s="24">
        <v>94.279176201372991</v>
      </c>
      <c r="E82" s="23">
        <v>93.226666666666674</v>
      </c>
    </row>
    <row r="83" spans="1:5">
      <c r="A83">
        <v>3</v>
      </c>
      <c r="B83" t="s">
        <v>3094</v>
      </c>
      <c r="C83" s="23">
        <v>12</v>
      </c>
      <c r="D83" s="24">
        <v>92.643678160919535</v>
      </c>
      <c r="E83" s="23">
        <v>92.800000000000011</v>
      </c>
    </row>
    <row r="84" spans="1:5">
      <c r="A84">
        <v>2</v>
      </c>
      <c r="B84" t="s">
        <v>3093</v>
      </c>
      <c r="C84" s="23">
        <v>12.222222222222221</v>
      </c>
      <c r="D84" s="24">
        <v>98.205128205128204</v>
      </c>
      <c r="E84" s="23">
        <v>83.2</v>
      </c>
    </row>
    <row r="85" spans="1:5">
      <c r="A85">
        <v>1</v>
      </c>
      <c r="B85" t="s">
        <v>3092</v>
      </c>
      <c r="C85" s="23">
        <v>10.888888888888888</v>
      </c>
      <c r="D85" s="24">
        <v>94.878048780487802</v>
      </c>
      <c r="E85" s="23">
        <v>87.466666666666669</v>
      </c>
    </row>
    <row r="89" spans="1:5" ht="15" thickBot="1">
      <c r="A89" s="29"/>
    </row>
    <row r="105" spans="1:7" ht="15" thickBot="1">
      <c r="A105" s="29"/>
      <c r="G105" s="29"/>
    </row>
  </sheetData>
  <autoFilter ref="A64:F64" xr:uid="{0B91C613-AFAC-4010-B2A5-A6F8284FAFFE}">
    <sortState xmlns:xlrd2="http://schemas.microsoft.com/office/spreadsheetml/2017/richdata2" ref="A65:F85">
      <sortCondition descending="1" ref="A6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zejscia WORK 2</vt:lpstr>
      <vt:lpstr>Awarie WORK2</vt:lpstr>
      <vt:lpstr>czas awarii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Ostrowski</dc:creator>
  <cp:lastModifiedBy>Jacek Ostrowski</cp:lastModifiedBy>
  <dcterms:created xsi:type="dcterms:W3CDTF">2015-06-05T18:17:20Z</dcterms:created>
  <dcterms:modified xsi:type="dcterms:W3CDTF">2026-06-02T19:39:03Z</dcterms:modified>
</cp:coreProperties>
</file>